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Czl</author>
  </authors>
  <commentList>
    <comment ref="A273" authorId="0">
      <text>
        <r>
          <rPr>
            <sz val="9"/>
            <rFont val="宋体"/>
            <charset val="134"/>
          </rPr>
          <t xml:space="preserve">Czl:
起搏器植入
</t>
        </r>
      </text>
    </comment>
    <comment ref="A1027" authorId="0">
      <text>
        <r>
          <rPr>
            <sz val="9"/>
            <rFont val="宋体"/>
            <charset val="134"/>
          </rPr>
          <t>Czl:
二尖瓣置换+三尖瓣成型</t>
        </r>
      </text>
    </comment>
    <comment ref="B1106" authorId="0">
      <text>
        <r>
          <rPr>
            <sz val="9"/>
            <rFont val="宋体"/>
            <charset val="134"/>
          </rPr>
          <t>Czl:
先天性心脏病
71-11-78-10-47-24-0.76-8.6</t>
        </r>
      </text>
    </comment>
    <comment ref="A1230" authorId="0">
      <text>
        <r>
          <rPr>
            <sz val="9"/>
            <rFont val="宋体"/>
            <charset val="134"/>
          </rPr>
          <t>Czl:
左房占位切除术</t>
        </r>
      </text>
    </comment>
    <comment ref="A1360" authorId="0">
      <text>
        <r>
          <rPr>
            <sz val="9"/>
            <rFont val="宋体"/>
            <charset val="134"/>
          </rPr>
          <t>Czl:
行房间隔缺损修补术+三尖瓣成型术</t>
        </r>
      </text>
    </comment>
  </commentList>
</comments>
</file>

<file path=xl/sharedStrings.xml><?xml version="1.0" encoding="utf-8"?>
<sst xmlns="http://schemas.openxmlformats.org/spreadsheetml/2006/main" count="15762" uniqueCount="3152">
  <si>
    <t>诊断</t>
  </si>
  <si>
    <t>药物</t>
  </si>
  <si>
    <t>空白需要换算</t>
  </si>
  <si>
    <t>阴性和空白</t>
  </si>
  <si>
    <t>阴性</t>
  </si>
  <si>
    <t>生命体征</t>
  </si>
  <si>
    <t>住院号码</t>
  </si>
  <si>
    <t>姓名</t>
  </si>
  <si>
    <t>有无图像</t>
  </si>
  <si>
    <t>入院日期</t>
  </si>
  <si>
    <t>出院日期</t>
  </si>
  <si>
    <t>出生年月</t>
  </si>
  <si>
    <t>LAD</t>
  </si>
  <si>
    <t>IVS</t>
  </si>
  <si>
    <t>LVDD</t>
  </si>
  <si>
    <t>LVPW</t>
  </si>
  <si>
    <t>EF</t>
  </si>
  <si>
    <t>FS</t>
  </si>
  <si>
    <t>E/A</t>
  </si>
  <si>
    <t>E/e'</t>
  </si>
  <si>
    <t>性别</t>
  </si>
  <si>
    <t>年龄</t>
  </si>
  <si>
    <t>电话</t>
  </si>
  <si>
    <t>心梗/心肌病</t>
  </si>
  <si>
    <t>高血压</t>
  </si>
  <si>
    <t>高脂血症</t>
  </si>
  <si>
    <t>糖尿病</t>
  </si>
  <si>
    <t>心房颤动</t>
  </si>
  <si>
    <t>冠心病</t>
  </si>
  <si>
    <t>慢性肾病</t>
  </si>
  <si>
    <t>COPD</t>
  </si>
  <si>
    <t>脑梗/卒中</t>
  </si>
  <si>
    <t>NYHAI/II</t>
  </si>
  <si>
    <t>NYHAⅢ、Ⅳ</t>
  </si>
  <si>
    <t>吸烟</t>
  </si>
  <si>
    <t>抗血小板</t>
  </si>
  <si>
    <t>他汀</t>
  </si>
  <si>
    <t>β阻滞剂</t>
  </si>
  <si>
    <t>ACEI/ARB</t>
  </si>
  <si>
    <t>诺欣妥</t>
  </si>
  <si>
    <t>达格列净</t>
  </si>
  <si>
    <t>利尿剂</t>
  </si>
  <si>
    <t>保肾药物</t>
  </si>
  <si>
    <t>WBC</t>
  </si>
  <si>
    <t>HGB</t>
  </si>
  <si>
    <t>HCT</t>
  </si>
  <si>
    <t>HSCRP</t>
  </si>
  <si>
    <t>AST</t>
  </si>
  <si>
    <t>ALT</t>
  </si>
  <si>
    <t>ALB</t>
  </si>
  <si>
    <t>UREA</t>
  </si>
  <si>
    <t>CREA</t>
  </si>
  <si>
    <t>EGFR</t>
  </si>
  <si>
    <t>GLU</t>
  </si>
  <si>
    <t>CHOL</t>
  </si>
  <si>
    <t>TRIG</t>
  </si>
  <si>
    <t>K</t>
  </si>
  <si>
    <t>NA</t>
  </si>
  <si>
    <t>HDL-C</t>
  </si>
  <si>
    <t>LDL-C</t>
  </si>
  <si>
    <t>体温</t>
  </si>
  <si>
    <t>脉搏</t>
  </si>
  <si>
    <t>心率</t>
  </si>
  <si>
    <t>呼吸</t>
  </si>
  <si>
    <t>收缩压</t>
  </si>
  <si>
    <t>舒张压</t>
  </si>
  <si>
    <t>体重</t>
  </si>
  <si>
    <t>身高</t>
  </si>
  <si>
    <t>BMI</t>
  </si>
  <si>
    <t>科室名称</t>
  </si>
  <si>
    <t>HBA1C</t>
  </si>
  <si>
    <t>NT-PROBNP</t>
  </si>
  <si>
    <t>陈玉英</t>
  </si>
  <si>
    <t>女</t>
  </si>
  <si>
    <t>19552127151</t>
  </si>
  <si>
    <t>阴性(-)</t>
  </si>
  <si>
    <t/>
  </si>
  <si>
    <t>卧床</t>
  </si>
  <si>
    <t>心内一科(二六)</t>
  </si>
  <si>
    <t>董步则</t>
  </si>
  <si>
    <t>男</t>
  </si>
  <si>
    <t>&lt;0.5</t>
  </si>
  <si>
    <t>轮椅</t>
  </si>
  <si>
    <t xml:space="preserve">老年病科 </t>
  </si>
  <si>
    <t>王红杰</t>
  </si>
  <si>
    <t>重症医学ICU</t>
  </si>
  <si>
    <t>3281514</t>
  </si>
  <si>
    <t>韩德芝</t>
  </si>
  <si>
    <t>8.5</t>
  </si>
  <si>
    <t>99</t>
  </si>
  <si>
    <t>33.8</t>
  </si>
  <si>
    <t>88.2</t>
  </si>
  <si>
    <t>32</t>
  </si>
  <si>
    <t>9</t>
  </si>
  <si>
    <t>33.6</t>
  </si>
  <si>
    <t>9.93</t>
  </si>
  <si>
    <t>59</t>
  </si>
  <si>
    <t>96.93</t>
  </si>
  <si>
    <t>3.29</t>
  </si>
  <si>
    <t>4.51</t>
  </si>
  <si>
    <t>91</t>
  </si>
  <si>
    <t>20</t>
  </si>
  <si>
    <t>166</t>
  </si>
  <si>
    <t>94</t>
  </si>
  <si>
    <t>35</t>
  </si>
  <si>
    <t>骨科(创伤外科)</t>
  </si>
  <si>
    <t>于清柱</t>
  </si>
  <si>
    <t>心内三科(二八)</t>
  </si>
  <si>
    <t>郑淑玲</t>
  </si>
  <si>
    <t>呼吸与危重症二十四</t>
  </si>
  <si>
    <t>赵杰</t>
  </si>
  <si>
    <t>15150026020</t>
  </si>
  <si>
    <t>仲计英</t>
  </si>
  <si>
    <t>东院康复科</t>
  </si>
  <si>
    <t>李凤英</t>
  </si>
  <si>
    <t>徐世乔</t>
  </si>
  <si>
    <t>仲从俭</t>
  </si>
  <si>
    <t>急诊ICU</t>
  </si>
  <si>
    <t>&gt;35000</t>
  </si>
  <si>
    <t>张元著</t>
  </si>
  <si>
    <t>刘杜氏</t>
  </si>
  <si>
    <t>心内二科(二七)</t>
  </si>
  <si>
    <t>姚桂芝</t>
  </si>
  <si>
    <t>刘玉梅</t>
  </si>
  <si>
    <t>李洪祥</t>
  </si>
  <si>
    <t>&gt;120</t>
  </si>
  <si>
    <t>3243170</t>
  </si>
  <si>
    <t>耿玉柱</t>
  </si>
  <si>
    <t>13.7</t>
  </si>
  <si>
    <t>76</t>
  </si>
  <si>
    <t>22.9</t>
  </si>
  <si>
    <t>52</t>
  </si>
  <si>
    <t>24.2</t>
  </si>
  <si>
    <t>16.11</t>
  </si>
  <si>
    <t>188</t>
  </si>
  <si>
    <t>2.97</t>
  </si>
  <si>
    <t>5.52</t>
  </si>
  <si>
    <t>88</t>
  </si>
  <si>
    <t>142</t>
  </si>
  <si>
    <t>87</t>
  </si>
  <si>
    <t>80</t>
  </si>
  <si>
    <t>普外胃肠外十一</t>
  </si>
  <si>
    <t>刘延凤</t>
  </si>
  <si>
    <t>13905215161</t>
  </si>
  <si>
    <t>神经内四十</t>
  </si>
  <si>
    <t>鲁统祥</t>
  </si>
  <si>
    <t>李德坤</t>
  </si>
  <si>
    <t>户云秀</t>
  </si>
  <si>
    <t>林玉祥</t>
  </si>
  <si>
    <t>东院呼吸与危重症医学科</t>
  </si>
  <si>
    <t>孟信朋</t>
  </si>
  <si>
    <t>13905219020</t>
  </si>
  <si>
    <t>神经内四十二</t>
  </si>
  <si>
    <t>张荣环</t>
  </si>
  <si>
    <t>13685176918</t>
  </si>
  <si>
    <t>1</t>
  </si>
  <si>
    <t>东院心内科</t>
  </si>
  <si>
    <t>张宜兰</t>
  </si>
  <si>
    <t>消化内科二十二</t>
  </si>
  <si>
    <t>谢运禧</t>
  </si>
  <si>
    <t>王来田</t>
  </si>
  <si>
    <t>神经内四十七</t>
  </si>
  <si>
    <t>张瑞英</t>
  </si>
  <si>
    <t>15952144489</t>
  </si>
  <si>
    <t>东院急诊病房</t>
  </si>
  <si>
    <t>蔡惠玲</t>
  </si>
  <si>
    <t>薛大勇</t>
  </si>
  <si>
    <t>?28.0</t>
  </si>
  <si>
    <t>呼吸与危重症二十三</t>
  </si>
  <si>
    <t>甄风桐</t>
  </si>
  <si>
    <t>?23.7</t>
  </si>
  <si>
    <t>&lt;5</t>
  </si>
  <si>
    <t>?10.1</t>
  </si>
  <si>
    <t>-</t>
  </si>
  <si>
    <t>第二急诊ICU</t>
  </si>
  <si>
    <t>邵翠兰</t>
  </si>
  <si>
    <t>&gt;35000.000</t>
  </si>
  <si>
    <t>3277920</t>
  </si>
  <si>
    <t>黄桂英</t>
  </si>
  <si>
    <t>9.6</t>
  </si>
  <si>
    <t>116</t>
  </si>
  <si>
    <t>38.3</t>
  </si>
  <si>
    <t>22</t>
  </si>
  <si>
    <t>28</t>
  </si>
  <si>
    <t>36.7</t>
  </si>
  <si>
    <t>7.89</t>
  </si>
  <si>
    <t>64</t>
  </si>
  <si>
    <t>80.56</t>
  </si>
  <si>
    <t>4.28</t>
  </si>
  <si>
    <t>4.26</t>
  </si>
  <si>
    <t>0.94</t>
  </si>
  <si>
    <t>2.79</t>
  </si>
  <si>
    <t>78</t>
  </si>
  <si>
    <t>17</t>
  </si>
  <si>
    <t>145</t>
  </si>
  <si>
    <t>50</t>
  </si>
  <si>
    <t>介入放射科四十三</t>
  </si>
  <si>
    <t>刘关荣</t>
  </si>
  <si>
    <t>+-</t>
  </si>
  <si>
    <t>3265015</t>
  </si>
  <si>
    <t>张淑芳</t>
  </si>
  <si>
    <t>96</t>
  </si>
  <si>
    <t>36.0</t>
  </si>
  <si>
    <t>42.4</t>
  </si>
  <si>
    <t>57</t>
  </si>
  <si>
    <t>58</t>
  </si>
  <si>
    <t>9.19</t>
  </si>
  <si>
    <t>68</t>
  </si>
  <si>
    <t>93.98</t>
  </si>
  <si>
    <t>9.70</t>
  </si>
  <si>
    <t>1.51</t>
  </si>
  <si>
    <t>4.17</t>
  </si>
  <si>
    <t>86</t>
  </si>
  <si>
    <t>190</t>
  </si>
  <si>
    <t>71</t>
  </si>
  <si>
    <t>60</t>
  </si>
  <si>
    <t>骨科(脊柱外科)</t>
  </si>
  <si>
    <t>陈宜英</t>
  </si>
  <si>
    <t>13092348488</t>
  </si>
  <si>
    <t>3255099</t>
  </si>
  <si>
    <t>龙耀珍</t>
  </si>
  <si>
    <t>8.3</t>
  </si>
  <si>
    <t>89</t>
  </si>
  <si>
    <t>40.2</t>
  </si>
  <si>
    <t>41</t>
  </si>
  <si>
    <t>8</t>
  </si>
  <si>
    <t>37.3</t>
  </si>
  <si>
    <t>6.40</t>
  </si>
  <si>
    <t>56</t>
  </si>
  <si>
    <t>112.28</t>
  </si>
  <si>
    <t>9.80</t>
  </si>
  <si>
    <t>4.68</t>
  </si>
  <si>
    <t>90</t>
  </si>
  <si>
    <t>66</t>
  </si>
  <si>
    <t>骨科(关节外科)</t>
  </si>
  <si>
    <t>3270221</t>
  </si>
  <si>
    <t>周翠芝</t>
  </si>
  <si>
    <t>5.4</t>
  </si>
  <si>
    <t>124</t>
  </si>
  <si>
    <t>38.9</t>
  </si>
  <si>
    <t>21</t>
  </si>
  <si>
    <t>35.4</t>
  </si>
  <si>
    <t>13.31</t>
  </si>
  <si>
    <t>98</t>
  </si>
  <si>
    <t>5.31</t>
  </si>
  <si>
    <t>74</t>
  </si>
  <si>
    <t>16</t>
  </si>
  <si>
    <t>119</t>
  </si>
  <si>
    <t>53</t>
  </si>
  <si>
    <t>神经外科三十八</t>
  </si>
  <si>
    <t>郑士德</t>
  </si>
  <si>
    <t>李桂荣</t>
  </si>
  <si>
    <t>刘同珞</t>
  </si>
  <si>
    <t>13952198888</t>
  </si>
  <si>
    <t>神经内四十一</t>
  </si>
  <si>
    <t>郑立英</t>
  </si>
  <si>
    <t>王永祥</t>
  </si>
  <si>
    <t>15150000332</t>
  </si>
  <si>
    <t>内分泌五十二</t>
  </si>
  <si>
    <t>刘玉环</t>
  </si>
  <si>
    <t>贾雪梅</t>
  </si>
  <si>
    <t>郭文英</t>
  </si>
  <si>
    <t>消化内科二十一</t>
  </si>
  <si>
    <t>马正英</t>
  </si>
  <si>
    <t>林同章</t>
  </si>
  <si>
    <t>13776782890</t>
  </si>
  <si>
    <t>叶连元</t>
  </si>
  <si>
    <t>孟现金</t>
  </si>
  <si>
    <t>陈学典</t>
  </si>
  <si>
    <t>段世权</t>
  </si>
  <si>
    <t>18705210068</t>
  </si>
  <si>
    <t>全科医学科</t>
  </si>
  <si>
    <t>侯清兰</t>
  </si>
  <si>
    <t>无</t>
  </si>
  <si>
    <t>未测</t>
  </si>
  <si>
    <t>魏云彩</t>
  </si>
  <si>
    <t>测不出</t>
  </si>
  <si>
    <t>曹中美</t>
  </si>
  <si>
    <t>徐永康</t>
  </si>
  <si>
    <t>李乐英</t>
  </si>
  <si>
    <t>苗以宽</t>
  </si>
  <si>
    <t>3508639</t>
  </si>
  <si>
    <t>倪翠侠</t>
  </si>
  <si>
    <t>7.3</t>
  </si>
  <si>
    <t>125</t>
  </si>
  <si>
    <t>38.4</t>
  </si>
  <si>
    <t>227.2</t>
  </si>
  <si>
    <t>33</t>
  </si>
  <si>
    <t>36.3</t>
  </si>
  <si>
    <t>8.65</t>
  </si>
  <si>
    <t>79</t>
  </si>
  <si>
    <t>32.19</t>
  </si>
  <si>
    <t>4.43</t>
  </si>
  <si>
    <t>18</t>
  </si>
  <si>
    <t>137</t>
  </si>
  <si>
    <t>82</t>
  </si>
  <si>
    <t>泌尿外十五</t>
  </si>
  <si>
    <t>温德兰</t>
  </si>
  <si>
    <t>王树德</t>
  </si>
  <si>
    <t>吕桂珍</t>
  </si>
  <si>
    <t>肾脏内科十八</t>
  </si>
  <si>
    <t>宋家祥</t>
  </si>
  <si>
    <t>韩瑞连</t>
  </si>
  <si>
    <t>&lt;2</t>
  </si>
  <si>
    <t>3489744</t>
  </si>
  <si>
    <t>王秀民</t>
  </si>
  <si>
    <t>9.9</t>
  </si>
  <si>
    <t>50.80</t>
  </si>
  <si>
    <t>94.1</t>
  </si>
  <si>
    <t>24</t>
  </si>
  <si>
    <t>30.4</t>
  </si>
  <si>
    <t>9.50</t>
  </si>
  <si>
    <t>75.36</t>
  </si>
  <si>
    <t>9.60</t>
  </si>
  <si>
    <t>1.82</t>
  </si>
  <si>
    <t>5.17</t>
  </si>
  <si>
    <t>0.50</t>
  </si>
  <si>
    <t>0.54</t>
  </si>
  <si>
    <t>93</t>
  </si>
  <si>
    <t>15</t>
  </si>
  <si>
    <t>163</t>
  </si>
  <si>
    <t>东院普外科</t>
  </si>
  <si>
    <t>孙冉尤</t>
  </si>
  <si>
    <t>CCU（心内监护室）</t>
  </si>
  <si>
    <t>3258251</t>
  </si>
  <si>
    <t>陈世芳</t>
  </si>
  <si>
    <t>4.2</t>
  </si>
  <si>
    <t>112</t>
  </si>
  <si>
    <t>35.1</t>
  </si>
  <si>
    <t>32.5</t>
  </si>
  <si>
    <t>3.67</t>
  </si>
  <si>
    <t>47</t>
  </si>
  <si>
    <t>115.57</t>
  </si>
  <si>
    <t>6.76</t>
  </si>
  <si>
    <t>4.05</t>
  </si>
  <si>
    <t>158</t>
  </si>
  <si>
    <t>75</t>
  </si>
  <si>
    <t>肝移植肝胆胰重症科</t>
  </si>
  <si>
    <t>王保华</t>
  </si>
  <si>
    <t>3300516</t>
  </si>
  <si>
    <t>李金爱</t>
  </si>
  <si>
    <t>5.9</t>
  </si>
  <si>
    <t>26.5</t>
  </si>
  <si>
    <t>97.9</t>
  </si>
  <si>
    <t>54</t>
  </si>
  <si>
    <t>31.2</t>
  </si>
  <si>
    <t>8.91</t>
  </si>
  <si>
    <t>83</t>
  </si>
  <si>
    <t>98.36</t>
  </si>
  <si>
    <t>4.93</t>
  </si>
  <si>
    <t>100</t>
  </si>
  <si>
    <t>140</t>
  </si>
  <si>
    <t>55</t>
  </si>
  <si>
    <t>血液内科五十四</t>
  </si>
  <si>
    <t>段秀芝</t>
  </si>
  <si>
    <t>郑继朝</t>
  </si>
  <si>
    <t>李淑华</t>
  </si>
  <si>
    <t>东院神经内科</t>
  </si>
  <si>
    <t>金兰珍</t>
  </si>
  <si>
    <t>周振海</t>
  </si>
  <si>
    <t>王秀平</t>
  </si>
  <si>
    <t>杨权誉</t>
  </si>
  <si>
    <t>赵立强</t>
  </si>
  <si>
    <t>15305208218</t>
  </si>
  <si>
    <t>赵承坦</t>
  </si>
  <si>
    <t>陈风云</t>
  </si>
  <si>
    <t>宋李氏</t>
  </si>
  <si>
    <t>13689254928</t>
  </si>
  <si>
    <t>李明仁</t>
  </si>
  <si>
    <t>呼吸重症监护</t>
  </si>
  <si>
    <t>李鸣英</t>
  </si>
  <si>
    <t>平车</t>
  </si>
  <si>
    <t>姚桂秀</t>
  </si>
  <si>
    <t>刘敬娥</t>
  </si>
  <si>
    <t>&lt;0.50</t>
  </si>
  <si>
    <t>4+</t>
  </si>
  <si>
    <t>汤中梁</t>
  </si>
  <si>
    <t>魏爱英</t>
  </si>
  <si>
    <t>张翠英</t>
  </si>
  <si>
    <t>3304111</t>
  </si>
  <si>
    <t>吕道森</t>
  </si>
  <si>
    <t>9.8</t>
  </si>
  <si>
    <t>34</t>
  </si>
  <si>
    <t>22.4</t>
  </si>
  <si>
    <t>42</t>
  </si>
  <si>
    <t>39.4</t>
  </si>
  <si>
    <t>29.76</t>
  </si>
  <si>
    <t>810</t>
  </si>
  <si>
    <t>6.11</t>
  </si>
  <si>
    <t>5.24</t>
  </si>
  <si>
    <t>168</t>
  </si>
  <si>
    <t>69</t>
  </si>
  <si>
    <t>李洪义</t>
  </si>
  <si>
    <t>张贤芬</t>
  </si>
  <si>
    <t>东院急诊ICU</t>
  </si>
  <si>
    <t>朱世兰</t>
  </si>
  <si>
    <t>16655175999</t>
  </si>
  <si>
    <t>神经内五十六</t>
  </si>
  <si>
    <t>赵振华</t>
  </si>
  <si>
    <t>张秀英</t>
  </si>
  <si>
    <t>3269109</t>
  </si>
  <si>
    <t>张静</t>
  </si>
  <si>
    <t>3.2</t>
  </si>
  <si>
    <t>22.1</t>
  </si>
  <si>
    <t>8.1</t>
  </si>
  <si>
    <t>40.0</t>
  </si>
  <si>
    <t>7.98</t>
  </si>
  <si>
    <t>77</t>
  </si>
  <si>
    <t>70.81</t>
  </si>
  <si>
    <t>11.28</t>
  </si>
  <si>
    <t>4.89</t>
  </si>
  <si>
    <t>122</t>
  </si>
  <si>
    <t>血液内科二十九</t>
  </si>
  <si>
    <t>郝怀亮</t>
  </si>
  <si>
    <t>15555928882</t>
  </si>
  <si>
    <t>肾脏内科二十</t>
  </si>
  <si>
    <t>潘正斌</t>
  </si>
  <si>
    <t>3265941</t>
  </si>
  <si>
    <t>张尚兰</t>
  </si>
  <si>
    <t>84</t>
  </si>
  <si>
    <t>36.8</t>
  </si>
  <si>
    <t>66.5</t>
  </si>
  <si>
    <t>45</t>
  </si>
  <si>
    <t>41.3</t>
  </si>
  <si>
    <t>9.61</t>
  </si>
  <si>
    <t>70</t>
  </si>
  <si>
    <t>73.15</t>
  </si>
  <si>
    <t>6.04</t>
  </si>
  <si>
    <t>4.83</t>
  </si>
  <si>
    <t>103</t>
  </si>
  <si>
    <t>陈绪喜</t>
  </si>
  <si>
    <t>赵庆英</t>
  </si>
  <si>
    <t>19816256798</t>
  </si>
  <si>
    <t>沙兴亚</t>
  </si>
  <si>
    <t>赵鸿玉</t>
  </si>
  <si>
    <t>15366793350</t>
  </si>
  <si>
    <t>许淑兰</t>
  </si>
  <si>
    <t>王洪斌</t>
  </si>
  <si>
    <t>神经内三十九</t>
  </si>
  <si>
    <t>刘谦益</t>
  </si>
  <si>
    <t>3505596</t>
  </si>
  <si>
    <t>王爱华</t>
  </si>
  <si>
    <t>8.6</t>
  </si>
  <si>
    <t>29.5</t>
  </si>
  <si>
    <t>86.1</t>
  </si>
  <si>
    <t>19</t>
  </si>
  <si>
    <t>37.8</t>
  </si>
  <si>
    <t>6.87</t>
  </si>
  <si>
    <t>8.82</t>
  </si>
  <si>
    <t>3.88</t>
  </si>
  <si>
    <t>160</t>
  </si>
  <si>
    <t>孟宪荣</t>
  </si>
  <si>
    <t>孙梯明</t>
  </si>
  <si>
    <t>神经内重症监护</t>
  </si>
  <si>
    <t>朱秀芝</t>
  </si>
  <si>
    <t>孟宪彬</t>
  </si>
  <si>
    <t>毛洪銮</t>
  </si>
  <si>
    <t>神经内四十五</t>
  </si>
  <si>
    <t>蒋玲英</t>
  </si>
  <si>
    <t>3259885</t>
  </si>
  <si>
    <t>黄计民</t>
  </si>
  <si>
    <t>6.6</t>
  </si>
  <si>
    <t>36.9</t>
  </si>
  <si>
    <t>7.9</t>
  </si>
  <si>
    <t>41.0</t>
  </si>
  <si>
    <t>3.61</t>
  </si>
  <si>
    <t>4.80</t>
  </si>
  <si>
    <t>130</t>
  </si>
  <si>
    <t>65</t>
  </si>
  <si>
    <t>东院肿瘤内三</t>
  </si>
  <si>
    <t>9.40</t>
  </si>
  <si>
    <t>3501085</t>
  </si>
  <si>
    <t>4.1</t>
  </si>
  <si>
    <t>114</t>
  </si>
  <si>
    <t>35.0</t>
  </si>
  <si>
    <t>11</t>
  </si>
  <si>
    <t>5</t>
  </si>
  <si>
    <t>44.1</t>
  </si>
  <si>
    <t>8.40</t>
  </si>
  <si>
    <t>17.60</t>
  </si>
  <si>
    <t>4.08</t>
  </si>
  <si>
    <t>118</t>
  </si>
  <si>
    <t>72</t>
  </si>
  <si>
    <t>62</t>
  </si>
  <si>
    <t>11.10</t>
  </si>
  <si>
    <t>黄翠平</t>
  </si>
  <si>
    <t>刘义勇</t>
  </si>
  <si>
    <t>3258954</t>
  </si>
  <si>
    <t>代秀英</t>
  </si>
  <si>
    <t>7.5</t>
  </si>
  <si>
    <t>39.6</t>
  </si>
  <si>
    <t>3.3</t>
  </si>
  <si>
    <t>14.65</t>
  </si>
  <si>
    <t>92</t>
  </si>
  <si>
    <t>64.72</t>
  </si>
  <si>
    <t>3.79</t>
  </si>
  <si>
    <t>4.57</t>
  </si>
  <si>
    <t>0.83</t>
  </si>
  <si>
    <t>2.55</t>
  </si>
  <si>
    <t>108</t>
  </si>
  <si>
    <t>127</t>
  </si>
  <si>
    <t>风湿免疫科</t>
  </si>
  <si>
    <t>陈广仁</t>
  </si>
  <si>
    <t>杨士华</t>
  </si>
  <si>
    <t>孟庆申</t>
  </si>
  <si>
    <t>3248654</t>
  </si>
  <si>
    <t>祝秀英</t>
  </si>
  <si>
    <t>8.8</t>
  </si>
  <si>
    <t>141</t>
  </si>
  <si>
    <t>43.8</t>
  </si>
  <si>
    <t>36.5</t>
  </si>
  <si>
    <t>44</t>
  </si>
  <si>
    <t>27</t>
  </si>
  <si>
    <t>36.1</t>
  </si>
  <si>
    <t>5.93</t>
  </si>
  <si>
    <t>87.60</t>
  </si>
  <si>
    <t>148</t>
  </si>
  <si>
    <t>5.70</t>
  </si>
  <si>
    <t>吕自才</t>
  </si>
  <si>
    <t>王世英</t>
  </si>
  <si>
    <t>3242324</t>
  </si>
  <si>
    <t>刘长征</t>
  </si>
  <si>
    <t>9.5</t>
  </si>
  <si>
    <t>29.0</t>
  </si>
  <si>
    <t>95.8</t>
  </si>
  <si>
    <t>12</t>
  </si>
  <si>
    <t>32.6</t>
  </si>
  <si>
    <t>24.37</t>
  </si>
  <si>
    <t>566</t>
  </si>
  <si>
    <t>8.88</t>
  </si>
  <si>
    <t>6.90</t>
  </si>
  <si>
    <t>5.06</t>
  </si>
  <si>
    <t>164</t>
  </si>
  <si>
    <t>97</t>
  </si>
  <si>
    <t>3283542</t>
  </si>
  <si>
    <t>杨彩英</t>
  </si>
  <si>
    <t>38.2</t>
  </si>
  <si>
    <t>35.7</t>
  </si>
  <si>
    <t>39</t>
  </si>
  <si>
    <t>3.75</t>
  </si>
  <si>
    <t>77.13</t>
  </si>
  <si>
    <t>4.72</t>
  </si>
  <si>
    <t>血液内科三十</t>
  </si>
  <si>
    <t>刘学梅</t>
  </si>
  <si>
    <t>滕以臣</t>
  </si>
  <si>
    <t>15152450265</t>
  </si>
  <si>
    <t>3243663</t>
  </si>
  <si>
    <t>张新玉</t>
  </si>
  <si>
    <t>139</t>
  </si>
  <si>
    <t>41.6</t>
  </si>
  <si>
    <t>52.7</t>
  </si>
  <si>
    <t>31</t>
  </si>
  <si>
    <t>39.7</t>
  </si>
  <si>
    <t>8.96</t>
  </si>
  <si>
    <t>3.77</t>
  </si>
  <si>
    <t>3.95</t>
  </si>
  <si>
    <t>1.13</t>
  </si>
  <si>
    <t>2.11</t>
  </si>
  <si>
    <t>128</t>
  </si>
  <si>
    <t>耳鼻喉十三</t>
  </si>
  <si>
    <t>张明礼</t>
  </si>
  <si>
    <t>15895298033</t>
  </si>
  <si>
    <t>王先荣</t>
  </si>
  <si>
    <t>孙月朗</t>
  </si>
  <si>
    <t>李加训</t>
  </si>
  <si>
    <t>3323991</t>
  </si>
  <si>
    <t>时桂兰</t>
  </si>
  <si>
    <t>32.4</t>
  </si>
  <si>
    <t>69.4</t>
  </si>
  <si>
    <t>3.98</t>
  </si>
  <si>
    <t>7.08</t>
  </si>
  <si>
    <t>4.55</t>
  </si>
  <si>
    <t>110</t>
  </si>
  <si>
    <t>普外肝胆外科</t>
  </si>
  <si>
    <t>郑忠继</t>
  </si>
  <si>
    <t>3273152</t>
  </si>
  <si>
    <t>陈艳品</t>
  </si>
  <si>
    <t>6.3</t>
  </si>
  <si>
    <t>21.3</t>
  </si>
  <si>
    <t>38</t>
  </si>
  <si>
    <t>667</t>
  </si>
  <si>
    <t>41.4</t>
  </si>
  <si>
    <t>9.84</t>
  </si>
  <si>
    <t>2.42</t>
  </si>
  <si>
    <t>146</t>
  </si>
  <si>
    <t>胸外科</t>
  </si>
  <si>
    <t>陈德珠</t>
  </si>
  <si>
    <t>13270236359</t>
  </si>
  <si>
    <t>内分泌五十一</t>
  </si>
  <si>
    <t>3259290</t>
  </si>
  <si>
    <t>王人予</t>
  </si>
  <si>
    <t>9.4</t>
  </si>
  <si>
    <t>44.8</t>
  </si>
  <si>
    <t>76.8</t>
  </si>
  <si>
    <t>30</t>
  </si>
  <si>
    <t>31.7</t>
  </si>
  <si>
    <t>9.86</t>
  </si>
  <si>
    <t>4.62</t>
  </si>
  <si>
    <t>81</t>
  </si>
  <si>
    <t>46</t>
  </si>
  <si>
    <t>8.10</t>
  </si>
  <si>
    <t>刘维山</t>
  </si>
  <si>
    <t>3298592</t>
  </si>
  <si>
    <t>王开文</t>
  </si>
  <si>
    <t>34.9</t>
  </si>
  <si>
    <t>74.2</t>
  </si>
  <si>
    <t>29</t>
  </si>
  <si>
    <t>9.20</t>
  </si>
  <si>
    <t>9.2</t>
  </si>
  <si>
    <t>3.68</t>
  </si>
  <si>
    <t>4.32</t>
  </si>
  <si>
    <t>1.37</t>
  </si>
  <si>
    <t>2.01</t>
  </si>
  <si>
    <t>95</t>
  </si>
  <si>
    <t>61</t>
  </si>
  <si>
    <t>62.5</t>
  </si>
  <si>
    <t>普外十肝胆胰疝</t>
  </si>
  <si>
    <t>王敬冉</t>
  </si>
  <si>
    <t>第二重症医学科</t>
  </si>
  <si>
    <t>陈明浩</t>
  </si>
  <si>
    <t>孔凤娥</t>
  </si>
  <si>
    <t>于保兰</t>
  </si>
  <si>
    <t>东院重症医学科</t>
  </si>
  <si>
    <t>袁庆林</t>
  </si>
  <si>
    <t>马正平</t>
  </si>
  <si>
    <t>李科彦</t>
  </si>
  <si>
    <t>代英俊</t>
  </si>
  <si>
    <t>刘传玉</t>
  </si>
  <si>
    <t>王更芝</t>
  </si>
  <si>
    <t>胡兴长</t>
  </si>
  <si>
    <t>李秀芝</t>
  </si>
  <si>
    <t>孙庆书</t>
  </si>
  <si>
    <t>黄士兰</t>
  </si>
  <si>
    <t>李永源</t>
  </si>
  <si>
    <t>15949043156</t>
  </si>
  <si>
    <t>陈瑞兰</t>
  </si>
  <si>
    <t>孙茂珠</t>
  </si>
  <si>
    <t>纪加佑</t>
  </si>
  <si>
    <t>殷建云</t>
  </si>
  <si>
    <t>烧伤整形外科</t>
  </si>
  <si>
    <t>读家岭</t>
  </si>
  <si>
    <t>3248127</t>
  </si>
  <si>
    <t>卜宪美</t>
  </si>
  <si>
    <t>16.6</t>
  </si>
  <si>
    <t>34.2</t>
  </si>
  <si>
    <t>8.30</t>
  </si>
  <si>
    <t>93.40</t>
  </si>
  <si>
    <t>4.36</t>
  </si>
  <si>
    <t>152</t>
  </si>
  <si>
    <t>51</t>
  </si>
  <si>
    <t>5.90</t>
  </si>
  <si>
    <t>肖后兰</t>
  </si>
  <si>
    <t>3508528</t>
  </si>
  <si>
    <t>张开英</t>
  </si>
  <si>
    <t>150</t>
  </si>
  <si>
    <t>46.4</t>
  </si>
  <si>
    <t>6.7</t>
  </si>
  <si>
    <t>44.0</t>
  </si>
  <si>
    <t>85</t>
  </si>
  <si>
    <t>77.31</t>
  </si>
  <si>
    <t>4.66</t>
  </si>
  <si>
    <t>5.22</t>
  </si>
  <si>
    <t>1.38</t>
  </si>
  <si>
    <t>2.60</t>
  </si>
  <si>
    <t>165</t>
  </si>
  <si>
    <t>胡修颖</t>
  </si>
  <si>
    <t>尹文侠</t>
  </si>
  <si>
    <t>15152460512</t>
  </si>
  <si>
    <t>张武科</t>
  </si>
  <si>
    <t>李春久</t>
  </si>
  <si>
    <t>马新民</t>
  </si>
  <si>
    <t>沈华新</t>
  </si>
  <si>
    <t>3259269</t>
  </si>
  <si>
    <t>吴书全</t>
  </si>
  <si>
    <t>6.5</t>
  </si>
  <si>
    <t>131</t>
  </si>
  <si>
    <t>38.1</t>
  </si>
  <si>
    <t>69.1</t>
  </si>
  <si>
    <t>30.0</t>
  </si>
  <si>
    <t>19.80</t>
  </si>
  <si>
    <t>159</t>
  </si>
  <si>
    <t>3.52</t>
  </si>
  <si>
    <t>4.64</t>
  </si>
  <si>
    <t>115</t>
  </si>
  <si>
    <t>东院肿瘤内四</t>
  </si>
  <si>
    <t>6.10</t>
  </si>
  <si>
    <t>3279566</t>
  </si>
  <si>
    <t>丁玉英</t>
  </si>
  <si>
    <t>28.2</t>
  </si>
  <si>
    <t>44.4</t>
  </si>
  <si>
    <t>7.12</t>
  </si>
  <si>
    <t>49</t>
  </si>
  <si>
    <t>6.27</t>
  </si>
  <si>
    <t>2.46</t>
  </si>
  <si>
    <t>4.37</t>
  </si>
  <si>
    <t>1.21</t>
  </si>
  <si>
    <t>149</t>
  </si>
  <si>
    <t>6.30</t>
  </si>
  <si>
    <t>段宜芬</t>
  </si>
  <si>
    <t>刘素兰</t>
  </si>
  <si>
    <t>刘玉美</t>
  </si>
  <si>
    <t>3304260</t>
  </si>
  <si>
    <t>刘善奎</t>
  </si>
  <si>
    <t>24.6</t>
  </si>
  <si>
    <t>237.8</t>
  </si>
  <si>
    <t>25.0</t>
  </si>
  <si>
    <t>25.31</t>
  </si>
  <si>
    <t>82.73</t>
  </si>
  <si>
    <t>阳性</t>
  </si>
  <si>
    <t>136</t>
  </si>
  <si>
    <t>周美英</t>
  </si>
  <si>
    <t>昝荣英</t>
  </si>
  <si>
    <t>郝以山</t>
  </si>
  <si>
    <t>孙景章</t>
  </si>
  <si>
    <t>佟大仁</t>
  </si>
  <si>
    <t>吕兴英</t>
  </si>
  <si>
    <t>卜庆修</t>
  </si>
  <si>
    <t>房继英</t>
  </si>
  <si>
    <t>李淑英</t>
  </si>
  <si>
    <t>顾秋萍</t>
  </si>
  <si>
    <t>李敬源</t>
  </si>
  <si>
    <t>季刚贤</t>
  </si>
  <si>
    <t>杨洪吉</t>
  </si>
  <si>
    <t>17396858223</t>
  </si>
  <si>
    <t>张德兰</t>
  </si>
  <si>
    <t>3251070</t>
  </si>
  <si>
    <t>夏淑鸾</t>
  </si>
  <si>
    <t>13912000833</t>
  </si>
  <si>
    <t>8018.90</t>
  </si>
  <si>
    <t>25.1</t>
  </si>
  <si>
    <t>40.1</t>
  </si>
  <si>
    <t>8.54</t>
  </si>
  <si>
    <t>4.82</t>
  </si>
  <si>
    <t>0.81</t>
  </si>
  <si>
    <t>3.23</t>
  </si>
  <si>
    <t>张荣华</t>
  </si>
  <si>
    <t>郑桂兰</t>
  </si>
  <si>
    <t>3260952</t>
  </si>
  <si>
    <t>郭洪英</t>
  </si>
  <si>
    <t>5.1</t>
  </si>
  <si>
    <t>121</t>
  </si>
  <si>
    <t>38.8</t>
  </si>
  <si>
    <t>48</t>
  </si>
  <si>
    <t>34.8</t>
  </si>
  <si>
    <t>9.21</t>
  </si>
  <si>
    <t>8.11</t>
  </si>
  <si>
    <t>143</t>
  </si>
  <si>
    <t>妇科一</t>
  </si>
  <si>
    <t>陈招衔</t>
  </si>
  <si>
    <t>付玉兰</t>
  </si>
  <si>
    <t>王素兰</t>
  </si>
  <si>
    <t>13685177289</t>
  </si>
  <si>
    <t>3277227</t>
  </si>
  <si>
    <t>魏克英</t>
  </si>
  <si>
    <t>38.20</t>
  </si>
  <si>
    <t>63</t>
  </si>
  <si>
    <t>34.3</t>
  </si>
  <si>
    <t>9.78</t>
  </si>
  <si>
    <t>4.00</t>
  </si>
  <si>
    <t>113</t>
  </si>
  <si>
    <t>73</t>
  </si>
  <si>
    <t>付连友</t>
  </si>
  <si>
    <t>黄秀云</t>
  </si>
  <si>
    <t>崔德华</t>
  </si>
  <si>
    <t>祖文英</t>
  </si>
  <si>
    <t>张文山</t>
  </si>
  <si>
    <t>3261490</t>
  </si>
  <si>
    <t>鲍计忠</t>
  </si>
  <si>
    <t>28.0</t>
  </si>
  <si>
    <t>14</t>
  </si>
  <si>
    <t>36.2</t>
  </si>
  <si>
    <t>6.20</t>
  </si>
  <si>
    <t>67</t>
  </si>
  <si>
    <t>3.86</t>
  </si>
  <si>
    <t>155</t>
  </si>
  <si>
    <t>张淑英</t>
  </si>
  <si>
    <t>连保兰</t>
  </si>
  <si>
    <t>15205233428</t>
  </si>
  <si>
    <t>荣克夫</t>
  </si>
  <si>
    <t>3505341</t>
  </si>
  <si>
    <t>王绪</t>
  </si>
  <si>
    <t>24.7</t>
  </si>
  <si>
    <t>34.1</t>
  </si>
  <si>
    <t>29.03</t>
  </si>
  <si>
    <t>331</t>
  </si>
  <si>
    <t>25.29</t>
  </si>
  <si>
    <t>4.49</t>
  </si>
  <si>
    <t>李桂凤</t>
  </si>
  <si>
    <t>李天义</t>
  </si>
  <si>
    <t>赵美荣</t>
  </si>
  <si>
    <t>3289027</t>
  </si>
  <si>
    <t>罗卓亭</t>
  </si>
  <si>
    <t>16.8</t>
  </si>
  <si>
    <t>28.3</t>
  </si>
  <si>
    <t>119.0</t>
  </si>
  <si>
    <t>5.54</t>
  </si>
  <si>
    <t>6.50</t>
  </si>
  <si>
    <t>2.82</t>
  </si>
  <si>
    <t>169</t>
  </si>
  <si>
    <t>神经外科三十六</t>
  </si>
  <si>
    <t>徐玉贵</t>
  </si>
  <si>
    <t>李保兰</t>
  </si>
  <si>
    <t>18751724941</t>
  </si>
  <si>
    <t>宋广兰</t>
  </si>
  <si>
    <t>3+</t>
  </si>
  <si>
    <t>3515940</t>
  </si>
  <si>
    <t>郝心诗</t>
  </si>
  <si>
    <t>9.3</t>
  </si>
  <si>
    <t>39.3</t>
  </si>
  <si>
    <t>77.9</t>
  </si>
  <si>
    <t>39.0</t>
  </si>
  <si>
    <t>8.59</t>
  </si>
  <si>
    <t>3.02</t>
  </si>
  <si>
    <t>5.18</t>
  </si>
  <si>
    <t>&gt;37800</t>
  </si>
  <si>
    <t>朱继明</t>
  </si>
  <si>
    <t>3299079</t>
  </si>
  <si>
    <t>杨书华</t>
  </si>
  <si>
    <t>123</t>
  </si>
  <si>
    <t>39.8</t>
  </si>
  <si>
    <t>12.1</t>
  </si>
  <si>
    <t>37.7</t>
  </si>
  <si>
    <t>6.44</t>
  </si>
  <si>
    <t>4.71</t>
  </si>
  <si>
    <t>3.74</t>
  </si>
  <si>
    <t>101</t>
  </si>
  <si>
    <t>胡向云</t>
  </si>
  <si>
    <t>薛书美</t>
  </si>
  <si>
    <t>赵先礼</t>
  </si>
  <si>
    <t>孟现芳</t>
  </si>
  <si>
    <t>3255384</t>
  </si>
  <si>
    <t>张凤英</t>
  </si>
  <si>
    <t>14.0</t>
  </si>
  <si>
    <t>39.9</t>
  </si>
  <si>
    <t>9.52</t>
  </si>
  <si>
    <t>79.05</t>
  </si>
  <si>
    <t>9.79</t>
  </si>
  <si>
    <t>4.15</t>
  </si>
  <si>
    <t>沈永胜</t>
  </si>
  <si>
    <t>孟昭云</t>
  </si>
  <si>
    <t>郑忠臣</t>
  </si>
  <si>
    <t>韩景芬</t>
  </si>
  <si>
    <t>3497402</t>
  </si>
  <si>
    <t>吴信建</t>
  </si>
  <si>
    <t>4.6</t>
  </si>
  <si>
    <t>27.7</t>
  </si>
  <si>
    <t>1.0</t>
  </si>
  <si>
    <t>41.7</t>
  </si>
  <si>
    <t>5.45</t>
  </si>
  <si>
    <t>86.37</t>
  </si>
  <si>
    <t>4.11</t>
  </si>
  <si>
    <t>高伯仁</t>
  </si>
  <si>
    <t>周革生</t>
  </si>
  <si>
    <t>杜荣娥</t>
  </si>
  <si>
    <t>赵爱侠</t>
  </si>
  <si>
    <t>代夫兰</t>
  </si>
  <si>
    <t>石荣香</t>
  </si>
  <si>
    <t>汪永芝</t>
  </si>
  <si>
    <t>任秀华</t>
  </si>
  <si>
    <t>周庆年</t>
  </si>
  <si>
    <t>曹荣彩</t>
  </si>
  <si>
    <t>梁邦银</t>
  </si>
  <si>
    <t>张振英</t>
  </si>
  <si>
    <t>&gt;70000</t>
  </si>
  <si>
    <t>王士民</t>
  </si>
  <si>
    <t>顾海云</t>
  </si>
  <si>
    <t>孟庆余</t>
  </si>
  <si>
    <t>曹素英</t>
  </si>
  <si>
    <t>王景芝</t>
  </si>
  <si>
    <t>李坚启</t>
  </si>
  <si>
    <t>王玉琴</t>
  </si>
  <si>
    <t>2+</t>
  </si>
  <si>
    <t>陈良翠</t>
  </si>
  <si>
    <t>张素梅</t>
  </si>
  <si>
    <t>王素华</t>
  </si>
  <si>
    <t>孙秀兰</t>
  </si>
  <si>
    <t>腾尚平</t>
  </si>
  <si>
    <t>张洪志</t>
  </si>
  <si>
    <t>曹昌洪</t>
  </si>
  <si>
    <t>刘月红</t>
  </si>
  <si>
    <t>徐进华</t>
  </si>
  <si>
    <t>&lt;0.2</t>
  </si>
  <si>
    <t>李文华</t>
  </si>
  <si>
    <t>魏贤栋</t>
  </si>
  <si>
    <t>藏学英</t>
  </si>
  <si>
    <t>3258676</t>
  </si>
  <si>
    <t>权玲英</t>
  </si>
  <si>
    <t>5.3</t>
  </si>
  <si>
    <t>32.0</t>
  </si>
  <si>
    <t>8.0</t>
  </si>
  <si>
    <t>13</t>
  </si>
  <si>
    <t>3.80</t>
  </si>
  <si>
    <t>43</t>
  </si>
  <si>
    <t>3.90</t>
  </si>
  <si>
    <t>40</t>
  </si>
  <si>
    <t>东院放疗科七</t>
  </si>
  <si>
    <t>高仲甫</t>
  </si>
  <si>
    <t>&lt;0.3</t>
  </si>
  <si>
    <t>孟庆森</t>
  </si>
  <si>
    <t>刘世长</t>
  </si>
  <si>
    <t>高秀英</t>
  </si>
  <si>
    <t>张桂芳</t>
  </si>
  <si>
    <t>13705216525</t>
  </si>
  <si>
    <t>苏广勋</t>
  </si>
  <si>
    <t>李金城</t>
  </si>
  <si>
    <t>赵安瑶</t>
  </si>
  <si>
    <t>韩兰英</t>
  </si>
  <si>
    <t>李荣席</t>
  </si>
  <si>
    <t>?16.7</t>
  </si>
  <si>
    <t>王永英</t>
  </si>
  <si>
    <t>崔秀龄</t>
  </si>
  <si>
    <t>&gt;30000</t>
  </si>
  <si>
    <t>邵秀兰</t>
  </si>
  <si>
    <t>3299295</t>
  </si>
  <si>
    <t>朱瑞英</t>
  </si>
  <si>
    <t>7.7</t>
  </si>
  <si>
    <t>48.4</t>
  </si>
  <si>
    <t>33.0</t>
  </si>
  <si>
    <t>7.10</t>
  </si>
  <si>
    <t>70.55</t>
  </si>
  <si>
    <t>4.19</t>
  </si>
  <si>
    <t>夏光秀</t>
  </si>
  <si>
    <t>王振栋</t>
  </si>
  <si>
    <t>潘瑞麟</t>
  </si>
  <si>
    <t>19895256877</t>
  </si>
  <si>
    <t>周生兰</t>
  </si>
  <si>
    <t>金田德</t>
  </si>
  <si>
    <t>王洪成</t>
  </si>
  <si>
    <t>宋传珠</t>
  </si>
  <si>
    <t>宋千云</t>
  </si>
  <si>
    <t>张开文</t>
  </si>
  <si>
    <t>3322619</t>
  </si>
  <si>
    <t>戴世法</t>
  </si>
  <si>
    <t>42.9</t>
  </si>
  <si>
    <t>31.6</t>
  </si>
  <si>
    <t>31.13</t>
  </si>
  <si>
    <t>291</t>
  </si>
  <si>
    <t>28.72</t>
  </si>
  <si>
    <t>170</t>
  </si>
  <si>
    <t>3263308</t>
  </si>
  <si>
    <t>李士英</t>
  </si>
  <si>
    <t>9.0</t>
  </si>
  <si>
    <t>109</t>
  </si>
  <si>
    <t>32.7</t>
  </si>
  <si>
    <t>87.4</t>
  </si>
  <si>
    <t>40.7</t>
  </si>
  <si>
    <t>7.80</t>
  </si>
  <si>
    <t>94.10</t>
  </si>
  <si>
    <t>4.73</t>
  </si>
  <si>
    <t>3.71</t>
  </si>
  <si>
    <t>1.25</t>
  </si>
  <si>
    <t>3.11</t>
  </si>
  <si>
    <t>187</t>
  </si>
  <si>
    <t>东院感染病科二七</t>
  </si>
  <si>
    <t>张文银</t>
  </si>
  <si>
    <t>李从辉</t>
  </si>
  <si>
    <t>张瑞芹</t>
  </si>
  <si>
    <t>谢洪生</t>
  </si>
  <si>
    <t>倪兰华</t>
  </si>
  <si>
    <t>白祥茹</t>
  </si>
  <si>
    <t>李宪德</t>
  </si>
  <si>
    <t>张永兰</t>
  </si>
  <si>
    <t>李彩平</t>
  </si>
  <si>
    <t>神经内六十二</t>
  </si>
  <si>
    <t>孙存法</t>
  </si>
  <si>
    <t>3250600</t>
  </si>
  <si>
    <t>钮传法</t>
  </si>
  <si>
    <t>60.8</t>
  </si>
  <si>
    <t>19.0</t>
  </si>
  <si>
    <t>7.52</t>
  </si>
  <si>
    <t>76.83</t>
  </si>
  <si>
    <t>4.22</t>
  </si>
  <si>
    <t>120</t>
  </si>
  <si>
    <t>梁建芳</t>
  </si>
  <si>
    <t>朱化鹏</t>
  </si>
  <si>
    <t>刘在恩</t>
  </si>
  <si>
    <t>程训典</t>
  </si>
  <si>
    <t>3282074</t>
  </si>
  <si>
    <t>丁西玲</t>
  </si>
  <si>
    <t>7.40</t>
  </si>
  <si>
    <t>34.6</t>
  </si>
  <si>
    <t>11.4</t>
  </si>
  <si>
    <t>7.30</t>
  </si>
  <si>
    <t>5.82</t>
  </si>
  <si>
    <t>3.93</t>
  </si>
  <si>
    <t>180</t>
  </si>
  <si>
    <t>急诊外科</t>
  </si>
  <si>
    <t>3310284</t>
  </si>
  <si>
    <t>孙守强</t>
  </si>
  <si>
    <t>36.6</t>
  </si>
  <si>
    <t>46.2</t>
  </si>
  <si>
    <t>7.44</t>
  </si>
  <si>
    <t>4.8</t>
  </si>
  <si>
    <t>4.41</t>
  </si>
  <si>
    <t>107</t>
  </si>
  <si>
    <t>72.5</t>
  </si>
  <si>
    <t>3270727</t>
  </si>
  <si>
    <t>马骋</t>
  </si>
  <si>
    <t>45.4</t>
  </si>
  <si>
    <t>20.2</t>
  </si>
  <si>
    <t>7</t>
  </si>
  <si>
    <t>37.9</t>
  </si>
  <si>
    <t>9.03</t>
  </si>
  <si>
    <t>6.86</t>
  </si>
  <si>
    <t>3293903</t>
  </si>
  <si>
    <t>王保金</t>
  </si>
  <si>
    <t>102</t>
  </si>
  <si>
    <t>31.3</t>
  </si>
  <si>
    <t>25.9</t>
  </si>
  <si>
    <t>11.24</t>
  </si>
  <si>
    <t>82.19</t>
  </si>
  <si>
    <t>4.87</t>
  </si>
  <si>
    <t>蔡金浦</t>
  </si>
  <si>
    <t>贾玉霞</t>
  </si>
  <si>
    <t>胡长杰</t>
  </si>
  <si>
    <t>15952262062</t>
  </si>
  <si>
    <t>3241652</t>
  </si>
  <si>
    <t>孙荣侠</t>
  </si>
  <si>
    <t>20.3</t>
  </si>
  <si>
    <t>42.2</t>
  </si>
  <si>
    <t>5.60</t>
  </si>
  <si>
    <t>4.54</t>
  </si>
  <si>
    <t>东院神经外科</t>
  </si>
  <si>
    <t>卜素贞</t>
  </si>
  <si>
    <t>王秀兰</t>
  </si>
  <si>
    <t>徐秀华</t>
  </si>
  <si>
    <t>3264400</t>
  </si>
  <si>
    <t>董秀荣</t>
  </si>
  <si>
    <t>40.9</t>
  </si>
  <si>
    <t>5.80</t>
  </si>
  <si>
    <t>114.74</t>
  </si>
  <si>
    <t>2.87</t>
  </si>
  <si>
    <t>4.58</t>
  </si>
  <si>
    <t>1.00</t>
  </si>
  <si>
    <t>1.87</t>
  </si>
  <si>
    <t>东院感染病科二五</t>
  </si>
  <si>
    <t>张金玲</t>
  </si>
  <si>
    <t>051666633901</t>
  </si>
  <si>
    <t>杜秀侠</t>
  </si>
  <si>
    <t>陈有英</t>
  </si>
  <si>
    <t>周全德</t>
  </si>
  <si>
    <t>3275177</t>
  </si>
  <si>
    <t>尹淑芬</t>
  </si>
  <si>
    <t>132</t>
  </si>
  <si>
    <t>43.2</t>
  </si>
  <si>
    <t>46.3</t>
  </si>
  <si>
    <t>41.8</t>
  </si>
  <si>
    <t>37</t>
  </si>
  <si>
    <t>5.57</t>
  </si>
  <si>
    <t>2.93</t>
  </si>
  <si>
    <t>4.59</t>
  </si>
  <si>
    <t>1.03</t>
  </si>
  <si>
    <t>1.55</t>
  </si>
  <si>
    <t>3241010</t>
  </si>
  <si>
    <t>陈书芹</t>
  </si>
  <si>
    <t>5.7</t>
  </si>
  <si>
    <t>72.8</t>
  </si>
  <si>
    <t>32.2</t>
  </si>
  <si>
    <t>2.71</t>
  </si>
  <si>
    <t>3284427</t>
  </si>
  <si>
    <t>8.60</t>
  </si>
  <si>
    <t>5.43</t>
  </si>
  <si>
    <t>3323917</t>
  </si>
  <si>
    <t>孙兰英</t>
  </si>
  <si>
    <t>15062106367</t>
  </si>
  <si>
    <t>33.86</t>
  </si>
  <si>
    <t>82.0</t>
  </si>
  <si>
    <t>43.4</t>
  </si>
  <si>
    <t>9.74</t>
  </si>
  <si>
    <t>2.76</t>
  </si>
  <si>
    <t>4.60</t>
  </si>
  <si>
    <t>0.88</t>
  </si>
  <si>
    <t>1.26</t>
  </si>
  <si>
    <t>222</t>
  </si>
  <si>
    <t>神经外科三十五</t>
  </si>
  <si>
    <t>胡之娥</t>
  </si>
  <si>
    <t>陆秀兰</t>
  </si>
  <si>
    <t>王素玲</t>
  </si>
  <si>
    <t>3250068</t>
  </si>
  <si>
    <t>汤辉</t>
  </si>
  <si>
    <t>96.30</t>
  </si>
  <si>
    <t>43.90</t>
  </si>
  <si>
    <t>77.5</t>
  </si>
  <si>
    <t>37.0</t>
  </si>
  <si>
    <t>9.63</t>
  </si>
  <si>
    <t>67.69</t>
  </si>
  <si>
    <t>2.49</t>
  </si>
  <si>
    <t>5.26</t>
  </si>
  <si>
    <t>0.49</t>
  </si>
  <si>
    <t>1.60</t>
  </si>
  <si>
    <t>162</t>
  </si>
  <si>
    <t>泌尿外十六</t>
  </si>
  <si>
    <t>11.60</t>
  </si>
  <si>
    <t>&gt;30000.00</t>
  </si>
  <si>
    <t>3275247</t>
  </si>
  <si>
    <t>李艳侠</t>
  </si>
  <si>
    <t>29.6</t>
  </si>
  <si>
    <t>56.9</t>
  </si>
  <si>
    <t>4.13</t>
  </si>
  <si>
    <t>4.44</t>
  </si>
  <si>
    <t>134</t>
  </si>
  <si>
    <t>谢丽坤</t>
  </si>
  <si>
    <t>孟现桃</t>
  </si>
  <si>
    <t>张学云</t>
  </si>
  <si>
    <t>?30.7</t>
  </si>
  <si>
    <t>?4.4</t>
  </si>
  <si>
    <t>江兴兰</t>
  </si>
  <si>
    <t>蒋素懿</t>
  </si>
  <si>
    <t>牛永兰</t>
  </si>
  <si>
    <t>朱兰英</t>
  </si>
  <si>
    <t>李月华</t>
  </si>
  <si>
    <t>3299131</t>
  </si>
  <si>
    <t>王广礼</t>
  </si>
  <si>
    <t>153</t>
  </si>
  <si>
    <t>47.6</t>
  </si>
  <si>
    <t>97.5</t>
  </si>
  <si>
    <t>43.1</t>
  </si>
  <si>
    <t>9.98</t>
  </si>
  <si>
    <t>8.4</t>
  </si>
  <si>
    <t>4.70</t>
  </si>
  <si>
    <t>171</t>
  </si>
  <si>
    <t>神经外科三十七</t>
  </si>
  <si>
    <t>胡电英</t>
  </si>
  <si>
    <t>张清侠</t>
  </si>
  <si>
    <t>朱成俊</t>
  </si>
  <si>
    <t>刘素娥</t>
  </si>
  <si>
    <t>3258558</t>
  </si>
  <si>
    <t>曹洪侠</t>
  </si>
  <si>
    <t>13905222226</t>
  </si>
  <si>
    <t>8.2</t>
  </si>
  <si>
    <t>25.8</t>
  </si>
  <si>
    <t>6.2</t>
  </si>
  <si>
    <t>35.6</t>
  </si>
  <si>
    <t>9.73</t>
  </si>
  <si>
    <t>32.90</t>
  </si>
  <si>
    <t>4.91</t>
  </si>
  <si>
    <t>4.21</t>
  </si>
  <si>
    <t>1.56</t>
  </si>
  <si>
    <t>10.50</t>
  </si>
  <si>
    <t>王郭氏</t>
  </si>
  <si>
    <t>郑衍玉</t>
  </si>
  <si>
    <t>3295415</t>
  </si>
  <si>
    <t>洪月英</t>
  </si>
  <si>
    <t>26.0</t>
  </si>
  <si>
    <t>33.7</t>
  </si>
  <si>
    <t>7.35</t>
  </si>
  <si>
    <t>6.14</t>
  </si>
  <si>
    <t>3.76</t>
  </si>
  <si>
    <t>李九安</t>
  </si>
  <si>
    <t>芦玉霞</t>
  </si>
  <si>
    <t>孙庆华</t>
  </si>
  <si>
    <t>梁秀芝</t>
  </si>
  <si>
    <t>魏香芝</t>
  </si>
  <si>
    <t>13470822218</t>
  </si>
  <si>
    <t>梁培英</t>
  </si>
  <si>
    <t>&gt;35000.0</t>
  </si>
  <si>
    <t>褚庆芝</t>
  </si>
  <si>
    <t>丁印华</t>
  </si>
  <si>
    <t>3331902</t>
  </si>
  <si>
    <t>丁庆美</t>
  </si>
  <si>
    <t>20.0</t>
  </si>
  <si>
    <t>199</t>
  </si>
  <si>
    <t>67.1</t>
  </si>
  <si>
    <t>72.04</t>
  </si>
  <si>
    <t>3.00</t>
  </si>
  <si>
    <t>4.90</t>
  </si>
  <si>
    <t>1.20</t>
  </si>
  <si>
    <t>血液内科五十五</t>
  </si>
  <si>
    <t>白克振</t>
  </si>
  <si>
    <t>柴凤云</t>
  </si>
  <si>
    <t>3263236</t>
  </si>
  <si>
    <t>王月兰</t>
  </si>
  <si>
    <t>35.8</t>
  </si>
  <si>
    <t>86.5</t>
  </si>
  <si>
    <t>37.4</t>
  </si>
  <si>
    <t>9.85</t>
  </si>
  <si>
    <t>249</t>
  </si>
  <si>
    <t>44.29</t>
  </si>
  <si>
    <t>孙井堂</t>
  </si>
  <si>
    <t>武世芳</t>
  </si>
  <si>
    <t>吴进堂</t>
  </si>
  <si>
    <t>周广兰</t>
  </si>
  <si>
    <t>李文超</t>
  </si>
  <si>
    <t>李淑贤</t>
  </si>
  <si>
    <t>时孝彬</t>
  </si>
  <si>
    <t>15190697911</t>
  </si>
  <si>
    <t>王素英</t>
  </si>
  <si>
    <t>沙朝芬</t>
  </si>
  <si>
    <t>谢飞鹏</t>
  </si>
  <si>
    <t>石开宣</t>
  </si>
  <si>
    <t>刘凤英</t>
  </si>
  <si>
    <t>汤立夫</t>
  </si>
  <si>
    <t>庄荣福</t>
  </si>
  <si>
    <t>李付春</t>
  </si>
  <si>
    <t>闻兰奎</t>
  </si>
  <si>
    <t>王树勤</t>
  </si>
  <si>
    <t>&lt;10.0</t>
  </si>
  <si>
    <t>路振更</t>
  </si>
  <si>
    <t>李大东</t>
  </si>
  <si>
    <t>张德荣</t>
  </si>
  <si>
    <t>刘学启</t>
  </si>
  <si>
    <t>3258827</t>
  </si>
  <si>
    <t>朱舒宜</t>
  </si>
  <si>
    <t>7.6</t>
  </si>
  <si>
    <t>37.2</t>
  </si>
  <si>
    <t>10</t>
  </si>
  <si>
    <t>37.1</t>
  </si>
  <si>
    <t>5.59</t>
  </si>
  <si>
    <t>0.74</t>
  </si>
  <si>
    <t>2.74</t>
  </si>
  <si>
    <t>195</t>
  </si>
  <si>
    <t>郭秀英</t>
  </si>
  <si>
    <t>周明科</t>
  </si>
  <si>
    <t>高明元</t>
  </si>
  <si>
    <t>谢俊英</t>
  </si>
  <si>
    <t>李玉明</t>
  </si>
  <si>
    <t>3511870</t>
  </si>
  <si>
    <t>于翠英</t>
  </si>
  <si>
    <t>32.8</t>
  </si>
  <si>
    <t>32.3</t>
  </si>
  <si>
    <t>29.1</t>
  </si>
  <si>
    <t>6.18</t>
  </si>
  <si>
    <t>144</t>
  </si>
  <si>
    <t>运动医学及综合骨科</t>
  </si>
  <si>
    <t>王洪启</t>
  </si>
  <si>
    <t>刘良朋</t>
  </si>
  <si>
    <t>王玉良</t>
  </si>
  <si>
    <t>祁友铭</t>
  </si>
  <si>
    <t>13382656017</t>
  </si>
  <si>
    <t>3298876</t>
  </si>
  <si>
    <t>赵守信</t>
  </si>
  <si>
    <t>3.7</t>
  </si>
  <si>
    <t>33.2</t>
  </si>
  <si>
    <t>71.75</t>
  </si>
  <si>
    <t>3.06</t>
  </si>
  <si>
    <t>0.85</t>
  </si>
  <si>
    <t>1.80</t>
  </si>
  <si>
    <t>东院介入科</t>
  </si>
  <si>
    <t>黄彩云</t>
  </si>
  <si>
    <t>娄淑荣</t>
  </si>
  <si>
    <t>3263455</t>
  </si>
  <si>
    <t>顾辉</t>
  </si>
  <si>
    <t>6.47</t>
  </si>
  <si>
    <t>68.38</t>
  </si>
  <si>
    <t>罗志前</t>
  </si>
  <si>
    <t>刘素云</t>
  </si>
  <si>
    <t>3273288</t>
  </si>
  <si>
    <t>徐永珍</t>
  </si>
  <si>
    <t>27.5</t>
  </si>
  <si>
    <t>26</t>
  </si>
  <si>
    <t>4.50</t>
  </si>
  <si>
    <t>118.47</t>
  </si>
  <si>
    <t>4.85</t>
  </si>
  <si>
    <t>东院放疗科八</t>
  </si>
  <si>
    <t>3511144</t>
  </si>
  <si>
    <t>王翠兰</t>
  </si>
  <si>
    <t>31.5</t>
  </si>
  <si>
    <t>6</t>
  </si>
  <si>
    <t>33.4</t>
  </si>
  <si>
    <t>6.41</t>
  </si>
  <si>
    <t>4.30</t>
  </si>
  <si>
    <t>朱文祥</t>
  </si>
  <si>
    <t>3495895</t>
  </si>
  <si>
    <t>陈永堂</t>
  </si>
  <si>
    <t>248.7</t>
  </si>
  <si>
    <t>3.01</t>
  </si>
  <si>
    <t>3.96</t>
  </si>
  <si>
    <t>133</t>
  </si>
  <si>
    <t>东院中西结合肿瘤二</t>
  </si>
  <si>
    <t>房振梅</t>
  </si>
  <si>
    <t>李春怀</t>
  </si>
  <si>
    <t>史为俊</t>
  </si>
  <si>
    <t>刘青云</t>
  </si>
  <si>
    <t>张文法</t>
  </si>
  <si>
    <t>唐朝兰</t>
  </si>
  <si>
    <t>张守启</t>
  </si>
  <si>
    <t>许金英</t>
  </si>
  <si>
    <t>3511107</t>
  </si>
  <si>
    <t>周广芝</t>
  </si>
  <si>
    <t>91.1</t>
  </si>
  <si>
    <t>65.86</t>
  </si>
  <si>
    <t>4.29</t>
  </si>
  <si>
    <t>王连中</t>
  </si>
  <si>
    <t>孟现高</t>
  </si>
  <si>
    <t>3255150</t>
  </si>
  <si>
    <t>王鸿济</t>
  </si>
  <si>
    <t>43.5</t>
  </si>
  <si>
    <t>8.98</t>
  </si>
  <si>
    <t>651</t>
  </si>
  <si>
    <t>11.57</t>
  </si>
  <si>
    <t>5.16</t>
  </si>
  <si>
    <t>3.64</t>
  </si>
  <si>
    <t>6.07</t>
  </si>
  <si>
    <t>1.10</t>
  </si>
  <si>
    <t>2.13</t>
  </si>
  <si>
    <t>156</t>
  </si>
  <si>
    <t>贾庆华</t>
  </si>
  <si>
    <t>吴夫荣</t>
  </si>
  <si>
    <t>3253485</t>
  </si>
  <si>
    <t>张尊京</t>
  </si>
  <si>
    <t>9.7</t>
  </si>
  <si>
    <t>21.2</t>
  </si>
  <si>
    <t>33.3</t>
  </si>
  <si>
    <t>7.50</t>
  </si>
  <si>
    <t>8.77</t>
  </si>
  <si>
    <t>李秀英</t>
  </si>
  <si>
    <t>崔井连</t>
  </si>
  <si>
    <t>18110730816</t>
  </si>
  <si>
    <t>李桂林</t>
  </si>
  <si>
    <t>黄长明</t>
  </si>
  <si>
    <t>马心奎</t>
  </si>
  <si>
    <t>刘荣华</t>
  </si>
  <si>
    <t>曹化美</t>
  </si>
  <si>
    <t>徐桂兰</t>
  </si>
  <si>
    <t>李居学</t>
  </si>
  <si>
    <t>陈旭东</t>
  </si>
  <si>
    <t>葛淑英</t>
  </si>
  <si>
    <t>周长锦</t>
  </si>
  <si>
    <t>刘庆云</t>
  </si>
  <si>
    <t>3235646</t>
  </si>
  <si>
    <t>吕桂兰</t>
  </si>
  <si>
    <t>12.2</t>
  </si>
  <si>
    <t>46.6</t>
  </si>
  <si>
    <t>61.63</t>
  </si>
  <si>
    <t>5.28</t>
  </si>
  <si>
    <t>肖运输</t>
  </si>
  <si>
    <t>刘大学</t>
  </si>
  <si>
    <t>&gt;42.83</t>
  </si>
  <si>
    <t>许德华</t>
  </si>
  <si>
    <t>凌振兰</t>
  </si>
  <si>
    <t>郑井珍</t>
  </si>
  <si>
    <t>孙玉贤</t>
  </si>
  <si>
    <t>王恩慈</t>
  </si>
  <si>
    <t>苗艾</t>
  </si>
  <si>
    <t>张素贞</t>
  </si>
  <si>
    <t>3321230</t>
  </si>
  <si>
    <t>韩书玲</t>
  </si>
  <si>
    <t>3.1</t>
  </si>
  <si>
    <t>30.7</t>
  </si>
  <si>
    <t>5.50</t>
  </si>
  <si>
    <t>6.03</t>
  </si>
  <si>
    <t>4.69</t>
  </si>
  <si>
    <t>3.82</t>
  </si>
  <si>
    <t>5.40</t>
  </si>
  <si>
    <t>丛玉兰</t>
  </si>
  <si>
    <t>张子良</t>
  </si>
  <si>
    <t>彭玉兰</t>
  </si>
  <si>
    <t>13852030177</t>
  </si>
  <si>
    <t>蒋广模</t>
  </si>
  <si>
    <t>13814439104</t>
  </si>
  <si>
    <t>3511301</t>
  </si>
  <si>
    <t>王新章</t>
  </si>
  <si>
    <t>45.1</t>
  </si>
  <si>
    <t>7.1</t>
  </si>
  <si>
    <t>4.75</t>
  </si>
  <si>
    <t>胡瑞侠</t>
  </si>
  <si>
    <t>3291331</t>
  </si>
  <si>
    <t>冯广环</t>
  </si>
  <si>
    <t>68.2</t>
  </si>
  <si>
    <t>6.00</t>
  </si>
  <si>
    <t>3.16</t>
  </si>
  <si>
    <t>3.84</t>
  </si>
  <si>
    <t>王圣银</t>
  </si>
  <si>
    <t>阮和英</t>
  </si>
  <si>
    <t>3265119</t>
  </si>
  <si>
    <t>苏启超</t>
  </si>
  <si>
    <t>40.00</t>
  </si>
  <si>
    <t>93.7</t>
  </si>
  <si>
    <t>9.10</t>
  </si>
  <si>
    <t>3260930</t>
  </si>
  <si>
    <t>黄运兰</t>
  </si>
  <si>
    <t>22.2</t>
  </si>
  <si>
    <t>46.18</t>
  </si>
  <si>
    <t>418</t>
  </si>
  <si>
    <t>11.22</t>
  </si>
  <si>
    <t>7.72</t>
  </si>
  <si>
    <t>5.25</t>
  </si>
  <si>
    <t>151</t>
  </si>
  <si>
    <t>王金云</t>
  </si>
  <si>
    <t>彭允俊</t>
  </si>
  <si>
    <t>吕尊玲</t>
  </si>
  <si>
    <t>戚于氏</t>
  </si>
  <si>
    <t>郑秀兰</t>
  </si>
  <si>
    <t>3315316</t>
  </si>
  <si>
    <t>姜炳春</t>
  </si>
  <si>
    <t>4.5</t>
  </si>
  <si>
    <t>147</t>
  </si>
  <si>
    <t>47.0</t>
  </si>
  <si>
    <t>9.22</t>
  </si>
  <si>
    <t>12.43</t>
  </si>
  <si>
    <t>3.58</t>
  </si>
  <si>
    <t>0.80</t>
  </si>
  <si>
    <t>2.09</t>
  </si>
  <si>
    <t>王兴化</t>
  </si>
  <si>
    <t>?6.8</t>
  </si>
  <si>
    <t>郭华成</t>
  </si>
  <si>
    <t>黄爱芹</t>
  </si>
  <si>
    <t>18751798659</t>
  </si>
  <si>
    <t>刘孝英</t>
  </si>
  <si>
    <t>15656753510</t>
  </si>
  <si>
    <t>杜兰英</t>
  </si>
  <si>
    <t>陈令树</t>
  </si>
  <si>
    <t>程家云</t>
  </si>
  <si>
    <t>曹克远</t>
  </si>
  <si>
    <t>&gt;50470</t>
  </si>
  <si>
    <t>郁在尚</t>
  </si>
  <si>
    <t>陈百京</t>
  </si>
  <si>
    <t>黄昌英</t>
  </si>
  <si>
    <t>李祥民</t>
  </si>
  <si>
    <t>陈令彩</t>
  </si>
  <si>
    <t>3293801</t>
  </si>
  <si>
    <t>刘运修</t>
  </si>
  <si>
    <t>45.36</t>
  </si>
  <si>
    <t>98.7</t>
  </si>
  <si>
    <t>4.88</t>
  </si>
  <si>
    <t>神经外重症监护</t>
  </si>
  <si>
    <t>朱秀芹</t>
  </si>
  <si>
    <t>王立勤</t>
  </si>
  <si>
    <t>沈彩英</t>
  </si>
  <si>
    <t>李明合</t>
  </si>
  <si>
    <t>耿学桂</t>
  </si>
  <si>
    <t>江玉侠</t>
  </si>
  <si>
    <t>&gt;7000</t>
  </si>
  <si>
    <t>&gt;42000</t>
  </si>
  <si>
    <t>高夏云</t>
  </si>
  <si>
    <t>15152089888</t>
  </si>
  <si>
    <t>石金平</t>
  </si>
  <si>
    <t>13327931137</t>
  </si>
  <si>
    <t>王敬荣</t>
  </si>
  <si>
    <t>张怀英</t>
  </si>
  <si>
    <t>3295127</t>
  </si>
  <si>
    <t>徐思兰</t>
  </si>
  <si>
    <t>22.7</t>
  </si>
  <si>
    <t>10.49</t>
  </si>
  <si>
    <t>173</t>
  </si>
  <si>
    <t>26.48</t>
  </si>
  <si>
    <t>3272269</t>
  </si>
  <si>
    <t>4.0</t>
  </si>
  <si>
    <t>25.5</t>
  </si>
  <si>
    <t>8.87</t>
  </si>
  <si>
    <t>217</t>
  </si>
  <si>
    <t>40.38</t>
  </si>
  <si>
    <t>4.18</t>
  </si>
  <si>
    <t>薛文河</t>
  </si>
  <si>
    <t>王培生</t>
  </si>
  <si>
    <t>胡绍辰</t>
  </si>
  <si>
    <t>顾桂莲</t>
  </si>
  <si>
    <t>15996972721</t>
  </si>
  <si>
    <t>朱成年</t>
  </si>
  <si>
    <t>周贤彩</t>
  </si>
  <si>
    <t>心脏大血管外科</t>
  </si>
  <si>
    <t>郭胜永</t>
  </si>
  <si>
    <t>姚明领</t>
  </si>
  <si>
    <t>贺恒山</t>
  </si>
  <si>
    <t>李桂侠</t>
  </si>
  <si>
    <t>&lt;20</t>
  </si>
  <si>
    <t>刘金凤</t>
  </si>
  <si>
    <t>郑荣华</t>
  </si>
  <si>
    <t>张云峰</t>
  </si>
  <si>
    <t>高庆山</t>
  </si>
  <si>
    <t>宋文荣</t>
  </si>
  <si>
    <t>张爱英</t>
  </si>
  <si>
    <t>张清泉</t>
  </si>
  <si>
    <t>杨翠芳</t>
  </si>
  <si>
    <t>郭瑞芳</t>
  </si>
  <si>
    <t>吴井文</t>
  </si>
  <si>
    <t>李洪英</t>
  </si>
  <si>
    <t>陈兆于</t>
  </si>
  <si>
    <t>18164324494</t>
  </si>
  <si>
    <t>3281152</t>
  </si>
  <si>
    <t>张尊荣</t>
  </si>
  <si>
    <t>10.2</t>
  </si>
  <si>
    <t>3.50</t>
  </si>
  <si>
    <t>4.98</t>
  </si>
  <si>
    <t>104</t>
  </si>
  <si>
    <t>25</t>
  </si>
  <si>
    <t>井开升</t>
  </si>
  <si>
    <t>张永夫</t>
  </si>
  <si>
    <t>15152072449</t>
  </si>
  <si>
    <t>司元华</t>
  </si>
  <si>
    <t>?0.5</t>
  </si>
  <si>
    <t>&gt;320</t>
  </si>
  <si>
    <t>朱效廷</t>
  </si>
  <si>
    <t>孟宪芝</t>
  </si>
  <si>
    <t>沈庆兰</t>
  </si>
  <si>
    <t>梁传凤</t>
  </si>
  <si>
    <t>东院消化内科</t>
  </si>
  <si>
    <t>3257257</t>
  </si>
  <si>
    <t>李有寒</t>
  </si>
  <si>
    <t>15152459365</t>
  </si>
  <si>
    <t>45.5</t>
  </si>
  <si>
    <t>61.5</t>
  </si>
  <si>
    <t>41.5</t>
  </si>
  <si>
    <t>5.00</t>
  </si>
  <si>
    <t>7.22</t>
  </si>
  <si>
    <t>5.44</t>
  </si>
  <si>
    <t>1.77</t>
  </si>
  <si>
    <t>2.70</t>
  </si>
  <si>
    <t>36</t>
  </si>
  <si>
    <t>杜桂英</t>
  </si>
  <si>
    <t>王兴坤</t>
  </si>
  <si>
    <t>李立江</t>
  </si>
  <si>
    <t>沙德宽</t>
  </si>
  <si>
    <t>赵德丰</t>
  </si>
  <si>
    <t>鲁金叶</t>
  </si>
  <si>
    <t>武建堂</t>
  </si>
  <si>
    <t>夏春雪</t>
  </si>
  <si>
    <t>刘培均</t>
  </si>
  <si>
    <t>王显云</t>
  </si>
  <si>
    <t>13813486110</t>
  </si>
  <si>
    <t>王传明</t>
  </si>
  <si>
    <t>唐世杰</t>
  </si>
  <si>
    <t>王家章</t>
  </si>
  <si>
    <t>陈喜山</t>
  </si>
  <si>
    <t>李振志</t>
  </si>
  <si>
    <t>3298670</t>
  </si>
  <si>
    <t>胡桂新</t>
  </si>
  <si>
    <t>117</t>
  </si>
  <si>
    <t>71.1</t>
  </si>
  <si>
    <t>4.61</t>
  </si>
  <si>
    <t>普外胃肠外十二</t>
  </si>
  <si>
    <t>李德成</t>
  </si>
  <si>
    <t>李文永</t>
  </si>
  <si>
    <t>胡孝华</t>
  </si>
  <si>
    <t>鲍德义</t>
  </si>
  <si>
    <t>13775218140</t>
  </si>
  <si>
    <t>王孝生</t>
  </si>
  <si>
    <t>王世美</t>
  </si>
  <si>
    <t>郑友明</t>
  </si>
  <si>
    <t>王淑英</t>
  </si>
  <si>
    <t>乔翠英</t>
  </si>
  <si>
    <t>周德平</t>
  </si>
  <si>
    <t>3511101</t>
  </si>
  <si>
    <t>徐启玲</t>
  </si>
  <si>
    <t>35.5</t>
  </si>
  <si>
    <t>9.96</t>
  </si>
  <si>
    <t>99.62</t>
  </si>
  <si>
    <t>8.50</t>
  </si>
  <si>
    <t>3.99</t>
  </si>
  <si>
    <t>口腔颌面外科</t>
  </si>
  <si>
    <t>王淑伦</t>
  </si>
  <si>
    <t>马恩美</t>
  </si>
  <si>
    <t>孟宪春</t>
  </si>
  <si>
    <t>郝玉贵</t>
  </si>
  <si>
    <t>黄其安</t>
  </si>
  <si>
    <t>3296712</t>
  </si>
  <si>
    <t>吴云泗</t>
  </si>
  <si>
    <t>40.3</t>
  </si>
  <si>
    <t>4.3</t>
  </si>
  <si>
    <t>3.87</t>
  </si>
  <si>
    <t>0.92</t>
  </si>
  <si>
    <t>2.44</t>
  </si>
  <si>
    <t>胡义振</t>
  </si>
  <si>
    <t>张道义</t>
  </si>
  <si>
    <t>&lt;1.09</t>
  </si>
  <si>
    <t>3299478</t>
  </si>
  <si>
    <t>朱德宏</t>
  </si>
  <si>
    <t>7.0</t>
  </si>
  <si>
    <t>135</t>
  </si>
  <si>
    <t>40.5</t>
  </si>
  <si>
    <t>16.7</t>
  </si>
  <si>
    <t>38.5</t>
  </si>
  <si>
    <t>4.06</t>
  </si>
  <si>
    <t>3.97</t>
  </si>
  <si>
    <t>谢皆仁</t>
  </si>
  <si>
    <t>3300684</t>
  </si>
  <si>
    <t>薛浩生</t>
  </si>
  <si>
    <t>106.9</t>
  </si>
  <si>
    <t>33.9</t>
  </si>
  <si>
    <t>2.39</t>
  </si>
  <si>
    <t>4.99</t>
  </si>
  <si>
    <t>郑秀玲</t>
  </si>
  <si>
    <t>3310596</t>
  </si>
  <si>
    <t>15.2</t>
  </si>
  <si>
    <t>29.8</t>
  </si>
  <si>
    <t>67.8</t>
  </si>
  <si>
    <t>7.97</t>
  </si>
  <si>
    <t>50.34</t>
  </si>
  <si>
    <t>105</t>
  </si>
  <si>
    <t>袁玉田</t>
  </si>
  <si>
    <t>宋德民</t>
  </si>
  <si>
    <t>张美娥</t>
  </si>
  <si>
    <t>陈辉</t>
  </si>
  <si>
    <t>梅召侠</t>
  </si>
  <si>
    <t>张翠平</t>
  </si>
  <si>
    <t>贾志坤</t>
  </si>
  <si>
    <t>15295794575</t>
  </si>
  <si>
    <t>&lt;3.57</t>
  </si>
  <si>
    <t>&lt;66.3</t>
  </si>
  <si>
    <t>王开银</t>
  </si>
  <si>
    <t>栗文思</t>
  </si>
  <si>
    <t>5+</t>
  </si>
  <si>
    <t>支有兑</t>
  </si>
  <si>
    <t>郝巧玲</t>
  </si>
  <si>
    <t>13852158698</t>
  </si>
  <si>
    <t>姚桂平</t>
  </si>
  <si>
    <t>黄大立</t>
  </si>
  <si>
    <t>王金霞</t>
  </si>
  <si>
    <t>15996957773</t>
  </si>
  <si>
    <t>傅少华</t>
  </si>
  <si>
    <t>?20.3</t>
  </si>
  <si>
    <t>孟宪朋</t>
  </si>
  <si>
    <t>3312631</t>
  </si>
  <si>
    <t>徐建生</t>
  </si>
  <si>
    <t>9.1</t>
  </si>
  <si>
    <t>50.66</t>
  </si>
  <si>
    <t>92.0</t>
  </si>
  <si>
    <t>9.62</t>
  </si>
  <si>
    <t>89.96</t>
  </si>
  <si>
    <t>3.81</t>
  </si>
  <si>
    <t>0.75</t>
  </si>
  <si>
    <t>2.98</t>
  </si>
  <si>
    <t>梁书华</t>
  </si>
  <si>
    <t>汪呈义</t>
  </si>
  <si>
    <t>张效忠</t>
  </si>
  <si>
    <t>于运刚</t>
  </si>
  <si>
    <t>翟仁海</t>
  </si>
  <si>
    <t>张玉真</t>
  </si>
  <si>
    <t>13485845190</t>
  </si>
  <si>
    <t>孙某亮</t>
  </si>
  <si>
    <t>3241110</t>
  </si>
  <si>
    <t>李包氏</t>
  </si>
  <si>
    <t>20.5</t>
  </si>
  <si>
    <t>98.0</t>
  </si>
  <si>
    <t>6.97</t>
  </si>
  <si>
    <t>李西芝</t>
  </si>
  <si>
    <t>邱永传</t>
  </si>
  <si>
    <t>3251526</t>
  </si>
  <si>
    <t>刘昌怀</t>
  </si>
  <si>
    <t>25.3</t>
  </si>
  <si>
    <t>48.6</t>
  </si>
  <si>
    <t>27.1</t>
  </si>
  <si>
    <t>29.68</t>
  </si>
  <si>
    <t>545</t>
  </si>
  <si>
    <t>9.95</t>
  </si>
  <si>
    <t>阳性(+)</t>
  </si>
  <si>
    <t>梁正田</t>
  </si>
  <si>
    <t>李德华</t>
  </si>
  <si>
    <t>汤继珍</t>
  </si>
  <si>
    <t>张振达</t>
  </si>
  <si>
    <t>张若英</t>
  </si>
  <si>
    <t>李祥记</t>
  </si>
  <si>
    <t>姚念富</t>
  </si>
  <si>
    <t>?36.8</t>
  </si>
  <si>
    <t>孙金英</t>
  </si>
  <si>
    <t>陈秀英</t>
  </si>
  <si>
    <t>张广田</t>
  </si>
  <si>
    <t>周则良</t>
  </si>
  <si>
    <t>/</t>
  </si>
  <si>
    <t>许先松</t>
  </si>
  <si>
    <t>张志玲</t>
  </si>
  <si>
    <t>苏玉岭</t>
  </si>
  <si>
    <t>包广志</t>
  </si>
  <si>
    <t>丁学勤</t>
  </si>
  <si>
    <t>郭美华</t>
  </si>
  <si>
    <t>刘朝宜</t>
  </si>
  <si>
    <t>耿民</t>
  </si>
  <si>
    <t>3265648</t>
  </si>
  <si>
    <t>张云荣</t>
  </si>
  <si>
    <t>14.5</t>
  </si>
  <si>
    <t>81.1</t>
  </si>
  <si>
    <t>6.13</t>
  </si>
  <si>
    <t>16.95</t>
  </si>
  <si>
    <t>4.20</t>
  </si>
  <si>
    <t>167</t>
  </si>
  <si>
    <t>3495571</t>
  </si>
  <si>
    <t>李贺</t>
  </si>
  <si>
    <t>27.2</t>
  </si>
  <si>
    <t>49.2</t>
  </si>
  <si>
    <t>34.4</t>
  </si>
  <si>
    <t>0</t>
  </si>
  <si>
    <t>3275244</t>
  </si>
  <si>
    <t>张庆华</t>
  </si>
  <si>
    <t>93.2</t>
  </si>
  <si>
    <t>31.0</t>
  </si>
  <si>
    <t>80.4</t>
  </si>
  <si>
    <t>4.24</t>
  </si>
  <si>
    <t>朱成香</t>
  </si>
  <si>
    <t>王作汉</t>
  </si>
  <si>
    <t>花怀安</t>
  </si>
  <si>
    <t>曹开荣</t>
  </si>
  <si>
    <t>王资风</t>
  </si>
  <si>
    <t>13013989656</t>
  </si>
  <si>
    <t>王景超</t>
  </si>
  <si>
    <t>张文侠</t>
  </si>
  <si>
    <t>吴世甲</t>
  </si>
  <si>
    <t>陈绳全</t>
  </si>
  <si>
    <t>王玉侠</t>
  </si>
  <si>
    <t>刘志丹</t>
  </si>
  <si>
    <t>周美荣</t>
  </si>
  <si>
    <t>武立侠</t>
  </si>
  <si>
    <t>孙井书</t>
  </si>
  <si>
    <t>潘万存</t>
  </si>
  <si>
    <t>丁善本</t>
  </si>
  <si>
    <t>18115267683</t>
  </si>
  <si>
    <t>史艳秋</t>
  </si>
  <si>
    <t>&lt;4</t>
  </si>
  <si>
    <t>许守存</t>
  </si>
  <si>
    <t>吴林付</t>
  </si>
  <si>
    <t>15162211733</t>
  </si>
  <si>
    <t>韩盛民</t>
  </si>
  <si>
    <t>卢怀民</t>
  </si>
  <si>
    <t>高凤连</t>
  </si>
  <si>
    <t>杨敬花</t>
  </si>
  <si>
    <t>仇保参</t>
  </si>
  <si>
    <t>范军田</t>
  </si>
  <si>
    <t>李自行</t>
  </si>
  <si>
    <t>18796227195</t>
  </si>
  <si>
    <t>王洪想</t>
  </si>
  <si>
    <t>贺永义</t>
  </si>
  <si>
    <t>王运侠</t>
  </si>
  <si>
    <t>18005210697</t>
  </si>
  <si>
    <t>谢印夫</t>
  </si>
  <si>
    <t>杭凤兰</t>
  </si>
  <si>
    <t>朱瑞华</t>
  </si>
  <si>
    <t>徐彦文</t>
  </si>
  <si>
    <t>18344887878</t>
  </si>
  <si>
    <t>新秀英</t>
  </si>
  <si>
    <t>张长娥</t>
  </si>
  <si>
    <t>15996926743</t>
  </si>
  <si>
    <t>朱子芹</t>
  </si>
  <si>
    <t>刘西瑞</t>
  </si>
  <si>
    <t>李桂芝</t>
  </si>
  <si>
    <t>张丽芳</t>
  </si>
  <si>
    <t>周玉梅</t>
  </si>
  <si>
    <t>3490525</t>
  </si>
  <si>
    <t>唐二玲</t>
  </si>
  <si>
    <t>33.50</t>
  </si>
  <si>
    <t>92.9</t>
  </si>
  <si>
    <t>117.22</t>
  </si>
  <si>
    <t>王秀云</t>
  </si>
  <si>
    <t>刘安平</t>
  </si>
  <si>
    <t>顾德法</t>
  </si>
  <si>
    <t xml:space="preserve">卧床 </t>
  </si>
  <si>
    <t>王克亮</t>
  </si>
  <si>
    <t>18000111018</t>
  </si>
  <si>
    <t>窦勤学</t>
  </si>
  <si>
    <t>马德福</t>
  </si>
  <si>
    <t>花纯好</t>
  </si>
  <si>
    <t>李大富</t>
  </si>
  <si>
    <t>张佑法</t>
  </si>
  <si>
    <t>3323331</t>
  </si>
  <si>
    <t>王荣芝</t>
  </si>
  <si>
    <t>37.36</t>
  </si>
  <si>
    <t>86.7</t>
  </si>
  <si>
    <t>7.65</t>
  </si>
  <si>
    <t>厉业密</t>
  </si>
  <si>
    <t>闫月兰</t>
  </si>
  <si>
    <t>王如民</t>
  </si>
  <si>
    <t>付业银</t>
  </si>
  <si>
    <t>张瑞云</t>
  </si>
  <si>
    <t>魏云峰</t>
  </si>
  <si>
    <t>周生贵</t>
  </si>
  <si>
    <t>李怀珍</t>
  </si>
  <si>
    <t>郭朋英</t>
  </si>
  <si>
    <t>13775898926</t>
  </si>
  <si>
    <t>经仁春</t>
  </si>
  <si>
    <t>王继波</t>
  </si>
  <si>
    <t>鹿守敏</t>
  </si>
  <si>
    <t>王西元</t>
  </si>
  <si>
    <t>13776421592</t>
  </si>
  <si>
    <t>3285508</t>
  </si>
  <si>
    <t>郭大荣</t>
  </si>
  <si>
    <t>161</t>
  </si>
  <si>
    <t>48.3</t>
  </si>
  <si>
    <t>106.2</t>
  </si>
  <si>
    <t>23</t>
  </si>
  <si>
    <t>45.6</t>
  </si>
  <si>
    <t>6.34</t>
  </si>
  <si>
    <t>8.63</t>
  </si>
  <si>
    <t>4.25</t>
  </si>
  <si>
    <t>106</t>
  </si>
  <si>
    <t>李成金</t>
  </si>
  <si>
    <t>王宗理</t>
  </si>
  <si>
    <t>杜长兰</t>
  </si>
  <si>
    <t>张世美</t>
  </si>
  <si>
    <t>单士辉</t>
  </si>
  <si>
    <t>代体斌</t>
  </si>
  <si>
    <t>姜树立</t>
  </si>
  <si>
    <t>朱秀迎</t>
  </si>
  <si>
    <t>3259271</t>
  </si>
  <si>
    <t>徐凤华</t>
  </si>
  <si>
    <t>7.8</t>
  </si>
  <si>
    <t>38.6</t>
  </si>
  <si>
    <t>99.4</t>
  </si>
  <si>
    <t>9.00</t>
  </si>
  <si>
    <t>2.32</t>
  </si>
  <si>
    <t>4.48</t>
  </si>
  <si>
    <t>0.64</t>
  </si>
  <si>
    <t>1.07</t>
  </si>
  <si>
    <t>东院感染病科二六</t>
  </si>
  <si>
    <t>孟现彩</t>
  </si>
  <si>
    <t>张普丁</t>
  </si>
  <si>
    <t>15062163669</t>
  </si>
  <si>
    <t>常淑英</t>
  </si>
  <si>
    <t>侯万山</t>
  </si>
  <si>
    <t>良月娥</t>
  </si>
  <si>
    <t>王召理</t>
  </si>
  <si>
    <t>唐生琼</t>
  </si>
  <si>
    <t>袁静云</t>
  </si>
  <si>
    <t>13626169080</t>
  </si>
  <si>
    <t>朱孙氏</t>
  </si>
  <si>
    <t>徐翠友</t>
  </si>
  <si>
    <t>周德英</t>
  </si>
  <si>
    <t>黄书侠</t>
  </si>
  <si>
    <t>?30.5</t>
  </si>
  <si>
    <t>任永凤</t>
  </si>
  <si>
    <t>王新江</t>
  </si>
  <si>
    <t>朱效凤</t>
  </si>
  <si>
    <t>刘兆銮</t>
  </si>
  <si>
    <t>杜月云</t>
  </si>
  <si>
    <t>陈建华</t>
  </si>
  <si>
    <t>陈长荣</t>
  </si>
  <si>
    <t>13338972022</t>
  </si>
  <si>
    <t>陈帮侠</t>
  </si>
  <si>
    <t>庄敬侠</t>
  </si>
  <si>
    <t>杨念伯</t>
  </si>
  <si>
    <t>王艳侠</t>
  </si>
  <si>
    <t>徐彬洲</t>
  </si>
  <si>
    <t>李茂军</t>
  </si>
  <si>
    <t>张祖山</t>
  </si>
  <si>
    <t>赵金剑</t>
  </si>
  <si>
    <t>张德华</t>
  </si>
  <si>
    <t>13775980815</t>
  </si>
  <si>
    <t>孙治安</t>
  </si>
  <si>
    <t>桑书齐</t>
  </si>
  <si>
    <t>王秀芳</t>
  </si>
  <si>
    <t>齐开玉</t>
  </si>
  <si>
    <t>刘井元</t>
  </si>
  <si>
    <t>3259204</t>
  </si>
  <si>
    <t>刘运兰</t>
  </si>
  <si>
    <t>44.90</t>
  </si>
  <si>
    <t>26.1</t>
  </si>
  <si>
    <t>8.36</t>
  </si>
  <si>
    <t>378</t>
  </si>
  <si>
    <t>20.09</t>
  </si>
  <si>
    <t>孙宜江</t>
  </si>
  <si>
    <t>宋振华</t>
  </si>
  <si>
    <t>毛玉青</t>
  </si>
  <si>
    <t>3307648</t>
  </si>
  <si>
    <t>唐侠</t>
  </si>
  <si>
    <t>42.3</t>
  </si>
  <si>
    <t>99.7</t>
  </si>
  <si>
    <t>8.76</t>
  </si>
  <si>
    <t>5.35</t>
  </si>
  <si>
    <t>65·</t>
  </si>
  <si>
    <t>徐峰云</t>
  </si>
  <si>
    <t>杜庆允</t>
  </si>
  <si>
    <t>3258662</t>
  </si>
  <si>
    <t>马立友</t>
  </si>
  <si>
    <t>32.1</t>
  </si>
  <si>
    <t>9.65</t>
  </si>
  <si>
    <t>501</t>
  </si>
  <si>
    <t>29.18</t>
  </si>
  <si>
    <t>5.04</t>
  </si>
  <si>
    <t>7.70</t>
  </si>
  <si>
    <t>赵兴民</t>
  </si>
  <si>
    <t>李忠美</t>
  </si>
  <si>
    <t>3263865</t>
  </si>
  <si>
    <t>王方州</t>
  </si>
  <si>
    <t>18121757891</t>
  </si>
  <si>
    <t>5.5</t>
  </si>
  <si>
    <t>19.8</t>
  </si>
  <si>
    <t>8.95</t>
  </si>
  <si>
    <t>98.22</t>
  </si>
  <si>
    <t>1.94</t>
  </si>
  <si>
    <t>0.65</t>
  </si>
  <si>
    <t>0.76</t>
  </si>
  <si>
    <t>范书贞</t>
  </si>
  <si>
    <t>韩玉惠</t>
  </si>
  <si>
    <t>丁龙香</t>
  </si>
  <si>
    <t>刘桂英</t>
  </si>
  <si>
    <t xml:space="preserve">疼痛科 </t>
  </si>
  <si>
    <t>张学芹</t>
  </si>
  <si>
    <t>张广柱</t>
  </si>
  <si>
    <t>沈建设</t>
  </si>
  <si>
    <t>?8.2</t>
  </si>
  <si>
    <t>肖云</t>
  </si>
  <si>
    <t>3318955</t>
  </si>
  <si>
    <t>茌家允</t>
  </si>
  <si>
    <t>129</t>
  </si>
  <si>
    <t>58.80</t>
  </si>
  <si>
    <t>99.9</t>
  </si>
  <si>
    <t>27.64</t>
  </si>
  <si>
    <t>5.19</t>
  </si>
  <si>
    <t>糜桂岭</t>
  </si>
  <si>
    <t>3290338</t>
  </si>
  <si>
    <t>卓成军</t>
  </si>
  <si>
    <t>41.2</t>
  </si>
  <si>
    <t>30.1</t>
  </si>
  <si>
    <t>17.62</t>
  </si>
  <si>
    <t>372</t>
  </si>
  <si>
    <t>17.10</t>
  </si>
  <si>
    <t>5.48</t>
  </si>
  <si>
    <t>项宝华</t>
  </si>
  <si>
    <t>李建坤</t>
  </si>
  <si>
    <t>王全振</t>
  </si>
  <si>
    <t>李怀军</t>
  </si>
  <si>
    <t>刘兹兰</t>
  </si>
  <si>
    <t>姚秀兰</t>
  </si>
  <si>
    <t>孝衍彬</t>
  </si>
  <si>
    <t>吕少堂</t>
  </si>
  <si>
    <t>18068455873</t>
  </si>
  <si>
    <t>3240026</t>
  </si>
  <si>
    <t>耿标</t>
  </si>
  <si>
    <t>98.8</t>
  </si>
  <si>
    <t>23.9</t>
  </si>
  <si>
    <t>8.31</t>
  </si>
  <si>
    <t>77.14</t>
  </si>
  <si>
    <t>9.02</t>
  </si>
  <si>
    <t>3.66</t>
  </si>
  <si>
    <t>4.56</t>
  </si>
  <si>
    <t>1.14</t>
  </si>
  <si>
    <t>2.02</t>
  </si>
  <si>
    <t>3242873</t>
  </si>
  <si>
    <t>王翠平</t>
  </si>
  <si>
    <t>34.20</t>
  </si>
  <si>
    <t>55.7</t>
  </si>
  <si>
    <t>428</t>
  </si>
  <si>
    <t>9.68</t>
  </si>
  <si>
    <t>3.45</t>
  </si>
  <si>
    <t>5.38</t>
  </si>
  <si>
    <t>1.92</t>
  </si>
  <si>
    <t>孔爱英</t>
  </si>
  <si>
    <t>梁素芹</t>
  </si>
  <si>
    <t>18136021161</t>
  </si>
  <si>
    <t>郭广明</t>
  </si>
  <si>
    <t>孙庆兰</t>
  </si>
  <si>
    <t>3495564</t>
  </si>
  <si>
    <t>秦加夫</t>
  </si>
  <si>
    <t>34.22</t>
  </si>
  <si>
    <t>326</t>
  </si>
  <si>
    <t>42.66</t>
  </si>
  <si>
    <t>1.63</t>
  </si>
  <si>
    <t>0.44</t>
  </si>
  <si>
    <t>席正侠</t>
  </si>
  <si>
    <t>3295425</t>
  </si>
  <si>
    <t>郭井勤</t>
  </si>
  <si>
    <t>17.00</t>
  </si>
  <si>
    <t>345</t>
  </si>
  <si>
    <t>17.21</t>
  </si>
  <si>
    <t>178</t>
  </si>
  <si>
    <t>李胜兰</t>
  </si>
  <si>
    <t>孙爱华</t>
  </si>
  <si>
    <t>朱友玉</t>
  </si>
  <si>
    <t>13685129001</t>
  </si>
  <si>
    <t>吴正英</t>
  </si>
  <si>
    <t>邵珠华</t>
  </si>
  <si>
    <t>王为平</t>
  </si>
  <si>
    <t>3511837</t>
  </si>
  <si>
    <t>周什莲</t>
  </si>
  <si>
    <t>5.8</t>
  </si>
  <si>
    <t>42.5</t>
  </si>
  <si>
    <t>49.3</t>
  </si>
  <si>
    <t>14.70</t>
  </si>
  <si>
    <t>10.20</t>
  </si>
  <si>
    <t>杨迎香</t>
  </si>
  <si>
    <t>闻思栋</t>
  </si>
  <si>
    <t>王和启</t>
  </si>
  <si>
    <t>何凤英</t>
  </si>
  <si>
    <t>阚敦滨</t>
  </si>
  <si>
    <t>王贤德</t>
  </si>
  <si>
    <t>18552884503</t>
  </si>
  <si>
    <t>周秀清</t>
  </si>
  <si>
    <t>3499892</t>
  </si>
  <si>
    <t>靳秀兰</t>
  </si>
  <si>
    <t>43.6</t>
  </si>
  <si>
    <t>29.2</t>
  </si>
  <si>
    <t>7.28</t>
  </si>
  <si>
    <t>91.39</t>
  </si>
  <si>
    <t>4.39</t>
  </si>
  <si>
    <t>4.52</t>
  </si>
  <si>
    <t>1.23</t>
  </si>
  <si>
    <t>2.04</t>
  </si>
  <si>
    <t>3303044</t>
  </si>
  <si>
    <t>张凤侠</t>
  </si>
  <si>
    <t>4.40</t>
  </si>
  <si>
    <t>97.6</t>
  </si>
  <si>
    <t>6.46</t>
  </si>
  <si>
    <t>郑彦明</t>
  </si>
  <si>
    <t>赵荣艾</t>
  </si>
  <si>
    <t>3308978</t>
  </si>
  <si>
    <t>朱友侠</t>
  </si>
  <si>
    <t>95.3</t>
  </si>
  <si>
    <t>6.70</t>
  </si>
  <si>
    <t>4.04</t>
  </si>
  <si>
    <t>2.35</t>
  </si>
  <si>
    <t>6.80</t>
  </si>
  <si>
    <t>张明侠</t>
  </si>
  <si>
    <t>马子华</t>
  </si>
  <si>
    <t>13805227151</t>
  </si>
  <si>
    <t>3290313</t>
  </si>
  <si>
    <t>邵萍</t>
  </si>
  <si>
    <t>46.20</t>
  </si>
  <si>
    <t>95.5</t>
  </si>
  <si>
    <t>8.00</t>
  </si>
  <si>
    <t>0.59</t>
  </si>
  <si>
    <t>1.17</t>
  </si>
  <si>
    <t>郭进宅</t>
  </si>
  <si>
    <t>18761421285</t>
  </si>
  <si>
    <t>陈夫民</t>
  </si>
  <si>
    <t>刘振明</t>
  </si>
  <si>
    <t>马淑华</t>
  </si>
  <si>
    <t>朱秀英</t>
  </si>
  <si>
    <t>3252292</t>
  </si>
  <si>
    <t>杨永杰</t>
  </si>
  <si>
    <t>6.8</t>
  </si>
  <si>
    <t>49.5</t>
  </si>
  <si>
    <t>43.0</t>
  </si>
  <si>
    <t>43.7</t>
  </si>
  <si>
    <t>6.37</t>
  </si>
  <si>
    <t>92.63</t>
  </si>
  <si>
    <t>5.78</t>
  </si>
  <si>
    <t>王金镯</t>
  </si>
  <si>
    <t>刘文武</t>
  </si>
  <si>
    <t>13014045846</t>
  </si>
  <si>
    <t>姬秀兰</t>
  </si>
  <si>
    <t>孙金良</t>
  </si>
  <si>
    <t>陈玉麟</t>
  </si>
  <si>
    <t>李荣花</t>
  </si>
  <si>
    <t>15252221122</t>
  </si>
  <si>
    <t>任继莲</t>
  </si>
  <si>
    <t>闫四敏</t>
  </si>
  <si>
    <t>韩桂兰</t>
  </si>
  <si>
    <t>3277457</t>
  </si>
  <si>
    <t>王继章</t>
  </si>
  <si>
    <t>9.89</t>
  </si>
  <si>
    <t>陈高安</t>
  </si>
  <si>
    <t>李绍仪</t>
  </si>
  <si>
    <t>李学玲</t>
  </si>
  <si>
    <t>李惠君</t>
  </si>
  <si>
    <t>纪建民</t>
  </si>
  <si>
    <t>尹湘成</t>
  </si>
  <si>
    <t>马英华</t>
  </si>
  <si>
    <t>3316297</t>
  </si>
  <si>
    <t>王士举</t>
  </si>
  <si>
    <t>0.5</t>
  </si>
  <si>
    <t>23.74</t>
  </si>
  <si>
    <t>212</t>
  </si>
  <si>
    <t>44.27</t>
  </si>
  <si>
    <t>4.47</t>
  </si>
  <si>
    <t>肾脏移植中心</t>
  </si>
  <si>
    <t>张玉侠</t>
  </si>
  <si>
    <t>韩广金</t>
  </si>
  <si>
    <t>郭新义</t>
  </si>
  <si>
    <t>谢瑞标</t>
  </si>
  <si>
    <t>3251820</t>
  </si>
  <si>
    <t>姚志平</t>
  </si>
  <si>
    <t>15.0</t>
  </si>
  <si>
    <t>37.5</t>
  </si>
  <si>
    <t>8.45</t>
  </si>
  <si>
    <t>103.40</t>
  </si>
  <si>
    <t>魏秀兰</t>
  </si>
  <si>
    <t>曾昭启</t>
  </si>
  <si>
    <t>马桂侠</t>
  </si>
  <si>
    <t>韩友宪</t>
  </si>
  <si>
    <t>张安江</t>
  </si>
  <si>
    <t>王拂晓</t>
  </si>
  <si>
    <t>李素华</t>
  </si>
  <si>
    <t>朱洪侠</t>
  </si>
  <si>
    <t>张爱皊</t>
  </si>
  <si>
    <t>渠慎连</t>
  </si>
  <si>
    <t>卓文德</t>
  </si>
  <si>
    <t>王吉学</t>
  </si>
  <si>
    <t>张明才</t>
  </si>
  <si>
    <t>王洪菊</t>
  </si>
  <si>
    <t>蔡可华</t>
  </si>
  <si>
    <t>冯正云</t>
  </si>
  <si>
    <t>曹良凤</t>
  </si>
  <si>
    <t>3296564</t>
  </si>
  <si>
    <t>杨青问</t>
  </si>
  <si>
    <t>303.3</t>
  </si>
  <si>
    <t>9.67</t>
  </si>
  <si>
    <t>102.03</t>
  </si>
  <si>
    <t>1.08</t>
  </si>
  <si>
    <t>王会彬</t>
  </si>
  <si>
    <t>杜心玉</t>
  </si>
  <si>
    <t>吕士荣</t>
  </si>
  <si>
    <t>徐作虹</t>
  </si>
  <si>
    <t>史先伍</t>
  </si>
  <si>
    <t>3272952</t>
  </si>
  <si>
    <t>邱广侠</t>
  </si>
  <si>
    <t>35.9</t>
  </si>
  <si>
    <t>96.2</t>
  </si>
  <si>
    <t>9.13</t>
  </si>
  <si>
    <t>王庆花</t>
  </si>
  <si>
    <t>3251011</t>
  </si>
  <si>
    <t>田传斌</t>
  </si>
  <si>
    <t>30.5</t>
  </si>
  <si>
    <t>252.2</t>
  </si>
  <si>
    <t>24.0</t>
  </si>
  <si>
    <t>5.15</t>
  </si>
  <si>
    <t>0.21</t>
  </si>
  <si>
    <t>张朋</t>
  </si>
  <si>
    <t>程玉莲</t>
  </si>
  <si>
    <t>邱永兰</t>
  </si>
  <si>
    <t>姚焕平</t>
  </si>
  <si>
    <t>刘洪泰</t>
  </si>
  <si>
    <t>许玉栋</t>
  </si>
  <si>
    <t>张发展</t>
  </si>
  <si>
    <t>殷树仁</t>
  </si>
  <si>
    <t>唐成宣</t>
  </si>
  <si>
    <t>韩维荣</t>
  </si>
  <si>
    <t>梁化桥</t>
  </si>
  <si>
    <t>洪天臣</t>
  </si>
  <si>
    <t>胡建波</t>
  </si>
  <si>
    <t>杨龙民</t>
  </si>
  <si>
    <t>15922469368</t>
  </si>
  <si>
    <t>冯克柱</t>
  </si>
  <si>
    <t>&gt;7500</t>
  </si>
  <si>
    <t>李秀真</t>
  </si>
  <si>
    <t>18855748270</t>
  </si>
  <si>
    <t>吕后花</t>
  </si>
  <si>
    <t>杨新云</t>
  </si>
  <si>
    <t>刘志英</t>
  </si>
  <si>
    <t>李爱芹</t>
  </si>
  <si>
    <t>陈望东</t>
  </si>
  <si>
    <t>贾文民</t>
  </si>
  <si>
    <t>钱友晨</t>
  </si>
  <si>
    <t>沈文学</t>
  </si>
  <si>
    <t>李秀兰</t>
  </si>
  <si>
    <t>张邦兰</t>
  </si>
  <si>
    <t>19826024116</t>
  </si>
  <si>
    <t>许吉荣</t>
  </si>
  <si>
    <t>戈俊菊</t>
  </si>
  <si>
    <t>18852294512</t>
  </si>
  <si>
    <t>贺恒礼</t>
  </si>
  <si>
    <t>郭庆芬</t>
  </si>
  <si>
    <t>李秀申</t>
  </si>
  <si>
    <t>13913451859</t>
  </si>
  <si>
    <t>季昌敏</t>
  </si>
  <si>
    <t>张兰英</t>
  </si>
  <si>
    <t>&gt;385.00</t>
  </si>
  <si>
    <t>贾兴梅</t>
  </si>
  <si>
    <t>高振芳</t>
  </si>
  <si>
    <t>张继玲</t>
  </si>
  <si>
    <t>温克香</t>
  </si>
  <si>
    <t>王衍军</t>
  </si>
  <si>
    <t>13685194932</t>
  </si>
  <si>
    <t>王朝礼</t>
  </si>
  <si>
    <t>郑志强</t>
  </si>
  <si>
    <t>13775965355</t>
  </si>
  <si>
    <t>罗翠侠</t>
  </si>
  <si>
    <t>汪凤伦</t>
  </si>
  <si>
    <t>邓志英</t>
  </si>
  <si>
    <t>郭新社</t>
  </si>
  <si>
    <t>卢正光</t>
  </si>
  <si>
    <t>闫井江</t>
  </si>
  <si>
    <t>韩龙俊</t>
  </si>
  <si>
    <t>魏昌云</t>
  </si>
  <si>
    <t>19996668231</t>
  </si>
  <si>
    <t>朱信树</t>
  </si>
  <si>
    <t>闫士民</t>
  </si>
  <si>
    <t>李祥友</t>
  </si>
  <si>
    <t>3268825</t>
  </si>
  <si>
    <t>张淑云</t>
  </si>
  <si>
    <t>923.50</t>
  </si>
  <si>
    <t>29.4</t>
  </si>
  <si>
    <t>1.5</t>
  </si>
  <si>
    <t>9.27</t>
  </si>
  <si>
    <t>33.31</t>
  </si>
  <si>
    <t>5.71</t>
  </si>
  <si>
    <t>侯怀兰</t>
  </si>
  <si>
    <t>13852034910</t>
  </si>
  <si>
    <t>欧如玲</t>
  </si>
  <si>
    <t>孙茂达</t>
  </si>
  <si>
    <t>李成娥</t>
  </si>
  <si>
    <t>宋媛媛</t>
  </si>
  <si>
    <t>王庆迎</t>
  </si>
  <si>
    <t>宋桂香</t>
  </si>
  <si>
    <t>15252110088</t>
  </si>
  <si>
    <t>李允华</t>
  </si>
  <si>
    <t>宋景兰</t>
  </si>
  <si>
    <t>张宜彬</t>
  </si>
  <si>
    <t>3272142</t>
  </si>
  <si>
    <t>刘义举</t>
  </si>
  <si>
    <t>8.23</t>
  </si>
  <si>
    <t>101.02</t>
  </si>
  <si>
    <t>4.16</t>
  </si>
  <si>
    <t>石功波</t>
  </si>
  <si>
    <t>陈增春</t>
  </si>
  <si>
    <t>段广久</t>
  </si>
  <si>
    <t>薛建设</t>
  </si>
  <si>
    <t>程利敏</t>
  </si>
  <si>
    <t>3250119</t>
  </si>
  <si>
    <t>张方珍</t>
  </si>
  <si>
    <t>64.7</t>
  </si>
  <si>
    <t>34.7</t>
  </si>
  <si>
    <t>8.67</t>
  </si>
  <si>
    <t>116.86</t>
  </si>
  <si>
    <t>4.78</t>
  </si>
  <si>
    <t>赵保成</t>
  </si>
  <si>
    <t>李子君</t>
  </si>
  <si>
    <t>16725162086</t>
  </si>
  <si>
    <t>3257638</t>
  </si>
  <si>
    <t>崔广荣</t>
  </si>
  <si>
    <t>45.8</t>
  </si>
  <si>
    <t>39.5</t>
  </si>
  <si>
    <t>5.39</t>
  </si>
  <si>
    <t>3.92</t>
  </si>
  <si>
    <t>王继秀</t>
  </si>
  <si>
    <t>蒋翠平</t>
  </si>
  <si>
    <t>田家华</t>
  </si>
  <si>
    <t>吴成付</t>
  </si>
  <si>
    <t>陈德善</t>
  </si>
  <si>
    <t>陈秀侠</t>
  </si>
  <si>
    <t>董丽荣</t>
  </si>
  <si>
    <t>3293116</t>
  </si>
  <si>
    <t>王玉福</t>
  </si>
  <si>
    <t>124.4</t>
  </si>
  <si>
    <t>13.06</t>
  </si>
  <si>
    <t>229</t>
  </si>
  <si>
    <t>34.21</t>
  </si>
  <si>
    <t>5.32</t>
  </si>
  <si>
    <t>姚喜元</t>
  </si>
  <si>
    <t>3490304</t>
  </si>
  <si>
    <t>韩淑荣</t>
  </si>
  <si>
    <t>38.90</t>
  </si>
  <si>
    <t>8.20</t>
  </si>
  <si>
    <t>4.10</t>
  </si>
  <si>
    <t>126</t>
  </si>
  <si>
    <t>孟宪标</t>
  </si>
  <si>
    <t>张书金</t>
  </si>
  <si>
    <t>李云</t>
  </si>
  <si>
    <t>奚延龄</t>
  </si>
  <si>
    <t>刘光前</t>
  </si>
  <si>
    <t>刘立华</t>
  </si>
  <si>
    <t>李居辉</t>
  </si>
  <si>
    <t>王庆玲</t>
  </si>
  <si>
    <t>3502727</t>
  </si>
  <si>
    <t>刘秋芹</t>
  </si>
  <si>
    <t>5.6</t>
  </si>
  <si>
    <t>8.32</t>
  </si>
  <si>
    <t>97.84</t>
  </si>
  <si>
    <t>6.38</t>
  </si>
  <si>
    <t>王昌国</t>
  </si>
  <si>
    <t>晁月仁</t>
  </si>
  <si>
    <t>张作华</t>
  </si>
  <si>
    <t>马传学</t>
  </si>
  <si>
    <t>13685192826</t>
  </si>
  <si>
    <t>3256244</t>
  </si>
  <si>
    <t>田凤美</t>
  </si>
  <si>
    <t>8.58</t>
  </si>
  <si>
    <t>80.07</t>
  </si>
  <si>
    <t>3.36</t>
  </si>
  <si>
    <t>0.91</t>
  </si>
  <si>
    <t>3497865</t>
  </si>
  <si>
    <t>冀来英</t>
  </si>
  <si>
    <t>88.50</t>
  </si>
  <si>
    <t>28.90</t>
  </si>
  <si>
    <t>138</t>
  </si>
  <si>
    <t>43.10</t>
  </si>
  <si>
    <t>常加圣</t>
  </si>
  <si>
    <t>18751499137</t>
  </si>
  <si>
    <t>张淑芬</t>
  </si>
  <si>
    <t>?13.8</t>
  </si>
  <si>
    <t>赵汝龙</t>
  </si>
  <si>
    <t>任复兴</t>
  </si>
  <si>
    <t>姜朝元</t>
  </si>
  <si>
    <t>3499926</t>
  </si>
  <si>
    <t>闫四新</t>
  </si>
  <si>
    <t>3.0</t>
  </si>
  <si>
    <t>27.8</t>
  </si>
  <si>
    <t>宋殿英</t>
  </si>
  <si>
    <t>康建华</t>
  </si>
  <si>
    <t>赵传弟</t>
  </si>
  <si>
    <t>张翠荣</t>
  </si>
  <si>
    <t>李文买</t>
  </si>
  <si>
    <t>宗井水</t>
  </si>
  <si>
    <t>王甫刚</t>
  </si>
  <si>
    <t>金计合</t>
  </si>
  <si>
    <t>3272567</t>
  </si>
  <si>
    <t>周会平</t>
  </si>
  <si>
    <t>2.6</t>
  </si>
  <si>
    <t>24.8</t>
  </si>
  <si>
    <t>7.45</t>
  </si>
  <si>
    <t>4.77</t>
  </si>
  <si>
    <t>3264042</t>
  </si>
  <si>
    <t>24.1</t>
  </si>
  <si>
    <t>6.58</t>
  </si>
  <si>
    <t>48.12</t>
  </si>
  <si>
    <t>4.31</t>
  </si>
  <si>
    <t>张继奎</t>
  </si>
  <si>
    <t>3323170</t>
  </si>
  <si>
    <t>魏改枝</t>
  </si>
  <si>
    <t>87.70</t>
  </si>
  <si>
    <t>35.2</t>
  </si>
  <si>
    <t>9.33</t>
  </si>
  <si>
    <t>2.06</t>
  </si>
  <si>
    <t>丁翠侠</t>
  </si>
  <si>
    <t>3258771</t>
  </si>
  <si>
    <t>曹友庆</t>
  </si>
  <si>
    <t>39.1</t>
  </si>
  <si>
    <t>25.22</t>
  </si>
  <si>
    <t>890</t>
  </si>
  <si>
    <t>7.32</t>
  </si>
  <si>
    <t>3.28</t>
  </si>
  <si>
    <t>4.65</t>
  </si>
  <si>
    <t>秦庆贞</t>
  </si>
  <si>
    <t>3508101</t>
  </si>
  <si>
    <t>王敦伍</t>
  </si>
  <si>
    <t>46.9</t>
  </si>
  <si>
    <t>2.7</t>
  </si>
  <si>
    <t>9.91</t>
  </si>
  <si>
    <t>58.26</t>
  </si>
  <si>
    <t>4.46</t>
  </si>
  <si>
    <t>0.78</t>
  </si>
  <si>
    <t>路翠香</t>
  </si>
  <si>
    <t>韩心灵</t>
  </si>
  <si>
    <t>&lt;1.29</t>
  </si>
  <si>
    <t>刘广银</t>
  </si>
  <si>
    <t>3496810</t>
  </si>
  <si>
    <t>朱粹梅</t>
  </si>
  <si>
    <t>2.61</t>
  </si>
  <si>
    <t>4.79</t>
  </si>
  <si>
    <t>0.66</t>
  </si>
  <si>
    <t>1.09</t>
  </si>
  <si>
    <t>刘荣亮</t>
  </si>
  <si>
    <t>李侠</t>
  </si>
  <si>
    <t>3236585</t>
  </si>
  <si>
    <t>孟秀琴</t>
  </si>
  <si>
    <t>85.2</t>
  </si>
  <si>
    <t>9.37</t>
  </si>
  <si>
    <t>681</t>
  </si>
  <si>
    <t>8.53</t>
  </si>
  <si>
    <t>4.67</t>
  </si>
  <si>
    <t>2.27</t>
  </si>
  <si>
    <t>晏东李</t>
  </si>
  <si>
    <t>赵兰侠</t>
  </si>
  <si>
    <t>王建成</t>
  </si>
  <si>
    <t>王荣吉</t>
  </si>
  <si>
    <t>陈秀真</t>
  </si>
  <si>
    <t>李思英</t>
  </si>
  <si>
    <t>王文成</t>
  </si>
  <si>
    <t>丁秀侠</t>
  </si>
  <si>
    <t>刘勇</t>
  </si>
  <si>
    <t>高念兰</t>
  </si>
  <si>
    <t>邱熟翠</t>
  </si>
  <si>
    <t>郝建民</t>
  </si>
  <si>
    <t>刘玉英</t>
  </si>
  <si>
    <t>3269236</t>
  </si>
  <si>
    <t>马清早</t>
  </si>
  <si>
    <t>28.60</t>
  </si>
  <si>
    <t>34.5</t>
  </si>
  <si>
    <t>8.81</t>
  </si>
  <si>
    <t>宋树兰</t>
  </si>
  <si>
    <t>杜长杰</t>
  </si>
  <si>
    <t>1+</t>
  </si>
  <si>
    <t>张全体</t>
  </si>
  <si>
    <t>刘永军</t>
  </si>
  <si>
    <t>张西英</t>
  </si>
  <si>
    <t>胡国良</t>
  </si>
  <si>
    <t>解洪位</t>
  </si>
  <si>
    <t>杜文举</t>
  </si>
  <si>
    <t>单成俊</t>
  </si>
  <si>
    <t>3279480</t>
  </si>
  <si>
    <t>马远花</t>
  </si>
  <si>
    <t>4.4</t>
  </si>
  <si>
    <t>27.3</t>
  </si>
  <si>
    <t>115.27</t>
  </si>
  <si>
    <t>夏友明</t>
  </si>
  <si>
    <t>李风莲</t>
  </si>
  <si>
    <t>韩月侠</t>
  </si>
  <si>
    <t>王敏</t>
  </si>
  <si>
    <t>吕红保</t>
  </si>
  <si>
    <t>王远书</t>
  </si>
  <si>
    <t>?11.5</t>
  </si>
  <si>
    <t>胡敬英</t>
  </si>
  <si>
    <t>3270984</t>
  </si>
  <si>
    <t>张立永</t>
  </si>
  <si>
    <t>15366795697</t>
  </si>
  <si>
    <t>44.5</t>
  </si>
  <si>
    <t>98.82</t>
  </si>
  <si>
    <t>2.31</t>
  </si>
  <si>
    <t>张浩</t>
  </si>
  <si>
    <t>15252146948</t>
  </si>
  <si>
    <t>邱永海</t>
  </si>
  <si>
    <t>周瑞景</t>
  </si>
  <si>
    <t>余亚</t>
  </si>
  <si>
    <t>杨要洪</t>
  </si>
  <si>
    <t>宋颖</t>
  </si>
  <si>
    <t>13852108891</t>
  </si>
  <si>
    <t>于艳荣</t>
  </si>
  <si>
    <t>陈士凯</t>
  </si>
  <si>
    <t>赵爱民</t>
  </si>
  <si>
    <t>张合滕</t>
  </si>
  <si>
    <t>侯桂荣</t>
  </si>
  <si>
    <t>王会然</t>
  </si>
  <si>
    <t>杨金英</t>
  </si>
  <si>
    <t>方永红</t>
  </si>
  <si>
    <t>姜树岭</t>
  </si>
  <si>
    <t>靖大玉</t>
  </si>
  <si>
    <t>张长海</t>
  </si>
  <si>
    <t>王建国</t>
  </si>
  <si>
    <t>3273634</t>
  </si>
  <si>
    <t>刘书芹</t>
  </si>
  <si>
    <t>28.1</t>
  </si>
  <si>
    <t>77.7</t>
  </si>
  <si>
    <t>9.90</t>
  </si>
  <si>
    <t>86.98</t>
  </si>
  <si>
    <t>9.64</t>
  </si>
  <si>
    <t>2.36</t>
  </si>
  <si>
    <t>5.09</t>
  </si>
  <si>
    <t>12.90</t>
  </si>
  <si>
    <t>杜文书</t>
  </si>
  <si>
    <t>袁辉</t>
  </si>
  <si>
    <t>耿德旺</t>
  </si>
  <si>
    <t>张瑞庭</t>
  </si>
  <si>
    <t>李慧</t>
  </si>
  <si>
    <t>尹洪连</t>
  </si>
  <si>
    <t>邵华</t>
  </si>
  <si>
    <t>程守芝</t>
  </si>
  <si>
    <t>孔凡秀</t>
  </si>
  <si>
    <t>朱沛折</t>
  </si>
  <si>
    <t>张新玲</t>
  </si>
  <si>
    <t>3296056</t>
  </si>
  <si>
    <t>7.00</t>
  </si>
  <si>
    <t>23.3</t>
  </si>
  <si>
    <t>30.8</t>
  </si>
  <si>
    <t>51.46</t>
  </si>
  <si>
    <t>李兴君</t>
  </si>
  <si>
    <t>闵炜</t>
  </si>
  <si>
    <t>崔太国</t>
  </si>
  <si>
    <t>赵立中</t>
  </si>
  <si>
    <t>戴驰</t>
  </si>
  <si>
    <t>许凤</t>
  </si>
  <si>
    <t>李金民</t>
  </si>
  <si>
    <t>3494738</t>
  </si>
  <si>
    <t>朱贵玲</t>
  </si>
  <si>
    <t>22.6</t>
  </si>
  <si>
    <t>22.97</t>
  </si>
  <si>
    <t>272</t>
  </si>
  <si>
    <t>35.77</t>
  </si>
  <si>
    <t>张理栋</t>
  </si>
  <si>
    <t>刘坤</t>
  </si>
  <si>
    <t>张祥合</t>
  </si>
  <si>
    <t>崔芳</t>
  </si>
  <si>
    <t>刘循沛</t>
  </si>
  <si>
    <t>李全章</t>
  </si>
  <si>
    <t>韩毅</t>
  </si>
  <si>
    <t>3292243</t>
  </si>
  <si>
    <t>蔡大省</t>
  </si>
  <si>
    <t>6.56</t>
  </si>
  <si>
    <t>3.07</t>
  </si>
  <si>
    <t>3323846</t>
  </si>
  <si>
    <t>张杰</t>
  </si>
  <si>
    <t>王洪顺</t>
  </si>
  <si>
    <t>彭增宣</t>
  </si>
  <si>
    <t>胡强</t>
  </si>
  <si>
    <t>胡艳丽</t>
  </si>
  <si>
    <t>杨长江</t>
  </si>
  <si>
    <t>朱新玲</t>
  </si>
  <si>
    <t>陈思元</t>
  </si>
  <si>
    <t>王广玲</t>
  </si>
  <si>
    <t>段世法</t>
  </si>
  <si>
    <t>卢永元</t>
  </si>
  <si>
    <t>15050831831</t>
  </si>
  <si>
    <t>滕文章</t>
  </si>
  <si>
    <t>蔡知梅</t>
  </si>
  <si>
    <t>15062165411</t>
  </si>
  <si>
    <t>王淑兰</t>
  </si>
  <si>
    <t>邓守国</t>
  </si>
  <si>
    <t>梁智</t>
  </si>
  <si>
    <t>王爱侠</t>
  </si>
  <si>
    <t>王丙立</t>
  </si>
  <si>
    <t>王森廷</t>
  </si>
  <si>
    <t>周广玲</t>
  </si>
  <si>
    <t>李昌福</t>
  </si>
  <si>
    <t>彭贵平</t>
  </si>
  <si>
    <t>岳从军</t>
  </si>
  <si>
    <t>韩邦芹</t>
  </si>
  <si>
    <t>?8.9</t>
  </si>
  <si>
    <t>3306833</t>
  </si>
  <si>
    <t>何玉</t>
  </si>
  <si>
    <t>13.62</t>
  </si>
  <si>
    <t>67.93</t>
  </si>
  <si>
    <t>2.41</t>
  </si>
  <si>
    <t>3.31</t>
  </si>
  <si>
    <t>3315381</t>
  </si>
  <si>
    <t>候贵芹</t>
  </si>
  <si>
    <t>6.0</t>
  </si>
  <si>
    <t>9.76</t>
  </si>
  <si>
    <t>119.18</t>
  </si>
  <si>
    <t>5.87</t>
  </si>
  <si>
    <t>3296839</t>
  </si>
  <si>
    <t>刘洪权</t>
  </si>
  <si>
    <t>1.30</t>
  </si>
  <si>
    <t>3312457</t>
  </si>
  <si>
    <t>夏晓伟</t>
  </si>
  <si>
    <t>13852228591</t>
  </si>
  <si>
    <t>3312.30</t>
  </si>
  <si>
    <t>22.0</t>
  </si>
  <si>
    <t>92.4</t>
  </si>
  <si>
    <t>28.4</t>
  </si>
  <si>
    <t>52.74</t>
  </si>
  <si>
    <t>3.89</t>
  </si>
  <si>
    <t>3.34</t>
  </si>
  <si>
    <t>1.99</t>
  </si>
  <si>
    <t>11.00</t>
  </si>
  <si>
    <t>孙百成</t>
  </si>
  <si>
    <t>孙同云</t>
  </si>
  <si>
    <t>李西芹</t>
  </si>
  <si>
    <t>王国兰</t>
  </si>
  <si>
    <t>3276399</t>
  </si>
  <si>
    <t>李红艳</t>
  </si>
  <si>
    <t>29.9</t>
  </si>
  <si>
    <t>43.9</t>
  </si>
  <si>
    <t>39.2</t>
  </si>
  <si>
    <t>50.48</t>
  </si>
  <si>
    <t>李小彦</t>
  </si>
  <si>
    <t>张敬伍</t>
  </si>
  <si>
    <t>3276231</t>
  </si>
  <si>
    <t>鲍书美</t>
  </si>
  <si>
    <t>53.40</t>
  </si>
  <si>
    <t>12.4</t>
  </si>
  <si>
    <t>7.71</t>
  </si>
  <si>
    <t>5.03</t>
  </si>
  <si>
    <t>4.12</t>
  </si>
  <si>
    <t>0.58</t>
  </si>
  <si>
    <t>李桂芹</t>
  </si>
  <si>
    <t>张传志</t>
  </si>
  <si>
    <t>厉广林</t>
  </si>
  <si>
    <t>?6.7</t>
  </si>
  <si>
    <t>王玲</t>
  </si>
  <si>
    <t>郑恒道</t>
  </si>
  <si>
    <t>李树彩</t>
  </si>
  <si>
    <t>刘广华</t>
  </si>
  <si>
    <t>李菊英</t>
  </si>
  <si>
    <t>罗自刚</t>
  </si>
  <si>
    <t>13852075519</t>
  </si>
  <si>
    <t>3264959</t>
  </si>
  <si>
    <t>王金美</t>
  </si>
  <si>
    <t>42.6</t>
  </si>
  <si>
    <t>7.26</t>
  </si>
  <si>
    <t>179</t>
  </si>
  <si>
    <t>39.99</t>
  </si>
  <si>
    <t>5.62</t>
  </si>
  <si>
    <t>5.08</t>
  </si>
  <si>
    <t>3284655</t>
  </si>
  <si>
    <t>康力</t>
  </si>
  <si>
    <t>75.3</t>
  </si>
  <si>
    <t>张泉</t>
  </si>
  <si>
    <t>芈永松</t>
  </si>
  <si>
    <t>陈浩</t>
  </si>
  <si>
    <t>魏殿礼</t>
  </si>
  <si>
    <t>王培乐</t>
  </si>
  <si>
    <t>曹昌铃</t>
  </si>
  <si>
    <t>?9.0</t>
  </si>
  <si>
    <t>高连昌</t>
  </si>
  <si>
    <t>鲍美强</t>
  </si>
  <si>
    <t>3487867</t>
  </si>
  <si>
    <t>齐良志</t>
  </si>
  <si>
    <t>34.0</t>
  </si>
  <si>
    <t>26.06</t>
  </si>
  <si>
    <t>258</t>
  </si>
  <si>
    <t>30.73</t>
  </si>
  <si>
    <t>陈茂文</t>
  </si>
  <si>
    <t>3283003</t>
  </si>
  <si>
    <t>高歌</t>
  </si>
  <si>
    <t>8.9</t>
  </si>
  <si>
    <t>21.6</t>
  </si>
  <si>
    <t>3.6</t>
  </si>
  <si>
    <t>9.53</t>
  </si>
  <si>
    <t>石清梅</t>
  </si>
  <si>
    <t>?9.8</t>
  </si>
  <si>
    <t>邵忠义</t>
  </si>
  <si>
    <t>3289667</t>
  </si>
  <si>
    <t>张云兰</t>
  </si>
  <si>
    <t>15852227869</t>
  </si>
  <si>
    <t>3.5</t>
  </si>
  <si>
    <t>18.0</t>
  </si>
  <si>
    <t>234.4</t>
  </si>
  <si>
    <t>19.7</t>
  </si>
  <si>
    <t>2.53</t>
  </si>
  <si>
    <t>5.96</t>
  </si>
  <si>
    <t>0.19</t>
  </si>
  <si>
    <t>0.30</t>
  </si>
  <si>
    <t>龙美英</t>
  </si>
  <si>
    <t>?25.2</t>
  </si>
  <si>
    <t>李华</t>
  </si>
  <si>
    <t>常军</t>
  </si>
  <si>
    <t>3304510</t>
  </si>
  <si>
    <t>刘侃</t>
  </si>
  <si>
    <t>7.69</t>
  </si>
  <si>
    <t>3.21</t>
  </si>
  <si>
    <t>3276876</t>
  </si>
  <si>
    <t>张秀荣</t>
  </si>
  <si>
    <t>18252419279</t>
  </si>
  <si>
    <t>67.80</t>
  </si>
  <si>
    <t>13.42</t>
  </si>
  <si>
    <t>47.37</t>
  </si>
  <si>
    <t>7.37</t>
  </si>
  <si>
    <t>3.32</t>
  </si>
  <si>
    <t>1.29</t>
  </si>
  <si>
    <t>5.14</t>
  </si>
  <si>
    <t>174</t>
  </si>
  <si>
    <t>5.20</t>
  </si>
  <si>
    <t>3320737</t>
  </si>
  <si>
    <t>候红侠</t>
  </si>
  <si>
    <t>33.1</t>
  </si>
  <si>
    <t>273</t>
  </si>
  <si>
    <t>18.56</t>
  </si>
  <si>
    <t>5.74</t>
  </si>
  <si>
    <t>单世忠</t>
  </si>
  <si>
    <t>董玉龙</t>
  </si>
  <si>
    <t>纵新丽</t>
  </si>
  <si>
    <t>齐祥书</t>
  </si>
  <si>
    <t>刘秀芹</t>
  </si>
  <si>
    <t>曹香文</t>
  </si>
  <si>
    <t>?12.6</t>
  </si>
  <si>
    <t>3498924</t>
  </si>
  <si>
    <t>陈晓梅</t>
  </si>
  <si>
    <t>21.07</t>
  </si>
  <si>
    <t>371</t>
  </si>
  <si>
    <t>17.49</t>
  </si>
  <si>
    <t>7.66</t>
  </si>
  <si>
    <t>4.14</t>
  </si>
  <si>
    <t>李志平</t>
  </si>
  <si>
    <t>许强</t>
  </si>
  <si>
    <t>3323205</t>
  </si>
  <si>
    <t>尚雪刚</t>
  </si>
  <si>
    <t>44.9</t>
  </si>
  <si>
    <t>64.3</t>
  </si>
  <si>
    <t>36.4</t>
  </si>
  <si>
    <t>7.20</t>
  </si>
  <si>
    <t>2.94</t>
  </si>
  <si>
    <t>0.52</t>
  </si>
  <si>
    <t>1.98</t>
  </si>
  <si>
    <t>郑衍春</t>
  </si>
  <si>
    <t>3313148</t>
  </si>
  <si>
    <t>刘爱侠</t>
  </si>
  <si>
    <t>42.7</t>
  </si>
  <si>
    <t>38.7</t>
  </si>
  <si>
    <t>6.02</t>
  </si>
  <si>
    <t>16.87</t>
  </si>
  <si>
    <t>朱春艳</t>
  </si>
  <si>
    <t>3289094</t>
  </si>
  <si>
    <t>杨尚龙</t>
  </si>
  <si>
    <t>32.31</t>
  </si>
  <si>
    <t>491</t>
  </si>
  <si>
    <t>33.57</t>
  </si>
  <si>
    <t>1.58</t>
  </si>
  <si>
    <t>东院放疗科十</t>
  </si>
  <si>
    <t>孙善彬</t>
  </si>
  <si>
    <t>3293146</t>
  </si>
  <si>
    <t>胡居道</t>
  </si>
  <si>
    <t>5.21</t>
  </si>
  <si>
    <t>5.30</t>
  </si>
  <si>
    <t>3293864</t>
  </si>
  <si>
    <t>李香莲</t>
  </si>
  <si>
    <t>8.7</t>
  </si>
  <si>
    <t>76.6</t>
  </si>
  <si>
    <t>95.35</t>
  </si>
  <si>
    <t>崔玉侠</t>
  </si>
  <si>
    <t>13685150557</t>
  </si>
  <si>
    <t>肖守仓</t>
  </si>
  <si>
    <t>13914844715</t>
  </si>
  <si>
    <t>3250048</t>
  </si>
  <si>
    <t>张丽</t>
  </si>
  <si>
    <t>60.7</t>
  </si>
  <si>
    <t>30.9</t>
  </si>
  <si>
    <t>6.19</t>
  </si>
  <si>
    <t>0.23</t>
  </si>
  <si>
    <t>0.41</t>
  </si>
  <si>
    <t>唐书侠</t>
  </si>
  <si>
    <t>刘慧</t>
  </si>
  <si>
    <t>程家富</t>
  </si>
  <si>
    <t>任义玲</t>
  </si>
  <si>
    <t>3259610</t>
  </si>
  <si>
    <t>徐天梅</t>
  </si>
  <si>
    <t>46.7</t>
  </si>
  <si>
    <t>93.1</t>
  </si>
  <si>
    <t>5.10</t>
  </si>
  <si>
    <t>9.92</t>
  </si>
  <si>
    <t>4.53</t>
  </si>
  <si>
    <t>1.32</t>
  </si>
  <si>
    <t>张允贵</t>
  </si>
  <si>
    <t>3283696</t>
  </si>
  <si>
    <t>吕昌</t>
  </si>
  <si>
    <t>?26.8</t>
  </si>
  <si>
    <t>92.1</t>
  </si>
  <si>
    <t>5.46</t>
  </si>
  <si>
    <t>施红林</t>
  </si>
  <si>
    <t>许玉亮</t>
  </si>
  <si>
    <t>曾庆红</t>
  </si>
  <si>
    <t>彭芳</t>
  </si>
  <si>
    <t>赵相峰</t>
  </si>
  <si>
    <t>刘玉军</t>
  </si>
  <si>
    <t>张滕英</t>
  </si>
  <si>
    <t>13685128357</t>
  </si>
  <si>
    <t>纵兆友</t>
  </si>
  <si>
    <t>15996917370</t>
  </si>
  <si>
    <t>葛兆辉</t>
  </si>
  <si>
    <t>叶志荣</t>
  </si>
  <si>
    <t>梁翠芝</t>
  </si>
  <si>
    <t>朱功迎</t>
  </si>
  <si>
    <t>杨侠</t>
  </si>
  <si>
    <t>李成志</t>
  </si>
  <si>
    <t>岳兰</t>
  </si>
  <si>
    <t>李双萍</t>
  </si>
  <si>
    <t>陈显斌</t>
  </si>
  <si>
    <t>王秀侠</t>
  </si>
  <si>
    <t>3319329</t>
  </si>
  <si>
    <t>孙滨</t>
  </si>
  <si>
    <t>13475775552</t>
  </si>
  <si>
    <t>50.41</t>
  </si>
  <si>
    <t>2.1</t>
  </si>
  <si>
    <t>69.39</t>
  </si>
  <si>
    <t>3.85</t>
  </si>
  <si>
    <t>0.90</t>
  </si>
  <si>
    <t>张胜雷</t>
  </si>
  <si>
    <t>孟联合</t>
  </si>
  <si>
    <t>殷召连</t>
  </si>
  <si>
    <t>李红卫</t>
  </si>
  <si>
    <t>徐逢时</t>
  </si>
  <si>
    <t>盛云侠</t>
  </si>
  <si>
    <t>魏迎春</t>
  </si>
  <si>
    <t>甄新</t>
  </si>
  <si>
    <t>姚元占</t>
  </si>
  <si>
    <t>曹体彦</t>
  </si>
  <si>
    <t>张保峰</t>
  </si>
  <si>
    <t>3329746</t>
  </si>
  <si>
    <t>耿德秀</t>
  </si>
  <si>
    <t>84.30</t>
  </si>
  <si>
    <t>23.4</t>
  </si>
  <si>
    <t>40.8</t>
  </si>
  <si>
    <t>34.89</t>
  </si>
  <si>
    <t>590</t>
  </si>
  <si>
    <t>7.64</t>
  </si>
  <si>
    <t>55.5</t>
  </si>
  <si>
    <t>姜之顺</t>
  </si>
  <si>
    <t>穆艳</t>
  </si>
  <si>
    <t>周学英</t>
  </si>
  <si>
    <t>沈伟</t>
  </si>
  <si>
    <t>刘庆红</t>
  </si>
  <si>
    <t>赵红芹</t>
  </si>
  <si>
    <t>王震</t>
  </si>
  <si>
    <t>侯玉敏</t>
  </si>
  <si>
    <t>3292721</t>
  </si>
  <si>
    <t>蒋保礼</t>
  </si>
  <si>
    <t>2.2</t>
  </si>
  <si>
    <t>24.70</t>
  </si>
  <si>
    <t>98.5</t>
  </si>
  <si>
    <t>范成庆</t>
  </si>
  <si>
    <t>余贞平</t>
  </si>
  <si>
    <t>黄廷俊</t>
  </si>
  <si>
    <t>3317093</t>
  </si>
  <si>
    <t>宋秉春</t>
  </si>
  <si>
    <t>5.2</t>
  </si>
  <si>
    <t>25.2</t>
  </si>
  <si>
    <t>9.07</t>
  </si>
  <si>
    <t>44.35</t>
  </si>
  <si>
    <t>8.61</t>
  </si>
  <si>
    <t>李堂迎</t>
  </si>
  <si>
    <t>朱瑞花</t>
  </si>
  <si>
    <t>15159480705</t>
  </si>
  <si>
    <t>3252137</t>
  </si>
  <si>
    <t>朱玲</t>
  </si>
  <si>
    <t>26.91</t>
  </si>
  <si>
    <t>37.33</t>
  </si>
  <si>
    <t>2.64</t>
  </si>
  <si>
    <t>武钦太</t>
  </si>
  <si>
    <t>孔凡战</t>
  </si>
  <si>
    <t>13088954295</t>
  </si>
  <si>
    <t>张存军</t>
  </si>
  <si>
    <t>王行栋</t>
  </si>
  <si>
    <t>徐秀云</t>
  </si>
  <si>
    <t>王益群</t>
  </si>
  <si>
    <t>李桂光</t>
  </si>
  <si>
    <t>3275684</t>
  </si>
  <si>
    <t>潘洪卫</t>
  </si>
  <si>
    <t>905.70</t>
  </si>
  <si>
    <t>9.81</t>
  </si>
  <si>
    <t>67.76</t>
  </si>
  <si>
    <t>3267580</t>
  </si>
  <si>
    <t>990.60</t>
  </si>
  <si>
    <t>40.6</t>
  </si>
  <si>
    <t>9.71</t>
  </si>
  <si>
    <t>3288559</t>
  </si>
  <si>
    <t>张正玲</t>
  </si>
  <si>
    <t>66.2</t>
  </si>
  <si>
    <t>42.0</t>
  </si>
  <si>
    <t>8.62</t>
  </si>
  <si>
    <t>57.2</t>
  </si>
  <si>
    <t>血液内科三十一</t>
  </si>
  <si>
    <t>杜贤文</t>
  </si>
  <si>
    <t>李爱雨</t>
  </si>
  <si>
    <t>3311098</t>
  </si>
  <si>
    <t>杨茂利</t>
  </si>
  <si>
    <t>15855389495</t>
  </si>
  <si>
    <t>7.2</t>
  </si>
  <si>
    <t>1.02</t>
  </si>
  <si>
    <t>2.62</t>
  </si>
  <si>
    <t>王守东</t>
  </si>
  <si>
    <t>孙秀梅</t>
  </si>
  <si>
    <t>刘雪玲</t>
  </si>
  <si>
    <t>刘敏</t>
  </si>
  <si>
    <t>刘金刚</t>
  </si>
  <si>
    <t>张俊</t>
  </si>
  <si>
    <t>徐秀芝</t>
  </si>
  <si>
    <t>陈国芹</t>
  </si>
  <si>
    <t>黄金光</t>
  </si>
  <si>
    <t>常大望</t>
  </si>
  <si>
    <t>庄凤玲</t>
  </si>
  <si>
    <t>王如忻</t>
  </si>
  <si>
    <t>耿成法</t>
  </si>
  <si>
    <t>杨方书</t>
  </si>
  <si>
    <t>闵德文</t>
  </si>
  <si>
    <t>王芳</t>
  </si>
  <si>
    <t>3253249</t>
  </si>
  <si>
    <t>刘合付</t>
  </si>
  <si>
    <t>45.2</t>
  </si>
  <si>
    <t>7.60</t>
  </si>
  <si>
    <t>2.10</t>
  </si>
  <si>
    <t>4.45</t>
  </si>
  <si>
    <t>李德宝</t>
  </si>
  <si>
    <t>闫洪涛</t>
  </si>
  <si>
    <t>李锋</t>
  </si>
  <si>
    <t>高廷兰</t>
  </si>
  <si>
    <t>王后刚</t>
  </si>
  <si>
    <t>梁宜明</t>
  </si>
  <si>
    <t>李红侠</t>
  </si>
  <si>
    <t>梁文选</t>
  </si>
  <si>
    <t>杨杰银</t>
  </si>
  <si>
    <t>陈海东</t>
  </si>
  <si>
    <t>丁宁</t>
  </si>
  <si>
    <t>王小四</t>
  </si>
  <si>
    <t>鲍志军</t>
  </si>
  <si>
    <t>孙庆强</t>
  </si>
  <si>
    <t>李成山</t>
  </si>
  <si>
    <t>李发展</t>
  </si>
  <si>
    <t>张学喜</t>
  </si>
  <si>
    <t>3259432</t>
  </si>
  <si>
    <t>王晓明</t>
  </si>
  <si>
    <t>30.6</t>
  </si>
  <si>
    <t>56.26</t>
  </si>
  <si>
    <t>562</t>
  </si>
  <si>
    <t>23.27</t>
  </si>
  <si>
    <t>康树芝</t>
  </si>
  <si>
    <t>李克军</t>
  </si>
  <si>
    <t>钟淑家</t>
  </si>
  <si>
    <t>?14.8</t>
  </si>
  <si>
    <t>彭志国</t>
  </si>
  <si>
    <t>丁卫华</t>
  </si>
  <si>
    <t>周爱刚</t>
  </si>
  <si>
    <t>闫清刚</t>
  </si>
  <si>
    <t>张则玲</t>
  </si>
  <si>
    <t>赵仓莉</t>
  </si>
  <si>
    <t>李森</t>
  </si>
  <si>
    <t>彭瑞业</t>
  </si>
  <si>
    <t>?41.6</t>
  </si>
  <si>
    <t>?3.7</t>
  </si>
  <si>
    <t>梁来红</t>
  </si>
  <si>
    <t>李保</t>
  </si>
  <si>
    <t>李强</t>
  </si>
  <si>
    <t>王防振</t>
  </si>
  <si>
    <t>唐文伟</t>
  </si>
  <si>
    <t>王卫东</t>
  </si>
  <si>
    <t>3327242</t>
  </si>
  <si>
    <t>秦敬刚</t>
  </si>
  <si>
    <t>43.3</t>
  </si>
  <si>
    <t>36.96</t>
  </si>
  <si>
    <t>1296</t>
  </si>
  <si>
    <t>4.02</t>
  </si>
  <si>
    <t>0.89</t>
  </si>
  <si>
    <t>2.37</t>
  </si>
  <si>
    <t>占怀启</t>
  </si>
  <si>
    <t>孟夏</t>
  </si>
  <si>
    <t>吴敏</t>
  </si>
  <si>
    <t>13775885643</t>
  </si>
  <si>
    <t>范凯</t>
  </si>
  <si>
    <t>李继产</t>
  </si>
  <si>
    <t>&lt;0.1</t>
  </si>
  <si>
    <t>王小卜</t>
  </si>
  <si>
    <t>张永生</t>
  </si>
  <si>
    <t>薛玉磊</t>
  </si>
  <si>
    <t>张斌</t>
  </si>
  <si>
    <t>王勇</t>
  </si>
  <si>
    <t>曹佳春</t>
  </si>
  <si>
    <t>18752131460</t>
  </si>
  <si>
    <t>侯秀花</t>
  </si>
  <si>
    <t>朱玉龙</t>
  </si>
  <si>
    <t>葛现芳</t>
  </si>
  <si>
    <t>18305612788</t>
  </si>
  <si>
    <t>陈梦</t>
  </si>
  <si>
    <t>庄伟</t>
  </si>
  <si>
    <t>张长英</t>
  </si>
  <si>
    <t>陆超</t>
  </si>
  <si>
    <t>陈文芳</t>
  </si>
  <si>
    <t>邓红君</t>
  </si>
  <si>
    <t>李建华</t>
  </si>
  <si>
    <t>王店亮</t>
  </si>
  <si>
    <t>范同兰</t>
  </si>
  <si>
    <t>张传勇</t>
  </si>
  <si>
    <t>马合木提·居麦</t>
  </si>
  <si>
    <t>裴新全</t>
  </si>
  <si>
    <t>马松</t>
  </si>
  <si>
    <t>18252126750</t>
  </si>
  <si>
    <t>3310860</t>
  </si>
  <si>
    <t>唐贵勇</t>
  </si>
  <si>
    <t>84.0</t>
  </si>
  <si>
    <t>31.4</t>
  </si>
  <si>
    <t>9.69</t>
  </si>
  <si>
    <t>5.51</t>
  </si>
  <si>
    <t>陈玉柱</t>
  </si>
  <si>
    <t>?31.2</t>
  </si>
  <si>
    <t>3303788</t>
  </si>
  <si>
    <t>徐凤玲</t>
  </si>
  <si>
    <t>2.83</t>
  </si>
  <si>
    <t>4.03</t>
  </si>
  <si>
    <t>0.72</t>
  </si>
  <si>
    <t>2.38</t>
  </si>
  <si>
    <t>孙伟</t>
  </si>
  <si>
    <t>陈瑞峰</t>
  </si>
  <si>
    <t>邸毛妮</t>
  </si>
  <si>
    <t>蒋翠萍</t>
  </si>
  <si>
    <t>18952291370</t>
  </si>
  <si>
    <t>3280213</t>
  </si>
  <si>
    <t>陆芳</t>
  </si>
  <si>
    <t>2.3</t>
  </si>
  <si>
    <t>26.56</t>
  </si>
  <si>
    <t>38.44</t>
  </si>
  <si>
    <t>6.81</t>
  </si>
  <si>
    <t>3.48</t>
  </si>
  <si>
    <t>周长义</t>
  </si>
  <si>
    <t>18905202827</t>
  </si>
  <si>
    <t>陈庆</t>
  </si>
  <si>
    <t>张伟</t>
  </si>
  <si>
    <t>3292739</t>
  </si>
  <si>
    <t>姚红美</t>
  </si>
  <si>
    <t>9.83</t>
  </si>
  <si>
    <t>520</t>
  </si>
  <si>
    <t>13.60</t>
  </si>
  <si>
    <t>8.41</t>
  </si>
  <si>
    <t>3.26</t>
  </si>
  <si>
    <t>1.93</t>
  </si>
  <si>
    <t>秦刚</t>
  </si>
  <si>
    <t>潘世荣</t>
  </si>
  <si>
    <t>3275173</t>
  </si>
  <si>
    <t>司国梅</t>
  </si>
  <si>
    <t>90.90</t>
  </si>
  <si>
    <t>0.9</t>
  </si>
  <si>
    <t>30.96</t>
  </si>
  <si>
    <t>486</t>
  </si>
  <si>
    <t>中医科</t>
  </si>
  <si>
    <t>王冬梅</t>
  </si>
  <si>
    <t>19851653277</t>
  </si>
  <si>
    <t>匡艳红</t>
  </si>
  <si>
    <t>3253208</t>
  </si>
  <si>
    <t>孟卫华</t>
  </si>
  <si>
    <t>37.94</t>
  </si>
  <si>
    <t>561</t>
  </si>
  <si>
    <t>20.92</t>
  </si>
  <si>
    <t>8.13</t>
  </si>
  <si>
    <t>0.53</t>
  </si>
  <si>
    <t>李娜</t>
  </si>
  <si>
    <t>谷猛</t>
  </si>
  <si>
    <t>孟伟</t>
  </si>
  <si>
    <t>李亚</t>
  </si>
  <si>
    <t>唐艳</t>
  </si>
  <si>
    <t>李鹏</t>
  </si>
  <si>
    <t>18068702800</t>
  </si>
  <si>
    <t>陈玉海</t>
  </si>
  <si>
    <t>马智勇</t>
  </si>
  <si>
    <t>韩忠卫</t>
  </si>
  <si>
    <t>王云建</t>
  </si>
  <si>
    <t>徐玉红</t>
  </si>
  <si>
    <t>杨芝</t>
  </si>
  <si>
    <t>王小劝</t>
  </si>
  <si>
    <t>李义想</t>
  </si>
  <si>
    <t>吴魁</t>
  </si>
  <si>
    <t>王夫康</t>
  </si>
  <si>
    <t>咸志刚</t>
  </si>
  <si>
    <t>王家超</t>
  </si>
  <si>
    <t>?7.8</t>
  </si>
  <si>
    <t>3316984</t>
  </si>
  <si>
    <t>孟芳</t>
  </si>
  <si>
    <t>7.4</t>
  </si>
  <si>
    <t>46.60</t>
  </si>
  <si>
    <t>9.55</t>
  </si>
  <si>
    <t>52.5</t>
  </si>
  <si>
    <t>王冲</t>
  </si>
  <si>
    <t>刘树瑞</t>
  </si>
  <si>
    <t>刘雪琴</t>
  </si>
  <si>
    <t>李满意</t>
  </si>
  <si>
    <t>张强</t>
  </si>
  <si>
    <t>杜文磊</t>
  </si>
  <si>
    <t>丁磊</t>
  </si>
  <si>
    <t>吕粉红</t>
  </si>
  <si>
    <t>王渗渗</t>
  </si>
  <si>
    <t>单树卫</t>
  </si>
  <si>
    <t>张雷</t>
  </si>
  <si>
    <t>李翠侠</t>
  </si>
  <si>
    <t>3248520</t>
  </si>
  <si>
    <t>张娜</t>
  </si>
  <si>
    <t>35.3</t>
  </si>
  <si>
    <t>78.6</t>
  </si>
  <si>
    <t>41.9</t>
  </si>
  <si>
    <t>6.96</t>
  </si>
  <si>
    <t>3.60</t>
  </si>
  <si>
    <t>东院肿瘤内五</t>
  </si>
  <si>
    <t>张玲玲</t>
  </si>
  <si>
    <t>秦辉</t>
  </si>
  <si>
    <t>15190658799</t>
  </si>
  <si>
    <t>韩进步</t>
  </si>
  <si>
    <t>张跃</t>
  </si>
  <si>
    <t>?9.9</t>
  </si>
  <si>
    <t>闫成贤</t>
  </si>
  <si>
    <t>15380155527</t>
  </si>
  <si>
    <t>董维产</t>
  </si>
  <si>
    <t>马庆邦</t>
  </si>
  <si>
    <t>唐圣全</t>
  </si>
  <si>
    <t>李士彪</t>
  </si>
  <si>
    <t>王浩</t>
  </si>
  <si>
    <t>任爱松</t>
  </si>
  <si>
    <t>3318414</t>
  </si>
  <si>
    <t>王小伟</t>
  </si>
  <si>
    <t>70.4</t>
  </si>
  <si>
    <t>史建强</t>
  </si>
  <si>
    <t>3271626</t>
  </si>
  <si>
    <t>徐艳艳</t>
  </si>
  <si>
    <t>5.92</t>
  </si>
  <si>
    <t>靳军号</t>
  </si>
  <si>
    <t>魏本璐</t>
  </si>
  <si>
    <t>张艺芹</t>
  </si>
  <si>
    <t>纵胖胖</t>
  </si>
  <si>
    <t>张萌萌</t>
  </si>
  <si>
    <t>3265125</t>
  </si>
  <si>
    <t>张文莉</t>
  </si>
  <si>
    <t>37.40</t>
  </si>
  <si>
    <t>21.1</t>
  </si>
  <si>
    <t>6.17</t>
  </si>
  <si>
    <t>59.21</t>
  </si>
  <si>
    <t>3.69</t>
  </si>
  <si>
    <t>产科一</t>
  </si>
  <si>
    <t>赵琴琴</t>
  </si>
  <si>
    <t>宋杰</t>
  </si>
  <si>
    <t>3300218</t>
  </si>
  <si>
    <t>王素梅</t>
  </si>
  <si>
    <t>17.70</t>
  </si>
  <si>
    <t>248</t>
  </si>
  <si>
    <t>7.07</t>
  </si>
  <si>
    <t>唐宇强</t>
  </si>
  <si>
    <t>刘元</t>
  </si>
  <si>
    <t>李凯</t>
  </si>
  <si>
    <t>3495128</t>
  </si>
  <si>
    <t>尤云</t>
  </si>
  <si>
    <t>47.2</t>
  </si>
  <si>
    <t>6.57</t>
  </si>
  <si>
    <t>张可</t>
  </si>
  <si>
    <t>丁那娜</t>
  </si>
  <si>
    <t>王广顺</t>
  </si>
  <si>
    <t>佘东恒</t>
  </si>
  <si>
    <t>3246839</t>
  </si>
  <si>
    <t>黄优优</t>
  </si>
  <si>
    <t>19.9</t>
  </si>
  <si>
    <t>57.7</t>
  </si>
  <si>
    <t>6.49</t>
  </si>
  <si>
    <t>程廷廷</t>
  </si>
  <si>
    <t>3312406</t>
  </si>
  <si>
    <t>马国明</t>
  </si>
  <si>
    <t>23.50</t>
  </si>
  <si>
    <t>1212</t>
  </si>
  <si>
    <t>3.47</t>
  </si>
  <si>
    <t>157</t>
  </si>
  <si>
    <t>徐逸翔</t>
  </si>
  <si>
    <t>18051365020</t>
  </si>
  <si>
    <t>张茜</t>
  </si>
  <si>
    <t>3512942</t>
  </si>
  <si>
    <t>朱文静</t>
  </si>
  <si>
    <t>18110720201</t>
  </si>
  <si>
    <t>26.50</t>
  </si>
  <si>
    <t>36.93</t>
  </si>
  <si>
    <t>0.99</t>
  </si>
  <si>
    <t>孙勤康</t>
  </si>
  <si>
    <t>张玉雷</t>
  </si>
  <si>
    <t>陈迎迎</t>
  </si>
  <si>
    <t>18115263253</t>
  </si>
  <si>
    <t>徐金龙</t>
  </si>
  <si>
    <t>刘珂珂</t>
  </si>
  <si>
    <t>王赛</t>
  </si>
  <si>
    <t>李小伟</t>
  </si>
  <si>
    <t>谢荣雪</t>
  </si>
  <si>
    <t>张瑞星</t>
  </si>
  <si>
    <t>刘佳尧</t>
  </si>
  <si>
    <t>周脉洋</t>
  </si>
  <si>
    <t>3250964</t>
  </si>
  <si>
    <t>吴海青</t>
  </si>
  <si>
    <t>6.9</t>
  </si>
  <si>
    <t>冯卫娟</t>
  </si>
  <si>
    <t>胡振南</t>
  </si>
  <si>
    <t>杨浩</t>
  </si>
  <si>
    <t>黄自由</t>
  </si>
  <si>
    <t>张胜男</t>
  </si>
  <si>
    <t>刘思旋</t>
  </si>
  <si>
    <t>朱路遥</t>
  </si>
  <si>
    <t>13815307020</t>
  </si>
  <si>
    <t>张丹</t>
  </si>
  <si>
    <t>王刚</t>
  </si>
  <si>
    <t>侯远东</t>
  </si>
  <si>
    <t>&gt;83.2</t>
  </si>
  <si>
    <t>张赛赛</t>
  </si>
  <si>
    <t>谢强</t>
  </si>
  <si>
    <t>3290714</t>
  </si>
  <si>
    <t>王慧</t>
  </si>
  <si>
    <t>25.85</t>
  </si>
  <si>
    <t>781</t>
  </si>
  <si>
    <t>5.64</t>
  </si>
  <si>
    <t>孙辉辉</t>
  </si>
  <si>
    <t>孙肖肖</t>
  </si>
  <si>
    <t>朱金柱</t>
  </si>
  <si>
    <t>白宇欢</t>
  </si>
  <si>
    <t>于露苹</t>
  </si>
  <si>
    <t>唐文松</t>
  </si>
  <si>
    <t>李飞翔</t>
  </si>
  <si>
    <t>3247498</t>
  </si>
  <si>
    <t>秦婉</t>
  </si>
  <si>
    <t>45.23</t>
  </si>
  <si>
    <t>506</t>
  </si>
  <si>
    <t>9.51</t>
  </si>
  <si>
    <t>12.20</t>
  </si>
  <si>
    <t>6.83</t>
  </si>
  <si>
    <t>1.40</t>
  </si>
  <si>
    <t>9.46</t>
  </si>
  <si>
    <t>3315829</t>
  </si>
  <si>
    <t>甄多多</t>
  </si>
  <si>
    <t>36.00</t>
  </si>
  <si>
    <t>47.5</t>
  </si>
  <si>
    <t>6.06</t>
  </si>
  <si>
    <t>9.30</t>
  </si>
  <si>
    <t>刘锋涛</t>
  </si>
  <si>
    <t>?9.6</t>
  </si>
  <si>
    <t>3312487</t>
  </si>
  <si>
    <t>尤双双</t>
  </si>
  <si>
    <t>3.9</t>
  </si>
  <si>
    <t>33.5</t>
  </si>
  <si>
    <t>19.52</t>
  </si>
  <si>
    <t>322</t>
  </si>
  <si>
    <t>17.53</t>
  </si>
  <si>
    <t>3296864</t>
  </si>
  <si>
    <t>王文文</t>
  </si>
  <si>
    <t>67.5</t>
  </si>
  <si>
    <t>刘慧娴</t>
  </si>
  <si>
    <t>13852133167</t>
  </si>
  <si>
    <t>张壮壮</t>
  </si>
  <si>
    <t>何宇轩</t>
  </si>
  <si>
    <t>陈娅茹</t>
  </si>
  <si>
    <t>蒋子豪</t>
  </si>
  <si>
    <t>赵海琛</t>
  </si>
  <si>
    <t>张梦真</t>
  </si>
  <si>
    <t>荣雨晴</t>
  </si>
  <si>
    <t>包一杉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</si>
</sst>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###,###.00"/>
  </numFmts>
  <fonts count="24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22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22" fontId="1" fillId="0" borderId="0" xfId="0" applyNumberFormat="1" applyFont="1" applyFill="1" applyAlignment="1"/>
    <xf numFmtId="0" fontId="3" fillId="2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2" fillId="3" borderId="0" xfId="0" applyNumberFormat="1" applyFont="1" applyFill="1" applyAlignment="1"/>
    <xf numFmtId="0" fontId="1" fillId="3" borderId="0" xfId="0" applyNumberFormat="1" applyFont="1" applyFill="1" applyAlignment="1"/>
    <xf numFmtId="0" fontId="2" fillId="3" borderId="0" xfId="0" applyNumberFormat="1" applyFont="1" applyFill="1" applyAlignment="1">
      <alignment horizontal="center"/>
    </xf>
    <xf numFmtId="0" fontId="1" fillId="3" borderId="0" xfId="0" applyNumberFormat="1" applyFont="1" applyFill="1" applyAlignment="1">
      <alignment horizontal="center"/>
    </xf>
    <xf numFmtId="178" fontId="1" fillId="0" borderId="0" xfId="0" applyNumberFormat="1" applyFont="1" applyFill="1" applyAlignment="1"/>
    <xf numFmtId="0" fontId="0" fillId="3" borderId="0" xfId="0" applyNumberFormat="1" applyFill="1" applyAlignment="1">
      <alignment vertical="center"/>
    </xf>
    <xf numFmtId="0" fontId="0" fillId="0" borderId="0" xfId="0" applyNumberForma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1427"/>
  <sheetViews>
    <sheetView tabSelected="1" zoomScale="95" zoomScaleNormal="95" topLeftCell="A959" workbookViewId="0">
      <selection activeCell="C972" sqref="C972"/>
    </sheetView>
  </sheetViews>
  <sheetFormatPr defaultColWidth="9.63888888888889" defaultRowHeight="14.4"/>
  <cols>
    <col min="1" max="3" width="8.88888888888889" style="1"/>
    <col min="4" max="4" width="17.9074074074074" customWidth="1"/>
    <col min="5" max="6" width="15.5555555555556"/>
    <col min="7" max="14" width="8.88888888888889" style="1" customWidth="1"/>
    <col min="15" max="15" width="15.5555555555556"/>
    <col min="16" max="16" width="17.9074074074074" customWidth="1"/>
    <col min="17" max="17" width="15.5555555555556"/>
    <col min="18" max="19" width="8.88888888888889" style="1" customWidth="1"/>
    <col min="20" max="20" width="12.8888888888889" style="1" customWidth="1"/>
    <col min="21" max="40" width="8.88888888888889" style="1" customWidth="1"/>
    <col min="41" max="41" width="15.5555555555556"/>
    <col min="42" max="66" width="8.73148148148148"/>
    <col min="67" max="67" width="12.8888888888889"/>
    <col min="68" max="70" width="8.73148148148148"/>
    <col min="71" max="16384" width="8.88888888888889" style="1"/>
  </cols>
  <sheetData>
    <row r="1" s="1" customFormat="1" spans="4:70">
      <c r="D1" s="2"/>
      <c r="E1" s="2"/>
      <c r="F1" s="5"/>
      <c r="O1" s="5"/>
      <c r="P1" s="2"/>
      <c r="Q1" s="2"/>
      <c r="U1" s="1" t="s">
        <v>0</v>
      </c>
      <c r="AG1" s="1" t="s">
        <v>1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11" t="s">
        <v>2</v>
      </c>
      <c r="AZ1" s="11" t="s">
        <v>3</v>
      </c>
      <c r="BA1" s="5"/>
      <c r="BB1" s="12"/>
      <c r="BC1" s="11" t="s">
        <v>4</v>
      </c>
      <c r="BD1" s="5"/>
      <c r="BE1" s="5"/>
      <c r="BF1" s="5"/>
      <c r="BG1" s="13" t="s">
        <v>5</v>
      </c>
      <c r="BH1" s="14"/>
      <c r="BI1" s="14"/>
      <c r="BJ1" s="14"/>
      <c r="BK1" s="14"/>
      <c r="BL1" s="14"/>
      <c r="BM1" s="5"/>
      <c r="BN1" s="5"/>
      <c r="BO1" s="5"/>
      <c r="BP1" s="5"/>
      <c r="BQ1" s="5"/>
      <c r="BR1" s="5"/>
    </row>
    <row r="2" s="1" customFormat="1" spans="1:70">
      <c r="A2" s="1" t="s">
        <v>6</v>
      </c>
      <c r="B2" s="1" t="s">
        <v>7</v>
      </c>
      <c r="C2" s="1" t="s">
        <v>8</v>
      </c>
      <c r="D2" s="3" t="s">
        <v>9</v>
      </c>
      <c r="E2" s="3" t="s">
        <v>10</v>
      </c>
      <c r="F2" s="6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6" t="s">
        <v>11</v>
      </c>
      <c r="P2" s="3" t="s">
        <v>9</v>
      </c>
      <c r="Q2" s="3" t="s">
        <v>10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6" t="s">
        <v>11</v>
      </c>
      <c r="AP2" s="5" t="s">
        <v>43</v>
      </c>
      <c r="AQ2" s="5" t="s">
        <v>44</v>
      </c>
      <c r="AR2" s="5" t="s">
        <v>45</v>
      </c>
      <c r="AS2" s="5" t="s">
        <v>46</v>
      </c>
      <c r="AT2" s="5" t="s">
        <v>47</v>
      </c>
      <c r="AU2" s="5" t="s">
        <v>48</v>
      </c>
      <c r="AV2" s="5" t="s">
        <v>49</v>
      </c>
      <c r="AW2" s="5" t="s">
        <v>50</v>
      </c>
      <c r="AX2" s="5" t="s">
        <v>51</v>
      </c>
      <c r="AY2" s="5" t="s">
        <v>52</v>
      </c>
      <c r="AZ2" s="5" t="s">
        <v>53</v>
      </c>
      <c r="BA2" s="5" t="s">
        <v>54</v>
      </c>
      <c r="BB2" s="12" t="s">
        <v>55</v>
      </c>
      <c r="BC2" s="5" t="s">
        <v>56</v>
      </c>
      <c r="BD2" s="5" t="s">
        <v>57</v>
      </c>
      <c r="BE2" s="5" t="s">
        <v>58</v>
      </c>
      <c r="BF2" s="5" t="s">
        <v>59</v>
      </c>
      <c r="BG2" s="5" t="s">
        <v>60</v>
      </c>
      <c r="BH2" s="5" t="s">
        <v>61</v>
      </c>
      <c r="BI2" s="5" t="s">
        <v>62</v>
      </c>
      <c r="BJ2" s="5" t="s">
        <v>63</v>
      </c>
      <c r="BK2" s="5" t="s">
        <v>64</v>
      </c>
      <c r="BL2" s="5" t="s">
        <v>65</v>
      </c>
      <c r="BM2" s="5" t="s">
        <v>66</v>
      </c>
      <c r="BN2" s="5" t="s">
        <v>67</v>
      </c>
      <c r="BO2" s="5" t="s">
        <v>68</v>
      </c>
      <c r="BP2" s="6" t="s">
        <v>69</v>
      </c>
      <c r="BQ2" s="5" t="s">
        <v>70</v>
      </c>
      <c r="BR2" s="5" t="s">
        <v>71</v>
      </c>
    </row>
    <row r="3" s="1" customFormat="1" spans="1:70">
      <c r="A3" s="1">
        <v>3236205</v>
      </c>
      <c r="B3" s="1" t="s">
        <v>72</v>
      </c>
      <c r="D3" s="4">
        <v>44876</v>
      </c>
      <c r="E3" s="4">
        <v>44879</v>
      </c>
      <c r="F3" s="7">
        <v>8817</v>
      </c>
      <c r="G3" s="1">
        <v>44</v>
      </c>
      <c r="H3" s="1">
        <v>10</v>
      </c>
      <c r="I3" s="1">
        <v>47</v>
      </c>
      <c r="J3" s="1">
        <v>9</v>
      </c>
      <c r="K3" s="8">
        <v>0</v>
      </c>
      <c r="L3" s="1">
        <v>29</v>
      </c>
      <c r="M3" s="1">
        <v>0.84</v>
      </c>
      <c r="N3" s="1">
        <v>12.5</v>
      </c>
      <c r="O3" s="7">
        <v>8817</v>
      </c>
      <c r="P3" s="4">
        <v>44876</v>
      </c>
      <c r="Q3" s="4">
        <v>44879</v>
      </c>
      <c r="R3" s="1" t="s">
        <v>73</v>
      </c>
      <c r="S3" s="1">
        <v>98</v>
      </c>
      <c r="T3" s="1" t="s">
        <v>74</v>
      </c>
      <c r="V3" s="1">
        <v>1</v>
      </c>
      <c r="W3" s="1">
        <v>1</v>
      </c>
      <c r="AH3" s="1">
        <v>1</v>
      </c>
      <c r="AO3" s="7">
        <v>8817</v>
      </c>
      <c r="AP3" s="5">
        <v>9.5</v>
      </c>
      <c r="AQ3" s="5">
        <v>137</v>
      </c>
      <c r="AR3" s="5">
        <v>44.7</v>
      </c>
      <c r="AS3" s="5">
        <v>0.8</v>
      </c>
      <c r="AT3" s="5">
        <v>20</v>
      </c>
      <c r="AU3" s="5">
        <v>24</v>
      </c>
      <c r="AV3" s="5">
        <v>39.5</v>
      </c>
      <c r="AW3" s="5">
        <v>6.69</v>
      </c>
      <c r="AX3" s="5">
        <v>68</v>
      </c>
      <c r="AY3" s="5">
        <v>73.66</v>
      </c>
      <c r="AZ3" s="5" t="s">
        <v>75</v>
      </c>
      <c r="BA3" s="5">
        <v>5.29</v>
      </c>
      <c r="BB3" s="12" t="s">
        <v>76</v>
      </c>
      <c r="BC3" s="5">
        <v>3.7</v>
      </c>
      <c r="BD3" s="5">
        <v>137</v>
      </c>
      <c r="BE3" s="5">
        <v>1.02</v>
      </c>
      <c r="BF3" s="5">
        <v>3.87</v>
      </c>
      <c r="BG3" s="15">
        <v>36.2</v>
      </c>
      <c r="BH3" s="5">
        <v>46</v>
      </c>
      <c r="BI3" s="5">
        <v>46</v>
      </c>
      <c r="BJ3" s="5">
        <v>16</v>
      </c>
      <c r="BK3" s="5">
        <v>112</v>
      </c>
      <c r="BL3" s="5">
        <v>60</v>
      </c>
      <c r="BM3" s="5" t="s">
        <v>77</v>
      </c>
      <c r="BN3" s="5" t="s">
        <v>77</v>
      </c>
      <c r="BO3" s="5" t="e">
        <f t="shared" ref="BO3:BO66" si="0">BM3/(BN3/100)^2</f>
        <v>#VALUE!</v>
      </c>
      <c r="BP3" s="5" t="s">
        <v>78</v>
      </c>
      <c r="BQ3" s="5">
        <v>5.8</v>
      </c>
      <c r="BR3" s="5">
        <v>2923</v>
      </c>
    </row>
    <row r="4" s="1" customFormat="1" spans="1:70">
      <c r="A4" s="1">
        <v>3267652</v>
      </c>
      <c r="B4" s="1" t="s">
        <v>79</v>
      </c>
      <c r="D4" s="4">
        <v>44942</v>
      </c>
      <c r="E4" s="4">
        <v>44956</v>
      </c>
      <c r="F4" s="7">
        <v>9343</v>
      </c>
      <c r="G4" s="1">
        <v>41</v>
      </c>
      <c r="H4" s="1">
        <v>9</v>
      </c>
      <c r="I4" s="1">
        <v>46</v>
      </c>
      <c r="J4" s="1">
        <v>9</v>
      </c>
      <c r="K4" s="1">
        <v>63</v>
      </c>
      <c r="L4" s="1">
        <v>35</v>
      </c>
      <c r="M4" s="1">
        <v>2.37</v>
      </c>
      <c r="N4" s="1">
        <v>18.6</v>
      </c>
      <c r="O4" s="7">
        <v>9343</v>
      </c>
      <c r="P4" s="4">
        <v>44942</v>
      </c>
      <c r="Q4" s="4">
        <v>44956</v>
      </c>
      <c r="R4" s="1" t="s">
        <v>80</v>
      </c>
      <c r="AO4" s="7">
        <v>9343</v>
      </c>
      <c r="AP4" s="5">
        <v>9.8</v>
      </c>
      <c r="AQ4" s="5">
        <v>90</v>
      </c>
      <c r="AR4" s="5">
        <v>28.5</v>
      </c>
      <c r="AS4" s="5" t="s">
        <v>81</v>
      </c>
      <c r="AT4" s="5">
        <v>31</v>
      </c>
      <c r="AU4" s="5">
        <v>24</v>
      </c>
      <c r="AV4" s="5">
        <v>32.1</v>
      </c>
      <c r="AW4" s="5">
        <v>9.64</v>
      </c>
      <c r="AX4" s="5">
        <v>392</v>
      </c>
      <c r="AY4" s="5">
        <v>15.85</v>
      </c>
      <c r="AZ4" s="5" t="s">
        <v>75</v>
      </c>
      <c r="BA4" s="5">
        <v>3.32</v>
      </c>
      <c r="BB4" s="12" t="s">
        <v>76</v>
      </c>
      <c r="BC4" s="5">
        <v>4.47</v>
      </c>
      <c r="BD4" s="5">
        <v>90</v>
      </c>
      <c r="BE4" s="5">
        <v>1.27</v>
      </c>
      <c r="BF4" s="5">
        <v>1.65</v>
      </c>
      <c r="BG4" s="15">
        <v>36.7</v>
      </c>
      <c r="BH4" s="5">
        <v>68</v>
      </c>
      <c r="BI4" s="5" t="s">
        <v>76</v>
      </c>
      <c r="BJ4" s="5">
        <v>16</v>
      </c>
      <c r="BK4" s="5">
        <v>150</v>
      </c>
      <c r="BL4" s="5">
        <v>70</v>
      </c>
      <c r="BM4" s="5" t="s">
        <v>82</v>
      </c>
      <c r="BN4" s="5" t="s">
        <v>82</v>
      </c>
      <c r="BO4" s="5" t="e">
        <f t="shared" si="0"/>
        <v>#VALUE!</v>
      </c>
      <c r="BP4" s="5" t="s">
        <v>83</v>
      </c>
      <c r="BQ4" s="5">
        <v>6.4</v>
      </c>
      <c r="BR4" s="5">
        <v>8419</v>
      </c>
    </row>
    <row r="5" s="1" customFormat="1" spans="1:70">
      <c r="A5" s="1">
        <v>3245119</v>
      </c>
      <c r="B5" s="1" t="s">
        <v>84</v>
      </c>
      <c r="D5" s="4">
        <v>44891</v>
      </c>
      <c r="E5" s="4">
        <v>44898</v>
      </c>
      <c r="F5" s="7">
        <v>10178</v>
      </c>
      <c r="G5" s="1">
        <v>32</v>
      </c>
      <c r="H5" s="1">
        <v>9</v>
      </c>
      <c r="I5" s="1">
        <v>41</v>
      </c>
      <c r="J5" s="1">
        <v>9</v>
      </c>
      <c r="K5" s="1">
        <v>58</v>
      </c>
      <c r="L5" s="1">
        <v>30</v>
      </c>
      <c r="M5" s="1">
        <v>0.66</v>
      </c>
      <c r="N5" s="1">
        <v>6.5</v>
      </c>
      <c r="O5" s="7">
        <v>10178</v>
      </c>
      <c r="P5" s="4">
        <v>44891</v>
      </c>
      <c r="Q5" s="4">
        <v>44898</v>
      </c>
      <c r="R5" s="1" t="s">
        <v>80</v>
      </c>
      <c r="AO5" s="7">
        <v>10178</v>
      </c>
      <c r="AP5" s="5">
        <v>9.7</v>
      </c>
      <c r="AQ5" s="5">
        <v>96</v>
      </c>
      <c r="AR5" s="5">
        <v>33.7</v>
      </c>
      <c r="AS5" s="5">
        <v>128.8</v>
      </c>
      <c r="AT5" s="5">
        <v>77</v>
      </c>
      <c r="AU5" s="5">
        <v>694</v>
      </c>
      <c r="AV5" s="5">
        <v>36.1</v>
      </c>
      <c r="AW5" s="5">
        <v>9.73</v>
      </c>
      <c r="AX5" s="5">
        <v>99</v>
      </c>
      <c r="AY5" s="5">
        <v>80.49</v>
      </c>
      <c r="AZ5" s="5" t="s">
        <v>75</v>
      </c>
      <c r="BA5" s="5">
        <v>3.15</v>
      </c>
      <c r="BB5" s="12" t="s">
        <v>76</v>
      </c>
      <c r="BC5" s="5">
        <v>4.99</v>
      </c>
      <c r="BD5" s="5">
        <v>96</v>
      </c>
      <c r="BE5" s="5" t="s">
        <v>76</v>
      </c>
      <c r="BF5" s="5" t="s">
        <v>76</v>
      </c>
      <c r="BG5" s="15">
        <v>36.8</v>
      </c>
      <c r="BH5" s="5">
        <v>68</v>
      </c>
      <c r="BI5" s="5">
        <v>68</v>
      </c>
      <c r="BJ5" s="5">
        <v>20</v>
      </c>
      <c r="BK5" s="5">
        <v>130</v>
      </c>
      <c r="BL5" s="5">
        <v>56</v>
      </c>
      <c r="BM5" s="5">
        <v>50</v>
      </c>
      <c r="BN5" s="5">
        <v>160</v>
      </c>
      <c r="BO5" s="5">
        <f t="shared" si="0"/>
        <v>19.53125</v>
      </c>
      <c r="BP5" s="5" t="s">
        <v>85</v>
      </c>
      <c r="BQ5" s="5" t="s">
        <v>76</v>
      </c>
      <c r="BR5" s="5">
        <v>5155</v>
      </c>
    </row>
    <row r="6" s="1" customFormat="1" spans="1:70">
      <c r="A6" s="1" t="s">
        <v>86</v>
      </c>
      <c r="B6" s="1" t="s">
        <v>87</v>
      </c>
      <c r="D6" s="4">
        <v>44965</v>
      </c>
      <c r="E6" s="4">
        <v>44973</v>
      </c>
      <c r="F6" s="7">
        <v>10322</v>
      </c>
      <c r="G6" s="1">
        <v>26</v>
      </c>
      <c r="H6" s="1">
        <v>9</v>
      </c>
      <c r="I6" s="1">
        <v>39</v>
      </c>
      <c r="J6" s="1">
        <v>9</v>
      </c>
      <c r="K6" s="1">
        <v>60</v>
      </c>
      <c r="L6" s="1">
        <v>31</v>
      </c>
      <c r="M6" s="1">
        <v>0.92</v>
      </c>
      <c r="N6" s="1">
        <v>28.3</v>
      </c>
      <c r="O6" s="7">
        <v>10322</v>
      </c>
      <c r="P6" s="4">
        <v>44965</v>
      </c>
      <c r="Q6" s="4">
        <v>44973</v>
      </c>
      <c r="R6" s="1" t="s">
        <v>73</v>
      </c>
      <c r="AO6" s="7">
        <v>10322</v>
      </c>
      <c r="AP6" s="5" t="s">
        <v>88</v>
      </c>
      <c r="AQ6" s="5" t="s">
        <v>89</v>
      </c>
      <c r="AR6" s="5" t="s">
        <v>90</v>
      </c>
      <c r="AS6" s="5" t="s">
        <v>91</v>
      </c>
      <c r="AT6" s="5" t="s">
        <v>92</v>
      </c>
      <c r="AU6" s="5" t="s">
        <v>93</v>
      </c>
      <c r="AV6" s="5" t="s">
        <v>94</v>
      </c>
      <c r="AW6" s="5" t="s">
        <v>95</v>
      </c>
      <c r="AX6" s="5" t="s">
        <v>96</v>
      </c>
      <c r="AY6" s="5" t="s">
        <v>97</v>
      </c>
      <c r="AZ6" s="5" t="s">
        <v>75</v>
      </c>
      <c r="BA6" s="5" t="s">
        <v>98</v>
      </c>
      <c r="BB6" s="12" t="s">
        <v>76</v>
      </c>
      <c r="BC6" s="5" t="s">
        <v>99</v>
      </c>
      <c r="BD6" s="5" t="s">
        <v>89</v>
      </c>
      <c r="BE6" s="5" t="s">
        <v>76</v>
      </c>
      <c r="BF6" s="5" t="s">
        <v>76</v>
      </c>
      <c r="BG6" s="15">
        <v>36.5</v>
      </c>
      <c r="BH6" s="5" t="s">
        <v>100</v>
      </c>
      <c r="BI6" s="5" t="s">
        <v>76</v>
      </c>
      <c r="BJ6" s="5" t="s">
        <v>101</v>
      </c>
      <c r="BK6" s="5" t="s">
        <v>102</v>
      </c>
      <c r="BL6" s="5" t="s">
        <v>103</v>
      </c>
      <c r="BM6" s="5" t="s">
        <v>104</v>
      </c>
      <c r="BN6" s="5">
        <v>162</v>
      </c>
      <c r="BO6" s="5">
        <f t="shared" si="0"/>
        <v>13.3363816491388</v>
      </c>
      <c r="BP6" s="5" t="s">
        <v>105</v>
      </c>
      <c r="BQ6" s="5" t="s">
        <v>76</v>
      </c>
      <c r="BR6" s="5">
        <v>4561</v>
      </c>
    </row>
    <row r="7" s="1" customFormat="1" spans="1:70">
      <c r="A7" s="1">
        <v>3495508</v>
      </c>
      <c r="B7" s="1" t="s">
        <v>106</v>
      </c>
      <c r="D7" s="4">
        <v>45260</v>
      </c>
      <c r="E7" s="4">
        <v>45266</v>
      </c>
      <c r="F7" s="7">
        <v>10511</v>
      </c>
      <c r="G7" s="1">
        <v>42</v>
      </c>
      <c r="H7" s="1">
        <v>9</v>
      </c>
      <c r="I7" s="1">
        <v>58</v>
      </c>
      <c r="J7" s="1">
        <v>9</v>
      </c>
      <c r="K7" s="1">
        <v>40</v>
      </c>
      <c r="L7" s="1">
        <v>20</v>
      </c>
      <c r="M7" s="1">
        <v>0.54</v>
      </c>
      <c r="N7" s="1">
        <v>15.3</v>
      </c>
      <c r="O7" s="7">
        <v>10511</v>
      </c>
      <c r="P7" s="4">
        <v>45260</v>
      </c>
      <c r="Q7" s="4">
        <v>45266</v>
      </c>
      <c r="R7" s="1" t="s">
        <v>80</v>
      </c>
      <c r="AO7" s="7">
        <v>10511</v>
      </c>
      <c r="AP7" s="5">
        <v>6.8</v>
      </c>
      <c r="AQ7" s="5">
        <v>139</v>
      </c>
      <c r="AR7" s="5">
        <v>44.7</v>
      </c>
      <c r="AS7" s="5">
        <v>4.2</v>
      </c>
      <c r="AT7" s="5">
        <v>12</v>
      </c>
      <c r="AU7" s="5">
        <v>7</v>
      </c>
      <c r="AV7" s="5">
        <v>34.9</v>
      </c>
      <c r="AW7" s="5">
        <v>16.51</v>
      </c>
      <c r="AX7" s="5">
        <v>166</v>
      </c>
      <c r="AY7" s="5">
        <v>48.15</v>
      </c>
      <c r="AZ7" s="5">
        <v>5.38</v>
      </c>
      <c r="BA7" s="5" t="s">
        <v>76</v>
      </c>
      <c r="BB7" s="12" t="s">
        <v>76</v>
      </c>
      <c r="BC7" s="5">
        <v>4.03</v>
      </c>
      <c r="BD7" s="5">
        <v>139</v>
      </c>
      <c r="BE7" s="5" t="s">
        <v>76</v>
      </c>
      <c r="BF7" s="5" t="s">
        <v>76</v>
      </c>
      <c r="BG7" s="15">
        <v>36.5</v>
      </c>
      <c r="BH7" s="5">
        <v>116</v>
      </c>
      <c r="BI7" s="5">
        <v>116</v>
      </c>
      <c r="BJ7" s="5">
        <v>16</v>
      </c>
      <c r="BK7" s="5">
        <v>167</v>
      </c>
      <c r="BL7" s="5">
        <v>97</v>
      </c>
      <c r="BM7" s="5">
        <v>72</v>
      </c>
      <c r="BN7" s="5">
        <v>170</v>
      </c>
      <c r="BO7" s="5">
        <f t="shared" si="0"/>
        <v>24.9134948096886</v>
      </c>
      <c r="BP7" s="5" t="s">
        <v>107</v>
      </c>
      <c r="BQ7" s="5" t="s">
        <v>76</v>
      </c>
      <c r="BR7" s="5">
        <v>5788</v>
      </c>
    </row>
    <row r="8" s="1" customFormat="1" spans="1:70">
      <c r="A8" s="1">
        <v>3255690</v>
      </c>
      <c r="B8" s="1" t="s">
        <v>108</v>
      </c>
      <c r="D8" s="4">
        <v>44920</v>
      </c>
      <c r="E8" s="4">
        <v>44927</v>
      </c>
      <c r="F8" s="7">
        <v>10686</v>
      </c>
      <c r="G8" s="1">
        <v>38</v>
      </c>
      <c r="H8" s="1">
        <v>9</v>
      </c>
      <c r="I8" s="1">
        <v>49</v>
      </c>
      <c r="J8" s="1">
        <v>9</v>
      </c>
      <c r="K8" s="1">
        <v>68</v>
      </c>
      <c r="L8" s="1">
        <v>38</v>
      </c>
      <c r="M8" s="1">
        <v>1.16</v>
      </c>
      <c r="N8" s="1">
        <v>25.6</v>
      </c>
      <c r="O8" s="7">
        <v>10686</v>
      </c>
      <c r="P8" s="4">
        <v>44920</v>
      </c>
      <c r="Q8" s="4">
        <v>44927</v>
      </c>
      <c r="R8" s="1" t="s">
        <v>73</v>
      </c>
      <c r="AO8" s="7">
        <v>10686</v>
      </c>
      <c r="AP8" s="5">
        <v>9.3</v>
      </c>
      <c r="AQ8" s="5">
        <v>91</v>
      </c>
      <c r="AR8" s="5">
        <v>34</v>
      </c>
      <c r="AS8" s="5">
        <v>7.1</v>
      </c>
      <c r="AT8" s="5">
        <v>11</v>
      </c>
      <c r="AU8" s="5">
        <v>9</v>
      </c>
      <c r="AV8" s="5">
        <v>35.9</v>
      </c>
      <c r="AW8" s="5">
        <v>8.29</v>
      </c>
      <c r="AX8" s="5">
        <v>129</v>
      </c>
      <c r="AY8" s="5">
        <v>40.6</v>
      </c>
      <c r="AZ8" s="5">
        <v>6.8</v>
      </c>
      <c r="BA8" s="5" t="s">
        <v>76</v>
      </c>
      <c r="BB8" s="12" t="s">
        <v>76</v>
      </c>
      <c r="BC8" s="5">
        <v>4.49</v>
      </c>
      <c r="BD8" s="5">
        <v>91</v>
      </c>
      <c r="BE8" s="5" t="s">
        <v>76</v>
      </c>
      <c r="BF8" s="5" t="s">
        <v>76</v>
      </c>
      <c r="BG8" s="15">
        <v>36.8</v>
      </c>
      <c r="BH8" s="5">
        <v>69</v>
      </c>
      <c r="BI8" s="5" t="s">
        <v>76</v>
      </c>
      <c r="BJ8" s="5">
        <v>16</v>
      </c>
      <c r="BK8" s="5">
        <v>142</v>
      </c>
      <c r="BL8" s="5">
        <v>71</v>
      </c>
      <c r="BM8" s="5">
        <v>62</v>
      </c>
      <c r="BN8" s="5">
        <v>162</v>
      </c>
      <c r="BO8" s="5">
        <f t="shared" si="0"/>
        <v>23.6244474927602</v>
      </c>
      <c r="BP8" s="5" t="s">
        <v>109</v>
      </c>
      <c r="BQ8" s="5">
        <v>6.7</v>
      </c>
      <c r="BR8" s="5">
        <v>2446</v>
      </c>
    </row>
    <row r="9" s="1" customFormat="1" spans="1:70">
      <c r="A9" s="1">
        <v>3255732</v>
      </c>
      <c r="B9" s="1" t="s">
        <v>110</v>
      </c>
      <c r="D9" s="4">
        <v>44920</v>
      </c>
      <c r="E9" s="4">
        <v>44933</v>
      </c>
      <c r="F9" s="7">
        <v>10688</v>
      </c>
      <c r="G9" s="1">
        <v>36</v>
      </c>
      <c r="H9" s="1">
        <v>10</v>
      </c>
      <c r="I9" s="1">
        <v>49</v>
      </c>
      <c r="J9" s="1">
        <v>9</v>
      </c>
      <c r="K9" s="1">
        <v>59</v>
      </c>
      <c r="L9" s="1">
        <v>31</v>
      </c>
      <c r="M9" s="1">
        <v>0.61</v>
      </c>
      <c r="N9" s="1">
        <v>5.9</v>
      </c>
      <c r="O9" s="7">
        <v>10688</v>
      </c>
      <c r="P9" s="4">
        <v>44920</v>
      </c>
      <c r="Q9" s="4">
        <v>44933</v>
      </c>
      <c r="R9" s="1" t="s">
        <v>80</v>
      </c>
      <c r="S9" s="1">
        <v>93</v>
      </c>
      <c r="T9" s="1" t="s">
        <v>111</v>
      </c>
      <c r="AA9" s="1">
        <v>1</v>
      </c>
      <c r="AC9" s="1">
        <v>1</v>
      </c>
      <c r="AO9" s="7">
        <v>10688</v>
      </c>
      <c r="AP9" s="5">
        <v>8.2</v>
      </c>
      <c r="AQ9" s="5">
        <v>91</v>
      </c>
      <c r="AR9" s="5">
        <v>28.4</v>
      </c>
      <c r="AS9" s="5">
        <v>78.6</v>
      </c>
      <c r="AT9" s="5">
        <v>39</v>
      </c>
      <c r="AU9" s="5">
        <v>9</v>
      </c>
      <c r="AV9" s="5">
        <v>29.1</v>
      </c>
      <c r="AW9" s="5">
        <v>24.46</v>
      </c>
      <c r="AX9" s="5">
        <v>95</v>
      </c>
      <c r="AY9" s="5">
        <v>95.46</v>
      </c>
      <c r="AZ9" s="5" t="s">
        <v>75</v>
      </c>
      <c r="BA9" s="5">
        <v>3.08</v>
      </c>
      <c r="BB9" s="12" t="s">
        <v>76</v>
      </c>
      <c r="BC9" s="5">
        <v>4.47</v>
      </c>
      <c r="BD9" s="5">
        <v>91</v>
      </c>
      <c r="BE9" s="5">
        <v>0.83</v>
      </c>
      <c r="BF9" s="5">
        <v>1.23</v>
      </c>
      <c r="BG9" s="15">
        <v>36.6</v>
      </c>
      <c r="BH9" s="5">
        <v>76</v>
      </c>
      <c r="BI9" s="5" t="s">
        <v>76</v>
      </c>
      <c r="BJ9" s="5">
        <v>18</v>
      </c>
      <c r="BK9" s="5">
        <v>128</v>
      </c>
      <c r="BL9" s="5">
        <v>90</v>
      </c>
      <c r="BM9" s="5" t="s">
        <v>77</v>
      </c>
      <c r="BN9" s="5" t="s">
        <v>77</v>
      </c>
      <c r="BO9" s="5" t="e">
        <f t="shared" si="0"/>
        <v>#VALUE!</v>
      </c>
      <c r="BP9" s="5" t="s">
        <v>83</v>
      </c>
      <c r="BQ9" s="5" t="s">
        <v>76</v>
      </c>
      <c r="BR9" s="5">
        <v>7055</v>
      </c>
    </row>
    <row r="10" s="1" customFormat="1" spans="1:70">
      <c r="A10" s="1">
        <v>3260208</v>
      </c>
      <c r="B10" s="1" t="s">
        <v>112</v>
      </c>
      <c r="D10" s="4">
        <v>44928</v>
      </c>
      <c r="E10" s="4">
        <v>44943</v>
      </c>
      <c r="F10" s="7">
        <v>10780</v>
      </c>
      <c r="G10" s="1">
        <v>41</v>
      </c>
      <c r="H10" s="1">
        <v>8</v>
      </c>
      <c r="I10" s="1">
        <v>46</v>
      </c>
      <c r="J10" s="1">
        <v>8</v>
      </c>
      <c r="K10" s="1">
        <v>57</v>
      </c>
      <c r="L10" s="1">
        <v>30</v>
      </c>
      <c r="M10" s="1">
        <v>0.65</v>
      </c>
      <c r="N10" s="1">
        <v>15.3</v>
      </c>
      <c r="O10" s="7">
        <v>10780</v>
      </c>
      <c r="P10" s="4">
        <v>44928</v>
      </c>
      <c r="Q10" s="4">
        <v>44943</v>
      </c>
      <c r="R10" s="1" t="s">
        <v>73</v>
      </c>
      <c r="AO10" s="7">
        <v>10780</v>
      </c>
      <c r="AP10" s="5">
        <v>7.6</v>
      </c>
      <c r="AQ10" s="5">
        <v>98</v>
      </c>
      <c r="AR10" s="5">
        <v>31.4</v>
      </c>
      <c r="AS10" s="5">
        <v>54.6</v>
      </c>
      <c r="AT10" s="5">
        <v>13</v>
      </c>
      <c r="AU10" s="5">
        <v>7</v>
      </c>
      <c r="AV10" s="5">
        <v>32.9</v>
      </c>
      <c r="AW10" s="5">
        <v>13.8</v>
      </c>
      <c r="AX10" s="5">
        <v>88</v>
      </c>
      <c r="AY10" s="5">
        <v>67.53</v>
      </c>
      <c r="AZ10" s="5" t="s">
        <v>76</v>
      </c>
      <c r="BA10" s="5" t="s">
        <v>76</v>
      </c>
      <c r="BB10" s="12" t="s">
        <v>76</v>
      </c>
      <c r="BC10" s="5">
        <v>4.38</v>
      </c>
      <c r="BD10" s="5">
        <v>98</v>
      </c>
      <c r="BE10" s="5" t="s">
        <v>76</v>
      </c>
      <c r="BF10" s="5" t="s">
        <v>76</v>
      </c>
      <c r="BG10" s="15">
        <v>36.8</v>
      </c>
      <c r="BH10" s="5" t="s">
        <v>76</v>
      </c>
      <c r="BI10" s="5">
        <v>76</v>
      </c>
      <c r="BJ10" s="5">
        <v>13</v>
      </c>
      <c r="BK10" s="5">
        <v>126</v>
      </c>
      <c r="BL10" s="5">
        <v>80</v>
      </c>
      <c r="BM10" s="5">
        <v>45</v>
      </c>
      <c r="BN10" s="5">
        <v>150</v>
      </c>
      <c r="BO10" s="5">
        <f t="shared" si="0"/>
        <v>20</v>
      </c>
      <c r="BP10" s="5" t="s">
        <v>113</v>
      </c>
      <c r="BQ10" s="5" t="s">
        <v>76</v>
      </c>
      <c r="BR10" s="5">
        <v>4896</v>
      </c>
    </row>
    <row r="11" s="1" customFormat="1" spans="1:70">
      <c r="A11" s="1">
        <v>3259722</v>
      </c>
      <c r="B11" s="1" t="s">
        <v>114</v>
      </c>
      <c r="D11" s="4">
        <v>44928</v>
      </c>
      <c r="E11" s="4">
        <v>44939</v>
      </c>
      <c r="F11" s="7">
        <v>11010</v>
      </c>
      <c r="G11" s="1">
        <v>31</v>
      </c>
      <c r="H11" s="1">
        <v>8</v>
      </c>
      <c r="I11" s="1">
        <v>43</v>
      </c>
      <c r="J11" s="1">
        <v>8</v>
      </c>
      <c r="K11" s="1">
        <v>71</v>
      </c>
      <c r="L11" s="1">
        <v>40</v>
      </c>
      <c r="M11" s="1">
        <v>0.73</v>
      </c>
      <c r="N11" s="1">
        <v>20</v>
      </c>
      <c r="O11" s="7">
        <v>11010</v>
      </c>
      <c r="P11" s="4">
        <v>44928</v>
      </c>
      <c r="Q11" s="4">
        <v>44939</v>
      </c>
      <c r="R11" s="1" t="s">
        <v>73</v>
      </c>
      <c r="AO11" s="7">
        <v>11010</v>
      </c>
      <c r="AP11" s="5">
        <v>7.9</v>
      </c>
      <c r="AQ11" s="5">
        <v>99</v>
      </c>
      <c r="AR11" s="5">
        <v>31.8</v>
      </c>
      <c r="AS11" s="5">
        <v>68.1</v>
      </c>
      <c r="AT11" s="5">
        <v>22</v>
      </c>
      <c r="AU11" s="5">
        <v>17</v>
      </c>
      <c r="AV11" s="5">
        <v>35.4</v>
      </c>
      <c r="AW11" s="5">
        <v>6.2</v>
      </c>
      <c r="AX11" s="5">
        <v>74</v>
      </c>
      <c r="AY11" s="5">
        <v>89.65</v>
      </c>
      <c r="AZ11" s="5">
        <v>4.15</v>
      </c>
      <c r="BA11" s="5" t="s">
        <v>76</v>
      </c>
      <c r="BB11" s="12" t="s">
        <v>76</v>
      </c>
      <c r="BC11" s="5">
        <v>4.46</v>
      </c>
      <c r="BD11" s="5">
        <v>99</v>
      </c>
      <c r="BE11" s="5" t="s">
        <v>76</v>
      </c>
      <c r="BF11" s="5" t="s">
        <v>76</v>
      </c>
      <c r="BG11" s="15">
        <v>37.8</v>
      </c>
      <c r="BH11" s="5">
        <v>82</v>
      </c>
      <c r="BI11" s="5">
        <v>82</v>
      </c>
      <c r="BJ11" s="5">
        <v>19</v>
      </c>
      <c r="BK11" s="5">
        <v>148</v>
      </c>
      <c r="BL11" s="5">
        <v>85</v>
      </c>
      <c r="BM11" s="5">
        <v>44</v>
      </c>
      <c r="BN11" s="5">
        <v>160</v>
      </c>
      <c r="BO11" s="5">
        <f t="shared" si="0"/>
        <v>17.1875</v>
      </c>
      <c r="BP11" s="5" t="s">
        <v>113</v>
      </c>
      <c r="BQ11" s="5" t="s">
        <v>76</v>
      </c>
      <c r="BR11" s="5">
        <v>3017</v>
      </c>
    </row>
    <row r="12" s="1" customFormat="1" spans="1:70">
      <c r="A12" s="1">
        <v>3260946</v>
      </c>
      <c r="B12" s="1" t="s">
        <v>115</v>
      </c>
      <c r="D12" s="4">
        <v>44929</v>
      </c>
      <c r="E12" s="4">
        <v>44939</v>
      </c>
      <c r="F12" s="7">
        <v>11019</v>
      </c>
      <c r="G12" s="1">
        <v>33</v>
      </c>
      <c r="H12" s="1">
        <v>10</v>
      </c>
      <c r="I12" s="1">
        <v>44</v>
      </c>
      <c r="J12" s="1">
        <v>10</v>
      </c>
      <c r="K12" s="1">
        <v>66</v>
      </c>
      <c r="L12" s="1">
        <v>36</v>
      </c>
      <c r="M12" s="1">
        <v>0.64</v>
      </c>
      <c r="N12" s="1">
        <v>11.5</v>
      </c>
      <c r="O12" s="7">
        <v>11019</v>
      </c>
      <c r="P12" s="4">
        <v>44929</v>
      </c>
      <c r="Q12" s="4">
        <v>44939</v>
      </c>
      <c r="R12" s="1" t="s">
        <v>80</v>
      </c>
      <c r="AO12" s="7">
        <v>11019</v>
      </c>
      <c r="AP12" s="5">
        <v>6.6</v>
      </c>
      <c r="AQ12" s="5">
        <v>131</v>
      </c>
      <c r="AR12" s="5">
        <v>44.3</v>
      </c>
      <c r="AS12" s="5">
        <v>54.8</v>
      </c>
      <c r="AT12" s="5">
        <v>32</v>
      </c>
      <c r="AU12" s="5">
        <v>9</v>
      </c>
      <c r="AV12" s="5">
        <v>32.4</v>
      </c>
      <c r="AW12" s="5">
        <v>28.18</v>
      </c>
      <c r="AX12" s="5">
        <v>94</v>
      </c>
      <c r="AY12" s="5">
        <v>69.2</v>
      </c>
      <c r="AZ12" s="5">
        <v>8.02</v>
      </c>
      <c r="BA12" s="5" t="s">
        <v>76</v>
      </c>
      <c r="BB12" s="12" t="s">
        <v>76</v>
      </c>
      <c r="BC12" s="5">
        <v>4.7</v>
      </c>
      <c r="BD12" s="5">
        <v>131</v>
      </c>
      <c r="BE12" s="5" t="s">
        <v>76</v>
      </c>
      <c r="BF12" s="5" t="s">
        <v>76</v>
      </c>
      <c r="BG12" s="15">
        <v>36.6</v>
      </c>
      <c r="BH12" s="5" t="s">
        <v>76</v>
      </c>
      <c r="BI12" s="5">
        <v>92</v>
      </c>
      <c r="BJ12" s="5">
        <v>16</v>
      </c>
      <c r="BK12" s="5">
        <v>178</v>
      </c>
      <c r="BL12" s="5">
        <v>87</v>
      </c>
      <c r="BM12" s="5" t="s">
        <v>77</v>
      </c>
      <c r="BN12" s="5" t="s">
        <v>77</v>
      </c>
      <c r="BO12" s="5" t="e">
        <f t="shared" si="0"/>
        <v>#VALUE!</v>
      </c>
      <c r="BP12" s="5" t="s">
        <v>109</v>
      </c>
      <c r="BQ12" s="5" t="s">
        <v>76</v>
      </c>
      <c r="BR12" s="5">
        <v>4148</v>
      </c>
    </row>
    <row r="13" s="1" customFormat="1" spans="1:70">
      <c r="A13" s="1">
        <v>3261702</v>
      </c>
      <c r="B13" s="1" t="s">
        <v>116</v>
      </c>
      <c r="C13" s="1">
        <v>1</v>
      </c>
      <c r="D13" s="4">
        <v>44930</v>
      </c>
      <c r="E13" s="4">
        <v>44935</v>
      </c>
      <c r="F13" s="7">
        <v>11156</v>
      </c>
      <c r="G13" s="1">
        <v>34</v>
      </c>
      <c r="H13" s="1">
        <v>8</v>
      </c>
      <c r="I13" s="1">
        <v>56</v>
      </c>
      <c r="J13" s="1">
        <v>8</v>
      </c>
      <c r="K13" s="1">
        <v>40</v>
      </c>
      <c r="L13" s="1">
        <v>20</v>
      </c>
      <c r="M13" s="1">
        <v>0.3</v>
      </c>
      <c r="O13" s="7">
        <v>11156</v>
      </c>
      <c r="P13" s="4">
        <v>44930</v>
      </c>
      <c r="Q13" s="4">
        <v>44935</v>
      </c>
      <c r="R13" s="1" t="s">
        <v>80</v>
      </c>
      <c r="AO13" s="7">
        <v>11156</v>
      </c>
      <c r="AP13" s="5">
        <v>12.9</v>
      </c>
      <c r="AQ13" s="5">
        <v>111</v>
      </c>
      <c r="AR13" s="5">
        <v>36.5</v>
      </c>
      <c r="AS13" s="5">
        <v>93.3</v>
      </c>
      <c r="AT13" s="5">
        <v>619</v>
      </c>
      <c r="AU13" s="5">
        <v>700</v>
      </c>
      <c r="AV13" s="5">
        <v>9.3</v>
      </c>
      <c r="AW13" s="5">
        <v>27.19</v>
      </c>
      <c r="AX13" s="5">
        <v>132</v>
      </c>
      <c r="AY13" s="5">
        <v>55.39</v>
      </c>
      <c r="AZ13" s="5">
        <v>9.9</v>
      </c>
      <c r="BA13" s="5" t="s">
        <v>76</v>
      </c>
      <c r="BB13" s="12" t="s">
        <v>76</v>
      </c>
      <c r="BC13" s="5">
        <v>4.29</v>
      </c>
      <c r="BD13" s="5">
        <v>111</v>
      </c>
      <c r="BE13" s="5" t="s">
        <v>76</v>
      </c>
      <c r="BF13" s="5" t="s">
        <v>76</v>
      </c>
      <c r="BG13" s="15">
        <v>36.2</v>
      </c>
      <c r="BH13" s="5" t="s">
        <v>76</v>
      </c>
      <c r="BI13" s="5">
        <v>128</v>
      </c>
      <c r="BJ13" s="5">
        <v>36</v>
      </c>
      <c r="BK13" s="5">
        <v>93</v>
      </c>
      <c r="BL13" s="5">
        <v>65</v>
      </c>
      <c r="BM13" s="5" t="s">
        <v>77</v>
      </c>
      <c r="BN13" s="5" t="s">
        <v>77</v>
      </c>
      <c r="BO13" s="5" t="e">
        <f t="shared" si="0"/>
        <v>#VALUE!</v>
      </c>
      <c r="BP13" s="5" t="s">
        <v>117</v>
      </c>
      <c r="BQ13" s="5" t="s">
        <v>76</v>
      </c>
      <c r="BR13" s="5" t="s">
        <v>118</v>
      </c>
    </row>
    <row r="14" s="1" customFormat="1" spans="1:70">
      <c r="A14" s="1">
        <v>3511556</v>
      </c>
      <c r="B14" s="1" t="s">
        <v>119</v>
      </c>
      <c r="D14" s="4">
        <v>45282</v>
      </c>
      <c r="E14" s="4">
        <v>45288</v>
      </c>
      <c r="F14" s="7">
        <v>11190</v>
      </c>
      <c r="G14" s="1">
        <v>46</v>
      </c>
      <c r="H14" s="1">
        <v>13</v>
      </c>
      <c r="I14" s="1">
        <v>53</v>
      </c>
      <c r="J14" s="1">
        <v>12</v>
      </c>
      <c r="K14" s="1">
        <v>56</v>
      </c>
      <c r="L14" s="1">
        <v>29</v>
      </c>
      <c r="M14" s="1">
        <v>1.59</v>
      </c>
      <c r="N14" s="1">
        <v>29.9</v>
      </c>
      <c r="O14" s="7">
        <v>11190</v>
      </c>
      <c r="P14" s="4">
        <v>45282</v>
      </c>
      <c r="Q14" s="4">
        <v>45288</v>
      </c>
      <c r="R14" s="1" t="s">
        <v>80</v>
      </c>
      <c r="AO14" s="7">
        <v>11190</v>
      </c>
      <c r="AP14" s="5">
        <v>5.6</v>
      </c>
      <c r="AQ14" s="5">
        <v>121</v>
      </c>
      <c r="AR14" s="5">
        <v>53</v>
      </c>
      <c r="AS14" s="5">
        <v>55</v>
      </c>
      <c r="AT14" s="5">
        <v>60</v>
      </c>
      <c r="AU14" s="5">
        <v>20</v>
      </c>
      <c r="AV14" s="5">
        <v>34.9</v>
      </c>
      <c r="AW14" s="5">
        <v>7.81</v>
      </c>
      <c r="AX14" s="5">
        <v>78</v>
      </c>
      <c r="AY14" s="5">
        <v>93.93</v>
      </c>
      <c r="AZ14" s="5">
        <v>6.51</v>
      </c>
      <c r="BA14" s="5">
        <v>3.01</v>
      </c>
      <c r="BB14" s="12" t="s">
        <v>76</v>
      </c>
      <c r="BC14" s="5">
        <v>4.09</v>
      </c>
      <c r="BD14" s="5">
        <v>121</v>
      </c>
      <c r="BE14" s="5" t="s">
        <v>76</v>
      </c>
      <c r="BF14" s="5" t="s">
        <v>76</v>
      </c>
      <c r="BG14" s="15">
        <v>36.3</v>
      </c>
      <c r="BH14" s="5">
        <v>74</v>
      </c>
      <c r="BI14" s="5">
        <v>74</v>
      </c>
      <c r="BJ14" s="5">
        <v>18</v>
      </c>
      <c r="BK14" s="5">
        <v>138</v>
      </c>
      <c r="BL14" s="5">
        <v>78</v>
      </c>
      <c r="BM14" s="5">
        <v>70</v>
      </c>
      <c r="BN14" s="5">
        <v>175</v>
      </c>
      <c r="BO14" s="5">
        <f t="shared" si="0"/>
        <v>22.8571428571429</v>
      </c>
      <c r="BP14" s="5" t="s">
        <v>83</v>
      </c>
      <c r="BQ14" s="5" t="s">
        <v>76</v>
      </c>
      <c r="BR14" s="5">
        <v>7295</v>
      </c>
    </row>
    <row r="15" s="1" customFormat="1" spans="1:70">
      <c r="A15" s="1">
        <v>3257295</v>
      </c>
      <c r="B15" s="1" t="s">
        <v>120</v>
      </c>
      <c r="D15" s="4">
        <v>44923</v>
      </c>
      <c r="E15" s="4">
        <v>44946</v>
      </c>
      <c r="F15" s="7">
        <v>11266</v>
      </c>
      <c r="G15" s="1">
        <v>44</v>
      </c>
      <c r="H15" s="1">
        <v>9</v>
      </c>
      <c r="I15" s="1">
        <v>50</v>
      </c>
      <c r="J15" s="1">
        <v>9</v>
      </c>
      <c r="K15" s="1">
        <v>39</v>
      </c>
      <c r="L15" s="1">
        <v>19</v>
      </c>
      <c r="M15" s="1">
        <v>1.68</v>
      </c>
      <c r="N15" s="1">
        <v>21.7</v>
      </c>
      <c r="O15" s="7">
        <v>11266</v>
      </c>
      <c r="P15" s="4">
        <v>44923</v>
      </c>
      <c r="Q15" s="4">
        <v>44946</v>
      </c>
      <c r="R15" s="1" t="s">
        <v>73</v>
      </c>
      <c r="AO15" s="7">
        <v>11266</v>
      </c>
      <c r="AP15" s="5">
        <v>9.6</v>
      </c>
      <c r="AQ15" s="5">
        <v>97</v>
      </c>
      <c r="AR15" s="5">
        <v>38.1</v>
      </c>
      <c r="AS15" s="5">
        <v>8.7</v>
      </c>
      <c r="AT15" s="5">
        <v>63</v>
      </c>
      <c r="AU15" s="5">
        <v>63</v>
      </c>
      <c r="AV15" s="5">
        <v>36.3</v>
      </c>
      <c r="AW15" s="5">
        <v>9.65</v>
      </c>
      <c r="AX15" s="5">
        <v>79</v>
      </c>
      <c r="AY15" s="5">
        <v>99.48</v>
      </c>
      <c r="AZ15" s="5">
        <v>5.84</v>
      </c>
      <c r="BA15" s="5">
        <v>5.1</v>
      </c>
      <c r="BB15" s="12" t="s">
        <v>76</v>
      </c>
      <c r="BC15" s="5">
        <v>3.66</v>
      </c>
      <c r="BD15" s="5">
        <v>97</v>
      </c>
      <c r="BE15" s="5">
        <v>1.38</v>
      </c>
      <c r="BF15" s="5">
        <v>3.04</v>
      </c>
      <c r="BG15" s="15">
        <v>36.6</v>
      </c>
      <c r="BH15" s="5">
        <v>70</v>
      </c>
      <c r="BI15" s="5">
        <v>70</v>
      </c>
      <c r="BJ15" s="5">
        <v>22</v>
      </c>
      <c r="BK15" s="5">
        <v>130</v>
      </c>
      <c r="BL15" s="5">
        <v>70</v>
      </c>
      <c r="BM15" s="5">
        <v>40</v>
      </c>
      <c r="BN15" s="5">
        <v>150</v>
      </c>
      <c r="BO15" s="5">
        <f t="shared" si="0"/>
        <v>17.7777777777778</v>
      </c>
      <c r="BP15" s="5" t="s">
        <v>121</v>
      </c>
      <c r="BQ15" s="5">
        <v>5.6</v>
      </c>
      <c r="BR15" s="5" t="s">
        <v>118</v>
      </c>
    </row>
    <row r="16" s="1" customFormat="1" spans="1:70">
      <c r="A16" s="1">
        <v>3332775</v>
      </c>
      <c r="B16" s="1" t="s">
        <v>122</v>
      </c>
      <c r="D16" s="4">
        <v>45035</v>
      </c>
      <c r="E16" s="4">
        <v>45040</v>
      </c>
      <c r="F16" s="7">
        <v>11341</v>
      </c>
      <c r="G16" s="1">
        <v>48</v>
      </c>
      <c r="H16" s="1">
        <v>10</v>
      </c>
      <c r="I16" s="1">
        <v>49</v>
      </c>
      <c r="J16" s="1">
        <v>10</v>
      </c>
      <c r="K16" s="1">
        <v>60</v>
      </c>
      <c r="L16" s="1">
        <v>32</v>
      </c>
      <c r="N16" s="1">
        <v>18.7</v>
      </c>
      <c r="O16" s="7">
        <v>11341</v>
      </c>
      <c r="P16" s="4">
        <v>45035</v>
      </c>
      <c r="Q16" s="4">
        <v>45040</v>
      </c>
      <c r="R16" s="1" t="s">
        <v>80</v>
      </c>
      <c r="AO16" s="7">
        <v>11341</v>
      </c>
      <c r="AP16" s="5">
        <v>9.1</v>
      </c>
      <c r="AQ16" s="5">
        <v>136</v>
      </c>
      <c r="AR16" s="5">
        <v>41.6</v>
      </c>
      <c r="AS16" s="5">
        <v>5.7</v>
      </c>
      <c r="AT16" s="5">
        <v>27</v>
      </c>
      <c r="AU16" s="5">
        <v>13</v>
      </c>
      <c r="AV16" s="5">
        <v>47.8</v>
      </c>
      <c r="AW16" s="5">
        <v>16.32</v>
      </c>
      <c r="AX16" s="5">
        <v>132</v>
      </c>
      <c r="AY16" s="5">
        <v>54.29</v>
      </c>
      <c r="AZ16" s="5">
        <v>6.97</v>
      </c>
      <c r="BA16" s="5" t="s">
        <v>76</v>
      </c>
      <c r="BB16" s="12" t="s">
        <v>76</v>
      </c>
      <c r="BC16" s="5">
        <v>5.29</v>
      </c>
      <c r="BD16" s="5">
        <v>136</v>
      </c>
      <c r="BE16" s="5" t="s">
        <v>76</v>
      </c>
      <c r="BF16" s="5" t="s">
        <v>76</v>
      </c>
      <c r="BG16" s="15">
        <v>36.4</v>
      </c>
      <c r="BH16" s="5">
        <v>84</v>
      </c>
      <c r="BI16" s="5">
        <v>84</v>
      </c>
      <c r="BJ16" s="5">
        <v>18</v>
      </c>
      <c r="BK16" s="5">
        <v>125</v>
      </c>
      <c r="BL16" s="5">
        <v>69</v>
      </c>
      <c r="BM16" s="5">
        <v>72</v>
      </c>
      <c r="BN16" s="5">
        <v>170</v>
      </c>
      <c r="BO16" s="5">
        <f t="shared" si="0"/>
        <v>24.9134948096886</v>
      </c>
      <c r="BP16" s="5" t="s">
        <v>109</v>
      </c>
      <c r="BQ16" s="5" t="s">
        <v>76</v>
      </c>
      <c r="BR16" s="5">
        <v>3435</v>
      </c>
    </row>
    <row r="17" s="1" customFormat="1" spans="1:70">
      <c r="A17" s="1">
        <v>3255828</v>
      </c>
      <c r="B17" s="1" t="s">
        <v>123</v>
      </c>
      <c r="D17" s="4">
        <v>44921</v>
      </c>
      <c r="E17" s="4">
        <v>44946</v>
      </c>
      <c r="F17" s="7">
        <v>11616</v>
      </c>
      <c r="G17" s="1">
        <v>56</v>
      </c>
      <c r="H17" s="1">
        <v>10</v>
      </c>
      <c r="I17" s="1">
        <v>49</v>
      </c>
      <c r="J17" s="1">
        <v>10</v>
      </c>
      <c r="K17" s="1">
        <v>44</v>
      </c>
      <c r="L17" s="1">
        <v>22</v>
      </c>
      <c r="N17" s="1">
        <v>14.1</v>
      </c>
      <c r="O17" s="7">
        <v>11616</v>
      </c>
      <c r="P17" s="4">
        <v>44921</v>
      </c>
      <c r="Q17" s="4">
        <v>44946</v>
      </c>
      <c r="R17" s="1" t="s">
        <v>73</v>
      </c>
      <c r="AO17" s="7">
        <v>11616</v>
      </c>
      <c r="AP17" s="5">
        <v>9.9</v>
      </c>
      <c r="AQ17" s="5">
        <v>91</v>
      </c>
      <c r="AR17" s="5">
        <v>33.6</v>
      </c>
      <c r="AS17" s="5">
        <v>8.9</v>
      </c>
      <c r="AT17" s="5">
        <v>26</v>
      </c>
      <c r="AU17" s="5">
        <v>19</v>
      </c>
      <c r="AV17" s="5">
        <v>39.6</v>
      </c>
      <c r="AW17" s="5">
        <v>9.37</v>
      </c>
      <c r="AX17" s="5">
        <v>78</v>
      </c>
      <c r="AY17" s="5">
        <v>77.4</v>
      </c>
      <c r="AZ17" s="5" t="s">
        <v>75</v>
      </c>
      <c r="BA17" s="5">
        <v>2.88</v>
      </c>
      <c r="BB17" s="12" t="s">
        <v>76</v>
      </c>
      <c r="BC17" s="5">
        <v>4.44</v>
      </c>
      <c r="BD17" s="5">
        <v>91</v>
      </c>
      <c r="BE17" s="5">
        <v>0.87</v>
      </c>
      <c r="BF17" s="5">
        <v>1.57</v>
      </c>
      <c r="BG17" s="15">
        <v>36.9</v>
      </c>
      <c r="BH17" s="5">
        <v>68</v>
      </c>
      <c r="BI17" s="5" t="s">
        <v>76</v>
      </c>
      <c r="BJ17" s="5">
        <v>19</v>
      </c>
      <c r="BK17" s="5">
        <v>150</v>
      </c>
      <c r="BL17" s="5">
        <v>78</v>
      </c>
      <c r="BM17" s="5">
        <v>55</v>
      </c>
      <c r="BN17" s="5">
        <v>155</v>
      </c>
      <c r="BO17" s="5">
        <f t="shared" si="0"/>
        <v>22.8928199791883</v>
      </c>
      <c r="BP17" s="5" t="s">
        <v>83</v>
      </c>
      <c r="BQ17" s="5">
        <v>8.2</v>
      </c>
      <c r="BR17" s="5">
        <v>2755</v>
      </c>
    </row>
    <row r="18" s="1" customFormat="1" spans="1:70">
      <c r="A18" s="1">
        <v>3496321</v>
      </c>
      <c r="B18" s="1" t="s">
        <v>124</v>
      </c>
      <c r="D18" s="4">
        <v>45261</v>
      </c>
      <c r="E18" s="4">
        <v>45272</v>
      </c>
      <c r="F18" s="7">
        <v>11617</v>
      </c>
      <c r="G18" s="1">
        <v>52</v>
      </c>
      <c r="H18" s="1">
        <v>10</v>
      </c>
      <c r="I18" s="1">
        <v>65</v>
      </c>
      <c r="J18" s="1">
        <v>9</v>
      </c>
      <c r="K18" s="1">
        <v>40</v>
      </c>
      <c r="L18" s="1">
        <v>20</v>
      </c>
      <c r="N18" s="1">
        <v>11.8</v>
      </c>
      <c r="O18" s="7">
        <v>11617</v>
      </c>
      <c r="P18" s="4">
        <v>45261</v>
      </c>
      <c r="Q18" s="4">
        <v>45272</v>
      </c>
      <c r="R18" s="1" t="s">
        <v>80</v>
      </c>
      <c r="AO18" s="7">
        <v>11617</v>
      </c>
      <c r="AP18" s="5">
        <v>8.4</v>
      </c>
      <c r="AQ18" s="5">
        <v>140</v>
      </c>
      <c r="AR18" s="5">
        <v>45.9</v>
      </c>
      <c r="AS18" s="5">
        <v>7</v>
      </c>
      <c r="AT18" s="5">
        <v>84</v>
      </c>
      <c r="AU18" s="5">
        <v>94</v>
      </c>
      <c r="AV18" s="5">
        <v>45.3</v>
      </c>
      <c r="AW18" s="5">
        <v>6.67</v>
      </c>
      <c r="AX18" s="5">
        <v>71</v>
      </c>
      <c r="AY18" s="5">
        <v>95.67</v>
      </c>
      <c r="AZ18" s="5" t="s">
        <v>75</v>
      </c>
      <c r="BA18" s="5">
        <v>3.91</v>
      </c>
      <c r="BB18" s="12" t="s">
        <v>76</v>
      </c>
      <c r="BC18" s="5">
        <v>4.66</v>
      </c>
      <c r="BD18" s="5">
        <v>140</v>
      </c>
      <c r="BE18" s="5" t="s">
        <v>76</v>
      </c>
      <c r="BF18" s="5" t="s">
        <v>76</v>
      </c>
      <c r="BG18" s="15">
        <v>36.7</v>
      </c>
      <c r="BH18" s="5">
        <v>75</v>
      </c>
      <c r="BI18" s="5">
        <v>91</v>
      </c>
      <c r="BJ18" s="5">
        <v>18</v>
      </c>
      <c r="BK18" s="5">
        <v>154</v>
      </c>
      <c r="BL18" s="5">
        <v>58</v>
      </c>
      <c r="BM18" s="5">
        <v>55</v>
      </c>
      <c r="BN18" s="5">
        <v>170</v>
      </c>
      <c r="BO18" s="5">
        <f t="shared" si="0"/>
        <v>19.0311418685121</v>
      </c>
      <c r="BP18" s="5" t="s">
        <v>107</v>
      </c>
      <c r="BQ18" s="5">
        <v>5.6</v>
      </c>
      <c r="BR18" s="5">
        <v>5109</v>
      </c>
    </row>
    <row r="19" s="1" customFormat="1" spans="1:70">
      <c r="A19" s="1">
        <v>3327209</v>
      </c>
      <c r="B19" s="1" t="s">
        <v>124</v>
      </c>
      <c r="D19" s="4">
        <v>45028</v>
      </c>
      <c r="E19" s="4">
        <v>45037</v>
      </c>
      <c r="F19" s="7">
        <v>11617</v>
      </c>
      <c r="G19" s="1">
        <v>51</v>
      </c>
      <c r="H19" s="1">
        <v>10</v>
      </c>
      <c r="I19" s="1">
        <v>60</v>
      </c>
      <c r="J19" s="1">
        <v>10</v>
      </c>
      <c r="K19" s="1">
        <v>56</v>
      </c>
      <c r="L19" s="1">
        <v>29</v>
      </c>
      <c r="M19" s="1">
        <v>2.49</v>
      </c>
      <c r="N19" s="1">
        <v>16.2</v>
      </c>
      <c r="O19" s="7">
        <v>11617</v>
      </c>
      <c r="P19" s="4">
        <v>45028</v>
      </c>
      <c r="Q19" s="4">
        <v>45037</v>
      </c>
      <c r="R19" s="1" t="s">
        <v>80</v>
      </c>
      <c r="AO19" s="7">
        <v>11617</v>
      </c>
      <c r="AP19" s="5">
        <v>9.6</v>
      </c>
      <c r="AQ19" s="5">
        <v>119</v>
      </c>
      <c r="AR19" s="5">
        <v>38.9</v>
      </c>
      <c r="AS19" s="5">
        <v>76.8</v>
      </c>
      <c r="AT19" s="5">
        <v>19</v>
      </c>
      <c r="AU19" s="5">
        <v>24</v>
      </c>
      <c r="AV19" s="5">
        <v>37.6</v>
      </c>
      <c r="AW19" s="5">
        <v>6.26</v>
      </c>
      <c r="AX19" s="5">
        <v>67</v>
      </c>
      <c r="AY19" s="5" t="s">
        <v>125</v>
      </c>
      <c r="AZ19" s="5" t="s">
        <v>75</v>
      </c>
      <c r="BA19" s="5">
        <v>3.41</v>
      </c>
      <c r="BB19" s="12" t="s">
        <v>76</v>
      </c>
      <c r="BC19" s="5">
        <v>3.71</v>
      </c>
      <c r="BD19" s="5">
        <v>119</v>
      </c>
      <c r="BE19" s="5">
        <v>0.84</v>
      </c>
      <c r="BF19" s="5">
        <v>1.83</v>
      </c>
      <c r="BG19" s="15">
        <v>36.5</v>
      </c>
      <c r="BH19" s="5">
        <v>76</v>
      </c>
      <c r="BI19" s="5">
        <v>88</v>
      </c>
      <c r="BJ19" s="5">
        <v>17</v>
      </c>
      <c r="BK19" s="5">
        <v>143</v>
      </c>
      <c r="BL19" s="5">
        <v>73</v>
      </c>
      <c r="BM19" s="5">
        <v>64</v>
      </c>
      <c r="BN19" s="5">
        <v>170</v>
      </c>
      <c r="BO19" s="5">
        <f t="shared" si="0"/>
        <v>22.1453287197232</v>
      </c>
      <c r="BP19" s="5" t="s">
        <v>107</v>
      </c>
      <c r="BQ19" s="5">
        <v>5.3</v>
      </c>
      <c r="BR19" s="5">
        <v>4596</v>
      </c>
    </row>
    <row r="20" s="1" customFormat="1" spans="1:70">
      <c r="A20" s="1" t="s">
        <v>126</v>
      </c>
      <c r="B20" s="1" t="s">
        <v>127</v>
      </c>
      <c r="D20" s="4">
        <v>44888</v>
      </c>
      <c r="E20" s="4">
        <v>44891</v>
      </c>
      <c r="F20" s="7">
        <v>11628</v>
      </c>
      <c r="G20" s="1">
        <v>46</v>
      </c>
      <c r="H20" s="1">
        <v>9</v>
      </c>
      <c r="I20" s="1">
        <v>51</v>
      </c>
      <c r="J20" s="1">
        <v>9</v>
      </c>
      <c r="K20" s="1">
        <v>63</v>
      </c>
      <c r="L20" s="1">
        <v>34</v>
      </c>
      <c r="M20" s="1">
        <v>0.87</v>
      </c>
      <c r="N20" s="1">
        <v>16.6</v>
      </c>
      <c r="O20" s="7">
        <v>11628</v>
      </c>
      <c r="P20" s="4">
        <v>44888</v>
      </c>
      <c r="Q20" s="4">
        <v>44891</v>
      </c>
      <c r="R20" s="1" t="s">
        <v>80</v>
      </c>
      <c r="AO20" s="7">
        <v>11628</v>
      </c>
      <c r="AP20" s="5" t="s">
        <v>128</v>
      </c>
      <c r="AQ20" s="5" t="s">
        <v>129</v>
      </c>
      <c r="AR20" s="5" t="s">
        <v>130</v>
      </c>
      <c r="AS20" s="5" t="s">
        <v>76</v>
      </c>
      <c r="AT20" s="5" t="s">
        <v>131</v>
      </c>
      <c r="AU20" s="5" t="s">
        <v>92</v>
      </c>
      <c r="AV20" s="5" t="s">
        <v>132</v>
      </c>
      <c r="AW20" s="5" t="s">
        <v>133</v>
      </c>
      <c r="AX20" s="5" t="s">
        <v>134</v>
      </c>
      <c r="AY20" s="5" t="s">
        <v>76</v>
      </c>
      <c r="AZ20" s="5" t="s">
        <v>135</v>
      </c>
      <c r="BA20" s="5" t="s">
        <v>76</v>
      </c>
      <c r="BB20" s="12" t="s">
        <v>76</v>
      </c>
      <c r="BC20" s="5" t="s">
        <v>136</v>
      </c>
      <c r="BD20" s="5" t="s">
        <v>129</v>
      </c>
      <c r="BE20" s="5" t="s">
        <v>76</v>
      </c>
      <c r="BF20" s="5" t="s">
        <v>76</v>
      </c>
      <c r="BG20" s="15">
        <v>36.6</v>
      </c>
      <c r="BH20" s="5" t="s">
        <v>137</v>
      </c>
      <c r="BI20" s="5" t="s">
        <v>76</v>
      </c>
      <c r="BJ20" s="5" t="s">
        <v>76</v>
      </c>
      <c r="BK20" s="5" t="s">
        <v>138</v>
      </c>
      <c r="BL20" s="5" t="s">
        <v>139</v>
      </c>
      <c r="BM20" s="5" t="s">
        <v>140</v>
      </c>
      <c r="BN20" s="5">
        <v>180</v>
      </c>
      <c r="BO20" s="5">
        <f t="shared" si="0"/>
        <v>24.6913580246914</v>
      </c>
      <c r="BP20" s="5" t="s">
        <v>141</v>
      </c>
      <c r="BQ20" s="5" t="s">
        <v>76</v>
      </c>
      <c r="BR20" s="5">
        <v>5973</v>
      </c>
    </row>
    <row r="21" s="1" customFormat="1" spans="1:70">
      <c r="A21" s="1">
        <v>3256954</v>
      </c>
      <c r="B21" s="1" t="s">
        <v>142</v>
      </c>
      <c r="D21" s="4">
        <v>44922</v>
      </c>
      <c r="E21" s="4">
        <v>44929</v>
      </c>
      <c r="F21" s="7">
        <v>11684</v>
      </c>
      <c r="G21" s="1">
        <v>36</v>
      </c>
      <c r="H21" s="1">
        <v>8</v>
      </c>
      <c r="I21" s="1">
        <v>40</v>
      </c>
      <c r="J21" s="1">
        <v>8</v>
      </c>
      <c r="K21" s="1">
        <v>64</v>
      </c>
      <c r="L21" s="1">
        <v>34</v>
      </c>
      <c r="M21" s="1">
        <v>0.86</v>
      </c>
      <c r="N21" s="1">
        <v>10.9</v>
      </c>
      <c r="O21" s="7">
        <v>11684</v>
      </c>
      <c r="P21" s="4">
        <v>44922</v>
      </c>
      <c r="Q21" s="4">
        <v>44929</v>
      </c>
      <c r="R21" s="1" t="s">
        <v>73</v>
      </c>
      <c r="S21" s="1">
        <v>91</v>
      </c>
      <c r="T21" s="1" t="s">
        <v>143</v>
      </c>
      <c r="AM21" s="1">
        <v>1</v>
      </c>
      <c r="AO21" s="7">
        <v>11684</v>
      </c>
      <c r="AP21" s="5">
        <v>5.6</v>
      </c>
      <c r="AQ21" s="5">
        <v>94</v>
      </c>
      <c r="AR21" s="5">
        <v>34.7</v>
      </c>
      <c r="AS21" s="5" t="s">
        <v>81</v>
      </c>
      <c r="AT21" s="5">
        <v>11</v>
      </c>
      <c r="AU21" s="5">
        <v>9</v>
      </c>
      <c r="AV21" s="5">
        <v>36.3</v>
      </c>
      <c r="AW21" s="5">
        <v>5.79</v>
      </c>
      <c r="AX21" s="5">
        <v>52</v>
      </c>
      <c r="AY21" s="5">
        <v>109.15</v>
      </c>
      <c r="AZ21" s="5" t="s">
        <v>76</v>
      </c>
      <c r="BA21" s="5">
        <v>4.12</v>
      </c>
      <c r="BB21" s="12" t="s">
        <v>76</v>
      </c>
      <c r="BC21" s="5">
        <v>3.93</v>
      </c>
      <c r="BD21" s="5">
        <v>94</v>
      </c>
      <c r="BE21" s="5">
        <v>0.7</v>
      </c>
      <c r="BF21" s="5">
        <v>2.71</v>
      </c>
      <c r="BG21" s="15">
        <v>37.8</v>
      </c>
      <c r="BH21" s="5" t="s">
        <v>76</v>
      </c>
      <c r="BI21" s="5">
        <v>67</v>
      </c>
      <c r="BJ21" s="5">
        <v>20</v>
      </c>
      <c r="BK21" s="5">
        <v>125</v>
      </c>
      <c r="BL21" s="5">
        <v>67</v>
      </c>
      <c r="BM21" s="5" t="s">
        <v>77</v>
      </c>
      <c r="BN21" s="5" t="s">
        <v>77</v>
      </c>
      <c r="BO21" s="5" t="e">
        <f t="shared" si="0"/>
        <v>#VALUE!</v>
      </c>
      <c r="BP21" s="5" t="s">
        <v>144</v>
      </c>
      <c r="BQ21" s="5">
        <v>6</v>
      </c>
      <c r="BR21" s="5">
        <v>3841</v>
      </c>
    </row>
    <row r="22" s="1" customFormat="1" spans="1:70">
      <c r="A22" s="1">
        <v>3255739</v>
      </c>
      <c r="B22" s="1" t="s">
        <v>145</v>
      </c>
      <c r="D22" s="4">
        <v>44920</v>
      </c>
      <c r="E22" s="4">
        <v>44933</v>
      </c>
      <c r="F22" s="7">
        <v>11687</v>
      </c>
      <c r="G22" s="1">
        <v>30</v>
      </c>
      <c r="H22" s="1">
        <v>9</v>
      </c>
      <c r="I22" s="1">
        <v>43</v>
      </c>
      <c r="J22" s="1">
        <v>9</v>
      </c>
      <c r="K22" s="1">
        <v>57</v>
      </c>
      <c r="L22" s="1">
        <v>30</v>
      </c>
      <c r="M22" s="1">
        <v>0.71</v>
      </c>
      <c r="N22" s="1">
        <v>11</v>
      </c>
      <c r="O22" s="7">
        <v>11687</v>
      </c>
      <c r="P22" s="4">
        <v>44920</v>
      </c>
      <c r="Q22" s="4">
        <v>44933</v>
      </c>
      <c r="R22" s="1" t="s">
        <v>80</v>
      </c>
      <c r="S22" s="1">
        <v>90</v>
      </c>
      <c r="T22" s="1">
        <v>13905203200</v>
      </c>
      <c r="AA22" s="1">
        <v>1</v>
      </c>
      <c r="AG22" s="1">
        <v>1</v>
      </c>
      <c r="AH22" s="1">
        <v>1</v>
      </c>
      <c r="AN22" s="1">
        <v>1</v>
      </c>
      <c r="AO22" s="7">
        <v>11687</v>
      </c>
      <c r="AP22" s="5">
        <v>8583</v>
      </c>
      <c r="AQ22" s="5">
        <v>99</v>
      </c>
      <c r="AR22" s="5">
        <v>34.3</v>
      </c>
      <c r="AS22" s="5">
        <v>22.6</v>
      </c>
      <c r="AT22" s="5">
        <v>25</v>
      </c>
      <c r="AU22" s="5">
        <v>8</v>
      </c>
      <c r="AV22" s="5">
        <v>36.7</v>
      </c>
      <c r="AW22" s="5">
        <v>37.19</v>
      </c>
      <c r="AX22" s="5">
        <v>230</v>
      </c>
      <c r="AY22" s="5">
        <v>46.88</v>
      </c>
      <c r="AZ22" s="5">
        <v>9.8</v>
      </c>
      <c r="BA22" s="5">
        <v>2.8</v>
      </c>
      <c r="BB22" s="12" t="s">
        <v>76</v>
      </c>
      <c r="BC22" s="5">
        <v>6.03</v>
      </c>
      <c r="BD22" s="5">
        <v>99</v>
      </c>
      <c r="BE22" s="5">
        <v>1.02</v>
      </c>
      <c r="BF22" s="5">
        <v>1.58</v>
      </c>
      <c r="BG22" s="15">
        <v>36.7</v>
      </c>
      <c r="BH22" s="5" t="s">
        <v>76</v>
      </c>
      <c r="BI22" s="5">
        <v>59</v>
      </c>
      <c r="BJ22" s="5">
        <v>28</v>
      </c>
      <c r="BK22" s="5">
        <v>136</v>
      </c>
      <c r="BL22" s="5">
        <v>54</v>
      </c>
      <c r="BM22" s="5">
        <v>80</v>
      </c>
      <c r="BN22" s="5">
        <v>173</v>
      </c>
      <c r="BO22" s="5">
        <f t="shared" si="0"/>
        <v>26.7299274950717</v>
      </c>
      <c r="BP22" s="5" t="s">
        <v>121</v>
      </c>
      <c r="BQ22" s="5" t="s">
        <v>76</v>
      </c>
      <c r="BR22" s="5">
        <v>2526.97</v>
      </c>
    </row>
    <row r="23" s="1" customFormat="1" spans="1:70">
      <c r="A23" s="1">
        <v>3248585</v>
      </c>
      <c r="B23" s="1" t="s">
        <v>146</v>
      </c>
      <c r="D23" s="4">
        <v>44897</v>
      </c>
      <c r="E23" s="4">
        <v>44911</v>
      </c>
      <c r="F23" s="7">
        <v>11710</v>
      </c>
      <c r="G23" s="1">
        <v>36</v>
      </c>
      <c r="H23" s="1">
        <v>10</v>
      </c>
      <c r="I23" s="1">
        <v>50</v>
      </c>
      <c r="J23" s="1">
        <v>10</v>
      </c>
      <c r="K23" s="1">
        <v>64</v>
      </c>
      <c r="L23" s="1">
        <v>35</v>
      </c>
      <c r="M23" s="1">
        <v>1.04</v>
      </c>
      <c r="N23" s="1">
        <v>14.7</v>
      </c>
      <c r="O23" s="7">
        <v>11710</v>
      </c>
      <c r="P23" s="4">
        <v>44897</v>
      </c>
      <c r="Q23" s="4">
        <v>44911</v>
      </c>
      <c r="R23" s="1" t="s">
        <v>80</v>
      </c>
      <c r="S23" s="1">
        <v>90</v>
      </c>
      <c r="T23" s="1">
        <v>13655209991</v>
      </c>
      <c r="V23" s="1">
        <v>1</v>
      </c>
      <c r="Y23" s="1">
        <v>1</v>
      </c>
      <c r="Z23" s="1">
        <v>1</v>
      </c>
      <c r="AC23" s="1">
        <v>1</v>
      </c>
      <c r="AI23" s="1">
        <v>1</v>
      </c>
      <c r="AK23" s="1">
        <v>1</v>
      </c>
      <c r="AM23" s="1">
        <v>1</v>
      </c>
      <c r="AO23" s="7">
        <v>11710</v>
      </c>
      <c r="AP23" s="5">
        <v>7.6</v>
      </c>
      <c r="AQ23" s="5">
        <v>116</v>
      </c>
      <c r="AR23" s="5">
        <v>60</v>
      </c>
      <c r="AS23" s="5">
        <v>45.3</v>
      </c>
      <c r="AT23" s="5">
        <v>63</v>
      </c>
      <c r="AU23" s="5">
        <v>17</v>
      </c>
      <c r="AV23" s="5">
        <v>34.6</v>
      </c>
      <c r="AW23" s="5">
        <v>9.33</v>
      </c>
      <c r="AX23" s="5">
        <v>96</v>
      </c>
      <c r="AY23" s="5" t="s">
        <v>125</v>
      </c>
      <c r="AZ23" s="5" t="s">
        <v>75</v>
      </c>
      <c r="BA23" s="5">
        <v>3.55</v>
      </c>
      <c r="BB23" s="12" t="s">
        <v>76</v>
      </c>
      <c r="BC23" s="5">
        <v>4.25</v>
      </c>
      <c r="BD23" s="5">
        <v>116</v>
      </c>
      <c r="BE23" s="5">
        <v>0.79</v>
      </c>
      <c r="BF23" s="5">
        <v>2.1</v>
      </c>
      <c r="BG23" s="15">
        <v>37</v>
      </c>
      <c r="BH23" s="5">
        <v>80</v>
      </c>
      <c r="BI23" s="5">
        <v>90</v>
      </c>
      <c r="BJ23" s="5">
        <v>18</v>
      </c>
      <c r="BK23" s="5">
        <v>156</v>
      </c>
      <c r="BL23" s="5">
        <v>88</v>
      </c>
      <c r="BM23" s="5">
        <v>79</v>
      </c>
      <c r="BN23" s="5">
        <v>175</v>
      </c>
      <c r="BO23" s="5">
        <f t="shared" si="0"/>
        <v>25.7959183673469</v>
      </c>
      <c r="BP23" s="5" t="s">
        <v>83</v>
      </c>
      <c r="BQ23" s="5" t="s">
        <v>76</v>
      </c>
      <c r="BR23" s="5">
        <v>4361</v>
      </c>
    </row>
    <row r="24" s="1" customFormat="1" spans="1:70">
      <c r="A24" s="1">
        <v>3263422</v>
      </c>
      <c r="B24" s="1" t="s">
        <v>147</v>
      </c>
      <c r="D24" s="4">
        <v>44934</v>
      </c>
      <c r="E24" s="4">
        <v>44945</v>
      </c>
      <c r="F24" s="7">
        <v>11730</v>
      </c>
      <c r="G24" s="1">
        <v>37</v>
      </c>
      <c r="H24" s="1">
        <v>9</v>
      </c>
      <c r="I24" s="1">
        <v>45</v>
      </c>
      <c r="J24" s="1">
        <v>9</v>
      </c>
      <c r="K24" s="1">
        <v>50</v>
      </c>
      <c r="L24" s="1">
        <v>25</v>
      </c>
      <c r="M24" s="1">
        <v>0.71</v>
      </c>
      <c r="N24" s="1">
        <v>16.3</v>
      </c>
      <c r="O24" s="7">
        <v>11730</v>
      </c>
      <c r="P24" s="4">
        <v>44934</v>
      </c>
      <c r="Q24" s="4">
        <v>44945</v>
      </c>
      <c r="R24" s="1" t="s">
        <v>73</v>
      </c>
      <c r="AO24" s="7">
        <v>11730</v>
      </c>
      <c r="AP24" s="5">
        <v>8.3</v>
      </c>
      <c r="AQ24" s="5">
        <v>99</v>
      </c>
      <c r="AR24" s="5">
        <v>32.7</v>
      </c>
      <c r="AS24" s="5" t="s">
        <v>76</v>
      </c>
      <c r="AT24" s="5">
        <v>23</v>
      </c>
      <c r="AU24" s="5">
        <v>7</v>
      </c>
      <c r="AV24" s="5">
        <v>33</v>
      </c>
      <c r="AW24" s="5">
        <v>4.89</v>
      </c>
      <c r="AX24" s="5">
        <v>75</v>
      </c>
      <c r="AY24" s="5">
        <v>66.93</v>
      </c>
      <c r="AZ24" s="5" t="s">
        <v>75</v>
      </c>
      <c r="BA24" s="5">
        <v>3.58</v>
      </c>
      <c r="BB24" s="12" t="s">
        <v>76</v>
      </c>
      <c r="BC24" s="5">
        <v>4.52</v>
      </c>
      <c r="BD24" s="5">
        <v>99</v>
      </c>
      <c r="BE24" s="5">
        <v>0.89</v>
      </c>
      <c r="BF24" s="5">
        <v>2.08</v>
      </c>
      <c r="BG24" s="15">
        <v>36.6</v>
      </c>
      <c r="BH24" s="5">
        <v>76</v>
      </c>
      <c r="BI24" s="5">
        <v>76</v>
      </c>
      <c r="BJ24" s="5">
        <v>18</v>
      </c>
      <c r="BK24" s="5">
        <v>98</v>
      </c>
      <c r="BL24" s="5">
        <v>55</v>
      </c>
      <c r="BM24" s="5">
        <v>50</v>
      </c>
      <c r="BN24" s="5">
        <v>153</v>
      </c>
      <c r="BO24" s="5">
        <f t="shared" si="0"/>
        <v>21.359306249733</v>
      </c>
      <c r="BP24" s="5" t="s">
        <v>121</v>
      </c>
      <c r="BQ24" s="5" t="s">
        <v>76</v>
      </c>
      <c r="BR24" s="5">
        <v>3791.26</v>
      </c>
    </row>
    <row r="25" s="1" customFormat="1" spans="1:70">
      <c r="A25" s="1">
        <v>3254880</v>
      </c>
      <c r="B25" s="1" t="s">
        <v>148</v>
      </c>
      <c r="D25" s="4">
        <v>44916</v>
      </c>
      <c r="E25" s="4">
        <v>44942</v>
      </c>
      <c r="F25" s="7">
        <v>11880</v>
      </c>
      <c r="G25" s="1">
        <v>47</v>
      </c>
      <c r="H25" s="1">
        <v>8</v>
      </c>
      <c r="I25" s="1">
        <v>46</v>
      </c>
      <c r="J25" s="1">
        <v>8</v>
      </c>
      <c r="K25" s="1">
        <v>58</v>
      </c>
      <c r="L25" s="1">
        <v>31</v>
      </c>
      <c r="N25" s="1">
        <v>8.5</v>
      </c>
      <c r="O25" s="7">
        <v>11880</v>
      </c>
      <c r="P25" s="4">
        <v>44916</v>
      </c>
      <c r="Q25" s="4">
        <v>44942</v>
      </c>
      <c r="R25" s="1" t="s">
        <v>80</v>
      </c>
      <c r="AO25" s="7">
        <v>11880</v>
      </c>
      <c r="AP25" s="5">
        <v>9.1</v>
      </c>
      <c r="AQ25" s="5">
        <v>123</v>
      </c>
      <c r="AR25" s="5">
        <v>37.3</v>
      </c>
      <c r="AS25" s="5">
        <v>72.7</v>
      </c>
      <c r="AT25" s="5">
        <v>65</v>
      </c>
      <c r="AU25" s="5">
        <v>90</v>
      </c>
      <c r="AV25" s="5">
        <v>34</v>
      </c>
      <c r="AW25" s="5">
        <v>18.2</v>
      </c>
      <c r="AX25" s="5">
        <v>81</v>
      </c>
      <c r="AY25" s="5">
        <v>86.22</v>
      </c>
      <c r="AZ25" s="5" t="s">
        <v>75</v>
      </c>
      <c r="BA25" s="5">
        <v>3.24</v>
      </c>
      <c r="BB25" s="12" t="s">
        <v>76</v>
      </c>
      <c r="BC25" s="5">
        <v>4.84</v>
      </c>
      <c r="BD25" s="5">
        <v>123</v>
      </c>
      <c r="BE25" s="5" t="s">
        <v>76</v>
      </c>
      <c r="BF25" s="5" t="s">
        <v>76</v>
      </c>
      <c r="BG25" s="15">
        <v>36.5</v>
      </c>
      <c r="BH25" s="5">
        <v>93</v>
      </c>
      <c r="BI25" s="5">
        <v>93</v>
      </c>
      <c r="BJ25" s="5">
        <v>19</v>
      </c>
      <c r="BK25" s="5">
        <v>137</v>
      </c>
      <c r="BL25" s="5">
        <v>90</v>
      </c>
      <c r="BM25" s="5">
        <v>73</v>
      </c>
      <c r="BN25" s="5">
        <v>166</v>
      </c>
      <c r="BO25" s="5">
        <f t="shared" si="0"/>
        <v>26.4915082014806</v>
      </c>
      <c r="BP25" s="5" t="s">
        <v>149</v>
      </c>
      <c r="BQ25" s="5" t="s">
        <v>76</v>
      </c>
      <c r="BR25" s="5">
        <v>9552</v>
      </c>
    </row>
    <row r="26" s="1" customFormat="1" spans="1:70">
      <c r="A26" s="1">
        <v>3294865</v>
      </c>
      <c r="B26" s="1" t="s">
        <v>150</v>
      </c>
      <c r="D26" s="4">
        <v>44984</v>
      </c>
      <c r="E26" s="4">
        <v>44996</v>
      </c>
      <c r="F26" s="7">
        <v>11884</v>
      </c>
      <c r="G26" s="1">
        <v>40</v>
      </c>
      <c r="H26" s="1">
        <v>9</v>
      </c>
      <c r="I26" s="1">
        <v>53</v>
      </c>
      <c r="J26" s="1">
        <v>9</v>
      </c>
      <c r="K26" s="1">
        <v>59</v>
      </c>
      <c r="L26" s="1">
        <v>32</v>
      </c>
      <c r="M26" s="1">
        <v>1.41</v>
      </c>
      <c r="N26" s="1">
        <v>17.1</v>
      </c>
      <c r="O26" s="7">
        <v>11884</v>
      </c>
      <c r="P26" s="4">
        <v>44984</v>
      </c>
      <c r="Q26" s="4">
        <v>44996</v>
      </c>
      <c r="R26" s="1" t="s">
        <v>80</v>
      </c>
      <c r="S26" s="1">
        <v>90</v>
      </c>
      <c r="T26" s="1" t="s">
        <v>151</v>
      </c>
      <c r="V26" s="1">
        <v>1</v>
      </c>
      <c r="AC26" s="1">
        <v>1</v>
      </c>
      <c r="AM26" s="1">
        <v>1</v>
      </c>
      <c r="AO26" s="7">
        <v>11884</v>
      </c>
      <c r="AP26" s="5">
        <v>7.5</v>
      </c>
      <c r="AQ26" s="5">
        <v>72</v>
      </c>
      <c r="AR26" s="5">
        <v>43</v>
      </c>
      <c r="AS26" s="5">
        <v>45</v>
      </c>
      <c r="AT26" s="5">
        <v>24</v>
      </c>
      <c r="AU26" s="5">
        <v>25</v>
      </c>
      <c r="AV26" s="5">
        <v>33</v>
      </c>
      <c r="AW26" s="5">
        <v>7.32</v>
      </c>
      <c r="AX26" s="5">
        <v>64</v>
      </c>
      <c r="AY26" s="5" t="s">
        <v>125</v>
      </c>
      <c r="AZ26" s="5">
        <v>6.33</v>
      </c>
      <c r="BA26" s="5">
        <v>5.6</v>
      </c>
      <c r="BB26" s="12" t="s">
        <v>76</v>
      </c>
      <c r="BC26" s="5">
        <v>4.05</v>
      </c>
      <c r="BD26" s="5">
        <v>72</v>
      </c>
      <c r="BE26" s="5">
        <v>0.78</v>
      </c>
      <c r="BF26" s="5">
        <v>3.24</v>
      </c>
      <c r="BG26" s="15">
        <v>36.6</v>
      </c>
      <c r="BH26" s="5" t="s">
        <v>76</v>
      </c>
      <c r="BI26" s="5">
        <v>90</v>
      </c>
      <c r="BJ26" s="5">
        <v>18</v>
      </c>
      <c r="BK26" s="5">
        <v>165</v>
      </c>
      <c r="BL26" s="5">
        <v>69</v>
      </c>
      <c r="BM26" s="5">
        <v>0</v>
      </c>
      <c r="BN26" s="5">
        <v>0</v>
      </c>
      <c r="BO26" s="5" t="e">
        <f t="shared" si="0"/>
        <v>#DIV/0!</v>
      </c>
      <c r="BP26" s="5" t="s">
        <v>152</v>
      </c>
      <c r="BQ26" s="5">
        <v>5.8</v>
      </c>
      <c r="BR26" s="5">
        <v>9725</v>
      </c>
    </row>
    <row r="27" s="1" customFormat="1" spans="1:70">
      <c r="A27" s="1">
        <v>3257273</v>
      </c>
      <c r="B27" s="1" t="s">
        <v>153</v>
      </c>
      <c r="D27" s="4">
        <v>44923</v>
      </c>
      <c r="E27" s="4">
        <v>44936</v>
      </c>
      <c r="F27" s="7">
        <v>11921</v>
      </c>
      <c r="G27" s="1">
        <v>40</v>
      </c>
      <c r="H27" s="1">
        <v>9</v>
      </c>
      <c r="I27" s="1">
        <v>45</v>
      </c>
      <c r="J27" s="1">
        <v>9</v>
      </c>
      <c r="K27" s="1">
        <v>63</v>
      </c>
      <c r="L27" s="1">
        <v>34</v>
      </c>
      <c r="M27" s="1">
        <v>2.25</v>
      </c>
      <c r="N27" s="1">
        <v>12.6</v>
      </c>
      <c r="O27" s="7">
        <v>11921</v>
      </c>
      <c r="P27" s="4">
        <v>44923</v>
      </c>
      <c r="Q27" s="4">
        <v>44936</v>
      </c>
      <c r="R27" s="1" t="s">
        <v>73</v>
      </c>
      <c r="S27" s="1">
        <v>70</v>
      </c>
      <c r="T27" s="1" t="s">
        <v>154</v>
      </c>
      <c r="V27" s="1" t="s">
        <v>155</v>
      </c>
      <c r="X27" s="1" t="s">
        <v>155</v>
      </c>
      <c r="AA27" s="1" t="s">
        <v>155</v>
      </c>
      <c r="AO27" s="7">
        <v>11921</v>
      </c>
      <c r="AP27" s="5">
        <v>14.9</v>
      </c>
      <c r="AQ27" s="5">
        <v>93</v>
      </c>
      <c r="AR27" s="5">
        <v>31.5</v>
      </c>
      <c r="AS27" s="5">
        <v>85.2</v>
      </c>
      <c r="AT27" s="5">
        <v>268</v>
      </c>
      <c r="AU27" s="5">
        <v>700</v>
      </c>
      <c r="AV27" s="5">
        <v>34.4</v>
      </c>
      <c r="AW27" s="5">
        <v>20.4</v>
      </c>
      <c r="AX27" s="5">
        <v>123</v>
      </c>
      <c r="AY27" s="5">
        <v>38.91</v>
      </c>
      <c r="AZ27" s="5">
        <v>8.2</v>
      </c>
      <c r="BA27" s="5">
        <v>3.22</v>
      </c>
      <c r="BB27" s="12" t="s">
        <v>76</v>
      </c>
      <c r="BC27" s="5">
        <v>5.42</v>
      </c>
      <c r="BD27" s="5">
        <v>93</v>
      </c>
      <c r="BE27" s="5">
        <v>2.01</v>
      </c>
      <c r="BF27" s="5">
        <v>1.21</v>
      </c>
      <c r="BG27" s="15">
        <v>36.8</v>
      </c>
      <c r="BH27" s="5">
        <v>120</v>
      </c>
      <c r="BI27" s="5">
        <v>128</v>
      </c>
      <c r="BJ27" s="5">
        <v>30</v>
      </c>
      <c r="BK27" s="5">
        <v>135</v>
      </c>
      <c r="BL27" s="5">
        <v>65</v>
      </c>
      <c r="BM27" s="5">
        <v>70</v>
      </c>
      <c r="BN27" s="5">
        <v>160</v>
      </c>
      <c r="BO27" s="5">
        <f t="shared" si="0"/>
        <v>27.34375</v>
      </c>
      <c r="BP27" s="5" t="s">
        <v>156</v>
      </c>
      <c r="BQ27" s="5" t="s">
        <v>76</v>
      </c>
      <c r="BR27" s="5">
        <v>5797</v>
      </c>
    </row>
    <row r="28" s="1" customFormat="1" spans="1:70">
      <c r="A28" s="1">
        <v>3311628</v>
      </c>
      <c r="B28" s="1" t="s">
        <v>157</v>
      </c>
      <c r="D28" s="4">
        <v>45006</v>
      </c>
      <c r="E28" s="4">
        <v>45016</v>
      </c>
      <c r="F28" s="7">
        <v>11941</v>
      </c>
      <c r="G28" s="1">
        <v>38</v>
      </c>
      <c r="H28" s="1">
        <v>10</v>
      </c>
      <c r="I28" s="1">
        <v>49</v>
      </c>
      <c r="J28" s="1">
        <v>10</v>
      </c>
      <c r="K28" s="1">
        <v>56</v>
      </c>
      <c r="L28" s="1">
        <v>29</v>
      </c>
      <c r="M28" s="1">
        <v>0.47</v>
      </c>
      <c r="N28" s="1">
        <v>10.5</v>
      </c>
      <c r="O28" s="7">
        <v>11941</v>
      </c>
      <c r="P28" s="4">
        <v>45006</v>
      </c>
      <c r="Q28" s="4">
        <v>45016</v>
      </c>
      <c r="R28" s="1" t="s">
        <v>73</v>
      </c>
      <c r="AO28" s="7">
        <v>11941</v>
      </c>
      <c r="AP28" s="5">
        <v>9</v>
      </c>
      <c r="AQ28" s="5">
        <v>154</v>
      </c>
      <c r="AR28" s="5">
        <v>48.8</v>
      </c>
      <c r="AS28" s="5">
        <v>9.3</v>
      </c>
      <c r="AT28" s="5">
        <v>13</v>
      </c>
      <c r="AU28" s="5">
        <v>9</v>
      </c>
      <c r="AV28" s="5">
        <v>30.7</v>
      </c>
      <c r="AW28" s="5">
        <v>5.35</v>
      </c>
      <c r="AX28" s="5">
        <v>42</v>
      </c>
      <c r="AY28" s="5" t="s">
        <v>125</v>
      </c>
      <c r="AZ28" s="5" t="s">
        <v>75</v>
      </c>
      <c r="BA28" s="5">
        <v>3.14</v>
      </c>
      <c r="BB28" s="12" t="s">
        <v>76</v>
      </c>
      <c r="BC28" s="5">
        <v>3.62</v>
      </c>
      <c r="BD28" s="5">
        <v>154</v>
      </c>
      <c r="BE28" s="5" t="s">
        <v>76</v>
      </c>
      <c r="BF28" s="5" t="s">
        <v>76</v>
      </c>
      <c r="BG28" s="15">
        <v>36.6</v>
      </c>
      <c r="BH28" s="5">
        <v>78</v>
      </c>
      <c r="BI28" s="5">
        <v>78</v>
      </c>
      <c r="BJ28" s="5">
        <v>18</v>
      </c>
      <c r="BK28" s="5">
        <v>150</v>
      </c>
      <c r="BL28" s="5">
        <v>79</v>
      </c>
      <c r="BM28" s="5">
        <v>45</v>
      </c>
      <c r="BN28" s="5">
        <v>152</v>
      </c>
      <c r="BO28" s="5">
        <f t="shared" si="0"/>
        <v>19.4771468144044</v>
      </c>
      <c r="BP28" s="5" t="s">
        <v>158</v>
      </c>
      <c r="BQ28" s="5" t="s">
        <v>76</v>
      </c>
      <c r="BR28" s="5">
        <v>3186</v>
      </c>
    </row>
    <row r="29" s="1" customFormat="1" spans="1:70">
      <c r="A29" s="1">
        <v>3245076</v>
      </c>
      <c r="B29" s="1" t="s">
        <v>159</v>
      </c>
      <c r="C29" s="1">
        <v>1</v>
      </c>
      <c r="D29" s="4">
        <v>44891</v>
      </c>
      <c r="E29" s="4">
        <v>44902</v>
      </c>
      <c r="F29" s="7">
        <v>12012</v>
      </c>
      <c r="G29" s="1">
        <v>30</v>
      </c>
      <c r="H29" s="1">
        <v>9</v>
      </c>
      <c r="I29" s="1">
        <v>40</v>
      </c>
      <c r="J29" s="1">
        <v>9</v>
      </c>
      <c r="K29" s="1">
        <v>60</v>
      </c>
      <c r="L29" s="1">
        <v>31</v>
      </c>
      <c r="M29" s="1">
        <v>0.65</v>
      </c>
      <c r="O29" s="7">
        <v>12012</v>
      </c>
      <c r="P29" s="4">
        <v>44891</v>
      </c>
      <c r="Q29" s="4">
        <v>44902</v>
      </c>
      <c r="R29" s="1" t="s">
        <v>80</v>
      </c>
      <c r="AO29" s="7">
        <v>12012</v>
      </c>
      <c r="AP29" s="5">
        <v>8.8</v>
      </c>
      <c r="AQ29" s="5">
        <v>136</v>
      </c>
      <c r="AR29" s="5">
        <v>43</v>
      </c>
      <c r="AS29" s="5">
        <v>89.9</v>
      </c>
      <c r="AT29" s="5">
        <v>88</v>
      </c>
      <c r="AU29" s="5">
        <v>8</v>
      </c>
      <c r="AV29" s="5">
        <v>30.3</v>
      </c>
      <c r="AW29" s="5">
        <v>51.43</v>
      </c>
      <c r="AX29" s="5">
        <v>398</v>
      </c>
      <c r="AY29" s="5">
        <v>50.03</v>
      </c>
      <c r="AZ29" s="5" t="s">
        <v>75</v>
      </c>
      <c r="BA29" s="5">
        <v>4.36</v>
      </c>
      <c r="BB29" s="12" t="s">
        <v>76</v>
      </c>
      <c r="BC29" s="5">
        <v>3.19</v>
      </c>
      <c r="BD29" s="5">
        <v>136</v>
      </c>
      <c r="BE29" s="5">
        <v>0.9</v>
      </c>
      <c r="BF29" s="5">
        <v>2.49</v>
      </c>
      <c r="BG29" s="15">
        <v>36.3</v>
      </c>
      <c r="BH29" s="5">
        <v>90</v>
      </c>
      <c r="BI29" s="5">
        <v>100</v>
      </c>
      <c r="BJ29" s="5">
        <v>16</v>
      </c>
      <c r="BK29" s="5">
        <v>158</v>
      </c>
      <c r="BL29" s="5">
        <v>76</v>
      </c>
      <c r="BM29" s="5" t="s">
        <v>77</v>
      </c>
      <c r="BN29" s="5" t="s">
        <v>77</v>
      </c>
      <c r="BO29" s="5" t="e">
        <f t="shared" si="0"/>
        <v>#VALUE!</v>
      </c>
      <c r="BP29" s="5" t="s">
        <v>117</v>
      </c>
      <c r="BQ29" s="5">
        <v>6.8</v>
      </c>
      <c r="BR29" s="5" t="s">
        <v>118</v>
      </c>
    </row>
    <row r="30" s="1" customFormat="1" spans="1:70">
      <c r="A30" s="1">
        <v>3502056</v>
      </c>
      <c r="B30" s="1" t="s">
        <v>160</v>
      </c>
      <c r="D30" s="4">
        <v>45270</v>
      </c>
      <c r="E30" s="4">
        <v>45275</v>
      </c>
      <c r="F30" s="7">
        <v>12043</v>
      </c>
      <c r="G30" s="1">
        <v>47</v>
      </c>
      <c r="H30" s="1">
        <v>10</v>
      </c>
      <c r="I30" s="1">
        <v>57</v>
      </c>
      <c r="J30" s="1">
        <v>10</v>
      </c>
      <c r="K30" s="1">
        <v>52</v>
      </c>
      <c r="L30" s="1">
        <v>27</v>
      </c>
      <c r="N30" s="1">
        <v>6.9</v>
      </c>
      <c r="O30" s="7">
        <v>12043</v>
      </c>
      <c r="P30" s="4">
        <v>45270</v>
      </c>
      <c r="Q30" s="4">
        <v>45275</v>
      </c>
      <c r="R30" s="1" t="s">
        <v>80</v>
      </c>
      <c r="AO30" s="7">
        <v>12043</v>
      </c>
      <c r="AP30" s="5">
        <v>7.9</v>
      </c>
      <c r="AQ30" s="5">
        <v>123</v>
      </c>
      <c r="AR30" s="5">
        <v>38.7</v>
      </c>
      <c r="AS30" s="5">
        <v>2.1</v>
      </c>
      <c r="AT30" s="5">
        <v>11</v>
      </c>
      <c r="AU30" s="5">
        <v>6</v>
      </c>
      <c r="AV30" s="5">
        <v>36.3</v>
      </c>
      <c r="AW30" s="5">
        <v>4.59</v>
      </c>
      <c r="AX30" s="5">
        <v>83</v>
      </c>
      <c r="AY30" s="5">
        <v>80.25</v>
      </c>
      <c r="AZ30" s="5" t="s">
        <v>75</v>
      </c>
      <c r="BA30" s="5">
        <v>3.01</v>
      </c>
      <c r="BB30" s="12" t="s">
        <v>76</v>
      </c>
      <c r="BC30" s="5">
        <v>4.49</v>
      </c>
      <c r="BD30" s="5">
        <v>123</v>
      </c>
      <c r="BE30" s="5">
        <v>0.54</v>
      </c>
      <c r="BF30" s="5">
        <v>1.71</v>
      </c>
      <c r="BG30" s="15">
        <v>36.3</v>
      </c>
      <c r="BH30" s="5">
        <v>78</v>
      </c>
      <c r="BI30" s="5">
        <v>78</v>
      </c>
      <c r="BJ30" s="5">
        <v>16</v>
      </c>
      <c r="BK30" s="5">
        <v>148</v>
      </c>
      <c r="BL30" s="5">
        <v>77</v>
      </c>
      <c r="BM30" s="5">
        <v>85</v>
      </c>
      <c r="BN30" s="5">
        <v>182</v>
      </c>
      <c r="BO30" s="5">
        <f t="shared" si="0"/>
        <v>25.6611520347784</v>
      </c>
      <c r="BP30" s="5" t="s">
        <v>161</v>
      </c>
      <c r="BQ30" s="5">
        <v>6.2</v>
      </c>
      <c r="BR30" s="5">
        <v>3879</v>
      </c>
    </row>
    <row r="31" s="1" customFormat="1" spans="1:70">
      <c r="A31" s="1">
        <v>3261524</v>
      </c>
      <c r="B31" s="1" t="s">
        <v>162</v>
      </c>
      <c r="D31" s="4">
        <v>44930</v>
      </c>
      <c r="E31" s="4">
        <v>44939</v>
      </c>
      <c r="F31" s="7">
        <v>12080</v>
      </c>
      <c r="G31" s="1">
        <v>38</v>
      </c>
      <c r="H31" s="1">
        <v>9</v>
      </c>
      <c r="I31" s="1">
        <v>44</v>
      </c>
      <c r="J31" s="1">
        <v>9</v>
      </c>
      <c r="K31" s="1">
        <v>60</v>
      </c>
      <c r="L31" s="1">
        <v>32</v>
      </c>
      <c r="M31" s="1">
        <v>0.56</v>
      </c>
      <c r="N31" s="1">
        <v>12.2</v>
      </c>
      <c r="O31" s="7">
        <v>12080</v>
      </c>
      <c r="P31" s="4">
        <v>44930</v>
      </c>
      <c r="Q31" s="4">
        <v>44939</v>
      </c>
      <c r="R31" s="1" t="s">
        <v>73</v>
      </c>
      <c r="S31" s="1">
        <v>89</v>
      </c>
      <c r="T31" s="1" t="s">
        <v>163</v>
      </c>
      <c r="AO31" s="7">
        <v>12080</v>
      </c>
      <c r="AP31" s="5">
        <v>6.5</v>
      </c>
      <c r="AQ31" s="5">
        <v>95</v>
      </c>
      <c r="AR31" s="5">
        <v>31.1</v>
      </c>
      <c r="AS31" s="5">
        <v>7.2</v>
      </c>
      <c r="AT31" s="5">
        <v>34</v>
      </c>
      <c r="AU31" s="5">
        <v>32</v>
      </c>
      <c r="AV31" s="5">
        <v>31.5</v>
      </c>
      <c r="AW31" s="5">
        <v>9.6</v>
      </c>
      <c r="AX31" s="5">
        <v>92</v>
      </c>
      <c r="AY31" s="5">
        <v>63.18</v>
      </c>
      <c r="AZ31" s="5" t="s">
        <v>75</v>
      </c>
      <c r="BA31" s="5">
        <v>3.67</v>
      </c>
      <c r="BB31" s="12" t="s">
        <v>76</v>
      </c>
      <c r="BC31" s="5">
        <v>4.19</v>
      </c>
      <c r="BD31" s="5">
        <v>95</v>
      </c>
      <c r="BE31" s="5">
        <v>1.44</v>
      </c>
      <c r="BF31" s="5">
        <v>2.25</v>
      </c>
      <c r="BG31" s="15">
        <v>37.7</v>
      </c>
      <c r="BH31" s="5">
        <v>70</v>
      </c>
      <c r="BI31" s="5">
        <v>70</v>
      </c>
      <c r="BJ31" s="5">
        <v>16</v>
      </c>
      <c r="BK31" s="5">
        <v>131</v>
      </c>
      <c r="BL31" s="5">
        <v>62</v>
      </c>
      <c r="BM31" s="5">
        <v>70</v>
      </c>
      <c r="BN31" s="5">
        <v>150</v>
      </c>
      <c r="BO31" s="5">
        <f t="shared" si="0"/>
        <v>31.1111111111111</v>
      </c>
      <c r="BP31" s="5" t="s">
        <v>164</v>
      </c>
      <c r="BQ31" s="5" t="s">
        <v>76</v>
      </c>
      <c r="BR31" s="5">
        <v>2477</v>
      </c>
    </row>
    <row r="32" s="1" customFormat="1" spans="1:70">
      <c r="A32" s="1">
        <v>3263071</v>
      </c>
      <c r="B32" s="1" t="s">
        <v>165</v>
      </c>
      <c r="D32" s="4">
        <v>44935</v>
      </c>
      <c r="E32" s="4">
        <v>44942</v>
      </c>
      <c r="F32" s="7">
        <v>12121</v>
      </c>
      <c r="G32" s="1">
        <v>43</v>
      </c>
      <c r="H32" s="1">
        <v>10</v>
      </c>
      <c r="I32" s="1">
        <v>50</v>
      </c>
      <c r="J32" s="1">
        <v>8</v>
      </c>
      <c r="K32" s="1">
        <v>42</v>
      </c>
      <c r="L32" s="1">
        <v>21</v>
      </c>
      <c r="M32" s="1">
        <v>1.46</v>
      </c>
      <c r="N32" s="1">
        <v>20</v>
      </c>
      <c r="O32" s="7">
        <v>12121</v>
      </c>
      <c r="P32" s="4">
        <v>44935</v>
      </c>
      <c r="Q32" s="4">
        <v>44942</v>
      </c>
      <c r="R32" s="1" t="s">
        <v>73</v>
      </c>
      <c r="AO32" s="7">
        <v>12121</v>
      </c>
      <c r="AP32" s="5">
        <v>3.8</v>
      </c>
      <c r="AQ32" s="5">
        <v>100</v>
      </c>
      <c r="AR32" s="5">
        <v>31.8</v>
      </c>
      <c r="AS32" s="5">
        <v>8.1</v>
      </c>
      <c r="AT32" s="5">
        <v>28</v>
      </c>
      <c r="AU32" s="5">
        <v>9</v>
      </c>
      <c r="AV32" s="5">
        <v>29.2</v>
      </c>
      <c r="AW32" s="5">
        <v>5.18</v>
      </c>
      <c r="AX32" s="5">
        <v>61</v>
      </c>
      <c r="AY32" s="5">
        <v>85.15</v>
      </c>
      <c r="AZ32" s="5">
        <v>6.52</v>
      </c>
      <c r="BA32" s="5">
        <v>3.57</v>
      </c>
      <c r="BB32" s="12" t="s">
        <v>76</v>
      </c>
      <c r="BC32" s="5">
        <v>3.2</v>
      </c>
      <c r="BD32" s="5">
        <v>100</v>
      </c>
      <c r="BE32" s="5">
        <v>0.86</v>
      </c>
      <c r="BF32" s="5">
        <v>1.89</v>
      </c>
      <c r="BG32" s="15">
        <v>36.6</v>
      </c>
      <c r="BH32" s="5">
        <v>80</v>
      </c>
      <c r="BI32" s="5">
        <v>80</v>
      </c>
      <c r="BJ32" s="5">
        <v>18</v>
      </c>
      <c r="BK32" s="5">
        <v>130</v>
      </c>
      <c r="BL32" s="5">
        <v>78</v>
      </c>
      <c r="BM32" s="5">
        <v>65</v>
      </c>
      <c r="BN32" s="5">
        <v>155</v>
      </c>
      <c r="BO32" s="5">
        <f t="shared" si="0"/>
        <v>27.0551508844953</v>
      </c>
      <c r="BP32" s="5" t="s">
        <v>121</v>
      </c>
      <c r="BQ32" s="5">
        <v>6.7</v>
      </c>
      <c r="BR32" s="5">
        <v>9746</v>
      </c>
    </row>
    <row r="33" s="1" customFormat="1" spans="1:70">
      <c r="A33" s="1">
        <v>3264862</v>
      </c>
      <c r="B33" s="1" t="s">
        <v>166</v>
      </c>
      <c r="D33" s="4">
        <v>44936</v>
      </c>
      <c r="E33" s="4">
        <v>44946</v>
      </c>
      <c r="F33" s="7">
        <v>12149</v>
      </c>
      <c r="G33" s="1">
        <v>42</v>
      </c>
      <c r="H33" s="1">
        <v>10</v>
      </c>
      <c r="I33" s="1">
        <v>54</v>
      </c>
      <c r="J33" s="1">
        <v>10</v>
      </c>
      <c r="K33" s="1">
        <v>56</v>
      </c>
      <c r="L33" s="1">
        <v>29</v>
      </c>
      <c r="M33" s="1">
        <v>0.9</v>
      </c>
      <c r="O33" s="7">
        <v>12149</v>
      </c>
      <c r="P33" s="4">
        <v>44936</v>
      </c>
      <c r="Q33" s="4">
        <v>44946</v>
      </c>
      <c r="R33" s="1" t="s">
        <v>80</v>
      </c>
      <c r="AO33" s="7">
        <v>12149</v>
      </c>
      <c r="AP33" s="5">
        <v>7.7</v>
      </c>
      <c r="AQ33" s="5">
        <v>81</v>
      </c>
      <c r="AR33" s="5" t="s">
        <v>167</v>
      </c>
      <c r="AS33" s="5">
        <v>9.4</v>
      </c>
      <c r="AT33" s="5">
        <v>50</v>
      </c>
      <c r="AU33" s="5">
        <v>93</v>
      </c>
      <c r="AV33" s="5">
        <v>37</v>
      </c>
      <c r="AW33" s="5">
        <v>20.83</v>
      </c>
      <c r="AX33" s="5">
        <v>99</v>
      </c>
      <c r="AY33" s="5">
        <v>69.67</v>
      </c>
      <c r="AZ33" s="5" t="s">
        <v>75</v>
      </c>
      <c r="BA33" s="5">
        <v>1.6</v>
      </c>
      <c r="BB33" s="12" t="s">
        <v>76</v>
      </c>
      <c r="BC33" s="5">
        <v>4.03</v>
      </c>
      <c r="BD33" s="5">
        <v>81</v>
      </c>
      <c r="BE33" s="5">
        <v>0.53</v>
      </c>
      <c r="BF33" s="5">
        <v>1.19</v>
      </c>
      <c r="BG33" s="5" t="s">
        <v>76</v>
      </c>
      <c r="BH33" s="5" t="s">
        <v>76</v>
      </c>
      <c r="BI33" s="5" t="s">
        <v>76</v>
      </c>
      <c r="BJ33" s="5" t="s">
        <v>76</v>
      </c>
      <c r="BK33" s="5" t="s">
        <v>76</v>
      </c>
      <c r="BL33" s="5" t="s">
        <v>76</v>
      </c>
      <c r="BM33" s="5" t="s">
        <v>76</v>
      </c>
      <c r="BN33" s="5" t="s">
        <v>76</v>
      </c>
      <c r="BO33" s="5" t="e">
        <f t="shared" si="0"/>
        <v>#VALUE!</v>
      </c>
      <c r="BP33" s="5" t="s">
        <v>168</v>
      </c>
      <c r="BQ33" s="5" t="s">
        <v>76</v>
      </c>
      <c r="BR33" s="5" t="s">
        <v>118</v>
      </c>
    </row>
    <row r="34" s="1" customFormat="1" spans="1:70">
      <c r="A34" s="1">
        <v>3283414</v>
      </c>
      <c r="B34" s="1" t="s">
        <v>169</v>
      </c>
      <c r="D34" s="4">
        <v>44967</v>
      </c>
      <c r="E34" s="4">
        <v>44982</v>
      </c>
      <c r="F34" s="7">
        <v>12160</v>
      </c>
      <c r="G34" s="1">
        <v>40</v>
      </c>
      <c r="H34" s="1">
        <v>8</v>
      </c>
      <c r="I34" s="1">
        <v>42</v>
      </c>
      <c r="J34" s="1">
        <v>8</v>
      </c>
      <c r="K34" s="1">
        <v>65</v>
      </c>
      <c r="L34" s="1">
        <v>35</v>
      </c>
      <c r="M34" s="1">
        <v>0.52</v>
      </c>
      <c r="N34" s="1">
        <v>10.7</v>
      </c>
      <c r="O34" s="7">
        <v>12160</v>
      </c>
      <c r="P34" s="4">
        <v>44967</v>
      </c>
      <c r="Q34" s="4">
        <v>44982</v>
      </c>
      <c r="R34" s="1" t="s">
        <v>80</v>
      </c>
      <c r="AO34" s="7">
        <v>12160</v>
      </c>
      <c r="AP34" s="5">
        <v>9.8</v>
      </c>
      <c r="AQ34" s="5">
        <v>96</v>
      </c>
      <c r="AR34" s="5" t="s">
        <v>170</v>
      </c>
      <c r="AS34" s="5">
        <v>96.5</v>
      </c>
      <c r="AT34" s="5">
        <v>8</v>
      </c>
      <c r="AU34" s="5" t="s">
        <v>171</v>
      </c>
      <c r="AV34" s="5">
        <v>36.3</v>
      </c>
      <c r="AW34" s="5">
        <v>9.31</v>
      </c>
      <c r="AX34" s="5">
        <v>92</v>
      </c>
      <c r="AY34" s="5">
        <v>99.54</v>
      </c>
      <c r="AZ34" s="5" t="s">
        <v>172</v>
      </c>
      <c r="BA34" s="5">
        <v>2.38</v>
      </c>
      <c r="BB34" s="12" t="s">
        <v>76</v>
      </c>
      <c r="BC34" s="5">
        <v>5.68</v>
      </c>
      <c r="BD34" s="5">
        <v>96</v>
      </c>
      <c r="BE34" s="5">
        <v>0.53</v>
      </c>
      <c r="BF34" s="5">
        <v>1.12</v>
      </c>
      <c r="BG34" s="15">
        <v>36.3</v>
      </c>
      <c r="BH34" s="5" t="s">
        <v>173</v>
      </c>
      <c r="BI34" s="5">
        <v>84</v>
      </c>
      <c r="BJ34" s="5">
        <v>16</v>
      </c>
      <c r="BK34" s="5">
        <v>151</v>
      </c>
      <c r="BL34" s="5">
        <v>73</v>
      </c>
      <c r="BM34" s="5">
        <v>65</v>
      </c>
      <c r="BN34" s="5">
        <v>172</v>
      </c>
      <c r="BO34" s="5">
        <f t="shared" si="0"/>
        <v>21.9713358572201</v>
      </c>
      <c r="BP34" s="5" t="s">
        <v>174</v>
      </c>
      <c r="BQ34" s="5">
        <v>6.4</v>
      </c>
      <c r="BR34" s="5">
        <v>9677</v>
      </c>
    </row>
    <row r="35" s="1" customFormat="1" spans="1:70">
      <c r="A35" s="1">
        <v>3491938</v>
      </c>
      <c r="B35" s="1" t="s">
        <v>175</v>
      </c>
      <c r="C35" s="1">
        <v>1</v>
      </c>
      <c r="D35" s="4">
        <v>45256</v>
      </c>
      <c r="E35" s="4">
        <v>45288</v>
      </c>
      <c r="F35" s="7">
        <v>12178</v>
      </c>
      <c r="G35" s="1">
        <v>36</v>
      </c>
      <c r="H35" s="1">
        <v>9</v>
      </c>
      <c r="I35" s="1">
        <v>43</v>
      </c>
      <c r="J35" s="1">
        <v>9</v>
      </c>
      <c r="K35" s="1">
        <v>58</v>
      </c>
      <c r="L35" s="1">
        <v>30</v>
      </c>
      <c r="O35" s="7">
        <v>12178</v>
      </c>
      <c r="P35" s="4">
        <v>45256</v>
      </c>
      <c r="Q35" s="4">
        <v>45288</v>
      </c>
      <c r="R35" s="1" t="s">
        <v>73</v>
      </c>
      <c r="AO35" s="7">
        <v>12178</v>
      </c>
      <c r="AP35" s="5">
        <v>8.6</v>
      </c>
      <c r="AQ35" s="5">
        <v>97</v>
      </c>
      <c r="AR35" s="5">
        <v>34.8</v>
      </c>
      <c r="AS35" s="5">
        <v>3.3</v>
      </c>
      <c r="AT35" s="5">
        <v>21</v>
      </c>
      <c r="AU35" s="5" t="s">
        <v>171</v>
      </c>
      <c r="AV35" s="5">
        <v>32.5</v>
      </c>
      <c r="AW35" s="5">
        <v>9.38</v>
      </c>
      <c r="AX35" s="5">
        <v>96</v>
      </c>
      <c r="AY35" s="5" t="s">
        <v>125</v>
      </c>
      <c r="AZ35" s="5" t="s">
        <v>75</v>
      </c>
      <c r="BA35" s="5" t="s">
        <v>76</v>
      </c>
      <c r="BB35" s="12" t="s">
        <v>76</v>
      </c>
      <c r="BC35" s="5">
        <v>4.69</v>
      </c>
      <c r="BD35" s="5">
        <v>97</v>
      </c>
      <c r="BE35" s="5" t="s">
        <v>76</v>
      </c>
      <c r="BF35" s="5" t="s">
        <v>76</v>
      </c>
      <c r="BG35" s="5" t="s">
        <v>76</v>
      </c>
      <c r="BH35" s="5" t="s">
        <v>76</v>
      </c>
      <c r="BI35" s="5" t="s">
        <v>76</v>
      </c>
      <c r="BJ35" s="5" t="s">
        <v>76</v>
      </c>
      <c r="BK35" s="5" t="s">
        <v>76</v>
      </c>
      <c r="BL35" s="5" t="s">
        <v>76</v>
      </c>
      <c r="BM35" s="5" t="s">
        <v>76</v>
      </c>
      <c r="BN35" s="5" t="s">
        <v>76</v>
      </c>
      <c r="BO35" s="5" t="e">
        <f t="shared" si="0"/>
        <v>#VALUE!</v>
      </c>
      <c r="BP35" s="5" t="s">
        <v>164</v>
      </c>
      <c r="BQ35" s="5" t="s">
        <v>76</v>
      </c>
      <c r="BR35" s="5" t="s">
        <v>176</v>
      </c>
    </row>
    <row r="36" s="1" customFormat="1" spans="1:70">
      <c r="A36" s="1" t="s">
        <v>177</v>
      </c>
      <c r="B36" s="1" t="s">
        <v>178</v>
      </c>
      <c r="D36" s="4">
        <v>44960</v>
      </c>
      <c r="E36" s="4">
        <v>44967</v>
      </c>
      <c r="F36" s="7">
        <v>12187</v>
      </c>
      <c r="G36" s="1">
        <v>43</v>
      </c>
      <c r="H36" s="1">
        <v>9</v>
      </c>
      <c r="I36" s="1">
        <v>43</v>
      </c>
      <c r="J36" s="1">
        <v>9</v>
      </c>
      <c r="K36" s="1">
        <v>64</v>
      </c>
      <c r="L36" s="1">
        <v>35</v>
      </c>
      <c r="N36" s="1">
        <v>18.3</v>
      </c>
      <c r="O36" s="7">
        <v>12187</v>
      </c>
      <c r="P36" s="4">
        <v>44960</v>
      </c>
      <c r="Q36" s="4">
        <v>44967</v>
      </c>
      <c r="R36" s="1" t="s">
        <v>73</v>
      </c>
      <c r="AO36" s="7">
        <v>12187</v>
      </c>
      <c r="AP36" s="5" t="s">
        <v>179</v>
      </c>
      <c r="AQ36" s="5" t="s">
        <v>180</v>
      </c>
      <c r="AR36" s="5" t="s">
        <v>181</v>
      </c>
      <c r="AS36" s="5" t="s">
        <v>76</v>
      </c>
      <c r="AT36" s="5" t="s">
        <v>182</v>
      </c>
      <c r="AU36" s="5" t="s">
        <v>183</v>
      </c>
      <c r="AV36" s="5" t="s">
        <v>184</v>
      </c>
      <c r="AW36" s="5" t="s">
        <v>185</v>
      </c>
      <c r="AX36" s="5" t="s">
        <v>186</v>
      </c>
      <c r="AY36" s="5" t="s">
        <v>187</v>
      </c>
      <c r="AZ36" s="5" t="s">
        <v>75</v>
      </c>
      <c r="BA36" s="5" t="s">
        <v>188</v>
      </c>
      <c r="BB36" s="12" t="s">
        <v>76</v>
      </c>
      <c r="BC36" s="5" t="s">
        <v>189</v>
      </c>
      <c r="BD36" s="5" t="s">
        <v>180</v>
      </c>
      <c r="BE36" s="5" t="s">
        <v>190</v>
      </c>
      <c r="BF36" s="5" t="s">
        <v>191</v>
      </c>
      <c r="BG36" s="15">
        <v>36.5</v>
      </c>
      <c r="BH36" s="5" t="s">
        <v>192</v>
      </c>
      <c r="BI36" s="5" t="s">
        <v>76</v>
      </c>
      <c r="BJ36" s="5" t="s">
        <v>193</v>
      </c>
      <c r="BK36" s="5" t="s">
        <v>194</v>
      </c>
      <c r="BL36" s="5" t="s">
        <v>129</v>
      </c>
      <c r="BM36" s="5" t="s">
        <v>195</v>
      </c>
      <c r="BN36" s="5">
        <v>155</v>
      </c>
      <c r="BO36" s="5">
        <f t="shared" si="0"/>
        <v>20.8116545265349</v>
      </c>
      <c r="BP36" s="5" t="s">
        <v>196</v>
      </c>
      <c r="BQ36" s="5" t="s">
        <v>76</v>
      </c>
      <c r="BR36" s="5">
        <v>5654</v>
      </c>
    </row>
    <row r="37" s="1" customFormat="1" spans="1:70">
      <c r="A37" s="1">
        <v>3266432</v>
      </c>
      <c r="B37" s="1" t="s">
        <v>197</v>
      </c>
      <c r="D37" s="4">
        <v>44939</v>
      </c>
      <c r="E37" s="4">
        <v>44946</v>
      </c>
      <c r="F37" s="7">
        <v>12217</v>
      </c>
      <c r="G37" s="1">
        <v>38</v>
      </c>
      <c r="H37" s="1">
        <v>10</v>
      </c>
      <c r="I37" s="1">
        <v>43</v>
      </c>
      <c r="J37" s="1">
        <v>10</v>
      </c>
      <c r="K37" s="1">
        <v>63</v>
      </c>
      <c r="L37" s="1">
        <v>34</v>
      </c>
      <c r="M37" s="1">
        <v>0.77</v>
      </c>
      <c r="N37" s="1">
        <v>17.6</v>
      </c>
      <c r="O37" s="7">
        <v>12217</v>
      </c>
      <c r="P37" s="4">
        <v>44939</v>
      </c>
      <c r="Q37" s="4">
        <v>44946</v>
      </c>
      <c r="R37" s="1" t="s">
        <v>73</v>
      </c>
      <c r="AO37" s="7">
        <v>12217</v>
      </c>
      <c r="AP37" s="5">
        <v>9.3</v>
      </c>
      <c r="AQ37" s="5">
        <v>111</v>
      </c>
      <c r="AR37" s="5">
        <v>34.5</v>
      </c>
      <c r="AS37" s="5">
        <v>16.8</v>
      </c>
      <c r="AT37" s="5">
        <v>40</v>
      </c>
      <c r="AU37" s="5">
        <v>13</v>
      </c>
      <c r="AV37" s="5">
        <v>37.9</v>
      </c>
      <c r="AW37" s="5">
        <v>27.77</v>
      </c>
      <c r="AX37" s="5">
        <v>298</v>
      </c>
      <c r="AY37" s="5">
        <v>26.27</v>
      </c>
      <c r="AZ37" s="5" t="s">
        <v>198</v>
      </c>
      <c r="BA37" s="5" t="s">
        <v>76</v>
      </c>
      <c r="BB37" s="12" t="s">
        <v>76</v>
      </c>
      <c r="BC37" s="5">
        <v>4.37</v>
      </c>
      <c r="BD37" s="5">
        <v>111</v>
      </c>
      <c r="BE37" s="5" t="s">
        <v>76</v>
      </c>
      <c r="BF37" s="5" t="s">
        <v>76</v>
      </c>
      <c r="BG37" s="15">
        <v>36.6</v>
      </c>
      <c r="BH37" s="5" t="s">
        <v>76</v>
      </c>
      <c r="BI37" s="5">
        <v>45</v>
      </c>
      <c r="BJ37" s="5">
        <v>17</v>
      </c>
      <c r="BK37" s="5">
        <v>230</v>
      </c>
      <c r="BL37" s="5">
        <v>63</v>
      </c>
      <c r="BM37" s="5">
        <v>45</v>
      </c>
      <c r="BN37" s="5">
        <v>155</v>
      </c>
      <c r="BO37" s="5">
        <f t="shared" si="0"/>
        <v>18.7304890738814</v>
      </c>
      <c r="BP37" s="5" t="s">
        <v>158</v>
      </c>
      <c r="BQ37" s="5" t="s">
        <v>76</v>
      </c>
      <c r="BR37" s="5" t="s">
        <v>118</v>
      </c>
    </row>
    <row r="38" s="1" customFormat="1" spans="1:70">
      <c r="A38" s="1" t="s">
        <v>199</v>
      </c>
      <c r="B38" s="1" t="s">
        <v>200</v>
      </c>
      <c r="D38" s="4">
        <v>44936</v>
      </c>
      <c r="E38" s="4">
        <v>44954</v>
      </c>
      <c r="F38" s="7">
        <v>12263</v>
      </c>
      <c r="G38" s="1">
        <v>42</v>
      </c>
      <c r="H38" s="1">
        <v>9</v>
      </c>
      <c r="I38" s="1">
        <v>52</v>
      </c>
      <c r="J38" s="1">
        <v>9</v>
      </c>
      <c r="K38" s="1">
        <v>57</v>
      </c>
      <c r="L38" s="1">
        <v>30</v>
      </c>
      <c r="M38" s="1">
        <v>0.54</v>
      </c>
      <c r="N38" s="1">
        <v>15.8</v>
      </c>
      <c r="O38" s="7">
        <v>12263</v>
      </c>
      <c r="P38" s="4">
        <v>44936</v>
      </c>
      <c r="Q38" s="4">
        <v>44954</v>
      </c>
      <c r="R38" s="1" t="s">
        <v>73</v>
      </c>
      <c r="AO38" s="7">
        <v>12263</v>
      </c>
      <c r="AP38" s="5" t="s">
        <v>179</v>
      </c>
      <c r="AQ38" s="5" t="s">
        <v>201</v>
      </c>
      <c r="AR38" s="5" t="s">
        <v>202</v>
      </c>
      <c r="AS38" s="5" t="s">
        <v>203</v>
      </c>
      <c r="AT38" s="5" t="s">
        <v>204</v>
      </c>
      <c r="AU38" s="5" t="s">
        <v>205</v>
      </c>
      <c r="AV38" s="5" t="s">
        <v>184</v>
      </c>
      <c r="AW38" s="5" t="s">
        <v>206</v>
      </c>
      <c r="AX38" s="5" t="s">
        <v>207</v>
      </c>
      <c r="AY38" s="5" t="s">
        <v>208</v>
      </c>
      <c r="AZ38" s="5" t="s">
        <v>209</v>
      </c>
      <c r="BA38" s="5" t="s">
        <v>210</v>
      </c>
      <c r="BB38" s="12" t="s">
        <v>76</v>
      </c>
      <c r="BC38" s="5" t="s">
        <v>211</v>
      </c>
      <c r="BD38" s="5" t="s">
        <v>201</v>
      </c>
      <c r="BE38" s="5" t="s">
        <v>76</v>
      </c>
      <c r="BF38" s="5" t="s">
        <v>76</v>
      </c>
      <c r="BG38" s="15">
        <v>36.5</v>
      </c>
      <c r="BH38" s="5" t="s">
        <v>212</v>
      </c>
      <c r="BI38" s="5" t="s">
        <v>212</v>
      </c>
      <c r="BJ38" s="5" t="s">
        <v>101</v>
      </c>
      <c r="BK38" s="5" t="s">
        <v>213</v>
      </c>
      <c r="BL38" s="5" t="s">
        <v>214</v>
      </c>
      <c r="BM38" s="5" t="s">
        <v>215</v>
      </c>
      <c r="BN38" s="5">
        <v>154</v>
      </c>
      <c r="BO38" s="5">
        <f t="shared" si="0"/>
        <v>25.2993759487266</v>
      </c>
      <c r="BP38" s="5" t="s">
        <v>216</v>
      </c>
      <c r="BQ38" s="5" t="s">
        <v>76</v>
      </c>
      <c r="BR38" s="5">
        <v>8860</v>
      </c>
    </row>
    <row r="39" s="1" customFormat="1" spans="1:70">
      <c r="A39" s="1">
        <v>3257950</v>
      </c>
      <c r="B39" s="1" t="s">
        <v>217</v>
      </c>
      <c r="D39" s="4">
        <v>44924</v>
      </c>
      <c r="E39" s="4">
        <v>44937</v>
      </c>
      <c r="F39" s="7">
        <v>12271</v>
      </c>
      <c r="G39" s="1">
        <v>45</v>
      </c>
      <c r="H39" s="1">
        <v>10</v>
      </c>
      <c r="I39" s="1">
        <v>50</v>
      </c>
      <c r="J39" s="1">
        <v>10</v>
      </c>
      <c r="K39" s="1">
        <v>56</v>
      </c>
      <c r="L39" s="1">
        <v>29</v>
      </c>
      <c r="M39" s="1">
        <v>2.66</v>
      </c>
      <c r="N39" s="1">
        <v>17.7</v>
      </c>
      <c r="O39" s="7">
        <v>12271</v>
      </c>
      <c r="P39" s="4">
        <v>44924</v>
      </c>
      <c r="Q39" s="4">
        <v>44937</v>
      </c>
      <c r="R39" s="1" t="s">
        <v>73</v>
      </c>
      <c r="S39" s="1">
        <v>89</v>
      </c>
      <c r="T39" s="1" t="s">
        <v>218</v>
      </c>
      <c r="V39" s="1">
        <v>1</v>
      </c>
      <c r="Y39" s="1">
        <v>1</v>
      </c>
      <c r="Z39" s="1">
        <v>1</v>
      </c>
      <c r="AC39" s="1">
        <v>1</v>
      </c>
      <c r="AH39" s="1">
        <v>1</v>
      </c>
      <c r="AM39" s="1">
        <v>1</v>
      </c>
      <c r="AO39" s="7">
        <v>12271</v>
      </c>
      <c r="AP39" s="5">
        <v>9.9</v>
      </c>
      <c r="AQ39" s="5">
        <v>155</v>
      </c>
      <c r="AR39" s="5">
        <v>47.9</v>
      </c>
      <c r="AS39" s="5">
        <v>4.4</v>
      </c>
      <c r="AT39" s="5">
        <v>22</v>
      </c>
      <c r="AU39" s="5">
        <v>27</v>
      </c>
      <c r="AV39" s="5">
        <v>41.7</v>
      </c>
      <c r="AW39" s="5">
        <v>9.11</v>
      </c>
      <c r="AX39" s="5">
        <v>78</v>
      </c>
      <c r="AY39" s="5" t="s">
        <v>125</v>
      </c>
      <c r="AZ39" s="5">
        <v>15.1</v>
      </c>
      <c r="BA39" s="5">
        <v>4.1</v>
      </c>
      <c r="BB39" s="12" t="s">
        <v>76</v>
      </c>
      <c r="BC39" s="5">
        <v>5.17</v>
      </c>
      <c r="BD39" s="5">
        <v>155</v>
      </c>
      <c r="BE39" s="5">
        <v>1.06</v>
      </c>
      <c r="BF39" s="5">
        <v>2.35</v>
      </c>
      <c r="BG39" s="15">
        <v>36.5</v>
      </c>
      <c r="BH39" s="5">
        <v>76</v>
      </c>
      <c r="BI39" s="5">
        <v>80</v>
      </c>
      <c r="BJ39" s="5">
        <v>18</v>
      </c>
      <c r="BK39" s="5">
        <v>128</v>
      </c>
      <c r="BL39" s="5">
        <v>86</v>
      </c>
      <c r="BM39" s="5">
        <v>65</v>
      </c>
      <c r="BN39" s="5">
        <v>165</v>
      </c>
      <c r="BO39" s="5">
        <f t="shared" si="0"/>
        <v>23.8751147842057</v>
      </c>
      <c r="BP39" s="5" t="s">
        <v>107</v>
      </c>
      <c r="BQ39" s="5" t="s">
        <v>76</v>
      </c>
      <c r="BR39" s="5">
        <v>4159</v>
      </c>
    </row>
    <row r="40" s="1" customFormat="1" spans="1:70">
      <c r="A40" s="1" t="s">
        <v>219</v>
      </c>
      <c r="B40" s="1" t="s">
        <v>220</v>
      </c>
      <c r="D40" s="4">
        <v>44917</v>
      </c>
      <c r="E40" s="4">
        <v>44935</v>
      </c>
      <c r="F40" s="7">
        <v>12273</v>
      </c>
      <c r="G40" s="1">
        <v>42</v>
      </c>
      <c r="H40" s="1">
        <v>8</v>
      </c>
      <c r="I40" s="1">
        <v>40</v>
      </c>
      <c r="J40" s="1">
        <v>8</v>
      </c>
      <c r="K40" s="1">
        <v>68</v>
      </c>
      <c r="L40" s="1">
        <v>38</v>
      </c>
      <c r="N40" s="1">
        <v>14.1</v>
      </c>
      <c r="O40" s="7">
        <v>12273</v>
      </c>
      <c r="P40" s="4">
        <v>44917</v>
      </c>
      <c r="Q40" s="4">
        <v>44935</v>
      </c>
      <c r="R40" s="1" t="s">
        <v>73</v>
      </c>
      <c r="AO40" s="7">
        <v>12273</v>
      </c>
      <c r="AP40" s="5" t="s">
        <v>221</v>
      </c>
      <c r="AQ40" s="5" t="s">
        <v>222</v>
      </c>
      <c r="AR40" s="5" t="s">
        <v>223</v>
      </c>
      <c r="AS40" s="5" t="s">
        <v>76</v>
      </c>
      <c r="AT40" s="5" t="s">
        <v>224</v>
      </c>
      <c r="AU40" s="5" t="s">
        <v>225</v>
      </c>
      <c r="AV40" s="5" t="s">
        <v>226</v>
      </c>
      <c r="AW40" s="5" t="s">
        <v>227</v>
      </c>
      <c r="AX40" s="5" t="s">
        <v>228</v>
      </c>
      <c r="AY40" s="5" t="s">
        <v>229</v>
      </c>
      <c r="AZ40" s="5" t="s">
        <v>230</v>
      </c>
      <c r="BA40" s="5" t="s">
        <v>76</v>
      </c>
      <c r="BB40" s="12" t="s">
        <v>76</v>
      </c>
      <c r="BC40" s="5" t="s">
        <v>231</v>
      </c>
      <c r="BD40" s="5" t="s">
        <v>222</v>
      </c>
      <c r="BE40" s="5" t="s">
        <v>76</v>
      </c>
      <c r="BF40" s="5" t="s">
        <v>76</v>
      </c>
      <c r="BG40" s="15">
        <v>36.2</v>
      </c>
      <c r="BH40" s="5" t="s">
        <v>232</v>
      </c>
      <c r="BI40" s="5" t="s">
        <v>232</v>
      </c>
      <c r="BJ40" s="5" t="s">
        <v>101</v>
      </c>
      <c r="BK40" s="5" t="s">
        <v>180</v>
      </c>
      <c r="BL40" s="5" t="s">
        <v>233</v>
      </c>
      <c r="BM40" s="5" t="s">
        <v>195</v>
      </c>
      <c r="BN40" s="5">
        <v>158</v>
      </c>
      <c r="BO40" s="5">
        <f t="shared" si="0"/>
        <v>20.0288415318058</v>
      </c>
      <c r="BP40" s="5" t="s">
        <v>234</v>
      </c>
      <c r="BQ40" s="5" t="s">
        <v>76</v>
      </c>
      <c r="BR40" s="5">
        <v>5154</v>
      </c>
    </row>
    <row r="41" s="1" customFormat="1" spans="1:70">
      <c r="A41" s="1" t="s">
        <v>235</v>
      </c>
      <c r="B41" s="1" t="s">
        <v>236</v>
      </c>
      <c r="D41" s="4">
        <v>44951</v>
      </c>
      <c r="E41" s="4">
        <v>44956</v>
      </c>
      <c r="F41" s="7">
        <v>12276</v>
      </c>
      <c r="G41" s="1">
        <v>28</v>
      </c>
      <c r="H41" s="1">
        <v>9</v>
      </c>
      <c r="I41" s="1">
        <v>49</v>
      </c>
      <c r="J41" s="1">
        <v>9</v>
      </c>
      <c r="K41" s="1">
        <v>40</v>
      </c>
      <c r="M41" s="1">
        <v>0.56</v>
      </c>
      <c r="N41" s="1">
        <v>12.8</v>
      </c>
      <c r="O41" s="7">
        <v>12276</v>
      </c>
      <c r="P41" s="4">
        <v>44951</v>
      </c>
      <c r="Q41" s="4">
        <v>44956</v>
      </c>
      <c r="R41" s="1" t="s">
        <v>73</v>
      </c>
      <c r="AO41" s="7">
        <v>12276</v>
      </c>
      <c r="AP41" s="5" t="s">
        <v>237</v>
      </c>
      <c r="AQ41" s="5" t="s">
        <v>238</v>
      </c>
      <c r="AR41" s="5" t="s">
        <v>239</v>
      </c>
      <c r="AS41" s="5" t="s">
        <v>81</v>
      </c>
      <c r="AT41" s="5" t="s">
        <v>183</v>
      </c>
      <c r="AU41" s="5" t="s">
        <v>240</v>
      </c>
      <c r="AV41" s="5" t="s">
        <v>241</v>
      </c>
      <c r="AW41" s="5" t="s">
        <v>242</v>
      </c>
      <c r="AX41" s="5" t="s">
        <v>243</v>
      </c>
      <c r="AY41" s="5" t="s">
        <v>76</v>
      </c>
      <c r="AZ41" s="5" t="s">
        <v>76</v>
      </c>
      <c r="BA41" s="5" t="s">
        <v>76</v>
      </c>
      <c r="BB41" s="12" t="s">
        <v>76</v>
      </c>
      <c r="BC41" s="5" t="s">
        <v>244</v>
      </c>
      <c r="BD41" s="5" t="s">
        <v>238</v>
      </c>
      <c r="BE41" s="5" t="s">
        <v>76</v>
      </c>
      <c r="BF41" s="5" t="s">
        <v>76</v>
      </c>
      <c r="BG41" s="15">
        <v>36</v>
      </c>
      <c r="BH41" s="5" t="s">
        <v>76</v>
      </c>
      <c r="BI41" s="5" t="s">
        <v>245</v>
      </c>
      <c r="BJ41" s="5" t="s">
        <v>246</v>
      </c>
      <c r="BK41" s="5" t="s">
        <v>247</v>
      </c>
      <c r="BL41" s="5" t="s">
        <v>228</v>
      </c>
      <c r="BM41" s="5" t="s">
        <v>248</v>
      </c>
      <c r="BN41" s="5">
        <v>155</v>
      </c>
      <c r="BO41" s="5">
        <f t="shared" si="0"/>
        <v>22.0603537981269</v>
      </c>
      <c r="BP41" s="5" t="s">
        <v>249</v>
      </c>
      <c r="BQ41" s="5" t="s">
        <v>76</v>
      </c>
      <c r="BR41" s="5">
        <v>3524</v>
      </c>
    </row>
    <row r="42" s="1" customFormat="1" spans="1:70">
      <c r="A42" s="1">
        <v>3260841</v>
      </c>
      <c r="B42" s="1" t="s">
        <v>250</v>
      </c>
      <c r="D42" s="4">
        <v>44929</v>
      </c>
      <c r="E42" s="4">
        <v>44943</v>
      </c>
      <c r="F42" s="7">
        <v>12278</v>
      </c>
      <c r="G42" s="1">
        <v>39</v>
      </c>
      <c r="H42" s="1">
        <v>8</v>
      </c>
      <c r="I42" s="1">
        <v>51</v>
      </c>
      <c r="J42" s="1">
        <v>8</v>
      </c>
      <c r="K42" s="1">
        <v>69</v>
      </c>
      <c r="L42" s="1">
        <v>39</v>
      </c>
      <c r="M42" s="1">
        <v>0.56</v>
      </c>
      <c r="N42" s="1">
        <v>8.2</v>
      </c>
      <c r="O42" s="7">
        <v>12278</v>
      </c>
      <c r="P42" s="4">
        <v>44929</v>
      </c>
      <c r="Q42" s="4">
        <v>44943</v>
      </c>
      <c r="R42" s="1" t="s">
        <v>80</v>
      </c>
      <c r="AO42" s="7">
        <v>12278</v>
      </c>
      <c r="AP42" s="5">
        <v>5.8</v>
      </c>
      <c r="AQ42" s="5">
        <v>128</v>
      </c>
      <c r="AR42" s="5">
        <v>38.9</v>
      </c>
      <c r="AS42" s="5">
        <v>67.7</v>
      </c>
      <c r="AT42" s="5">
        <v>26</v>
      </c>
      <c r="AU42" s="5">
        <v>21</v>
      </c>
      <c r="AV42" s="5">
        <v>31.1</v>
      </c>
      <c r="AW42" s="5">
        <v>5.1</v>
      </c>
      <c r="AX42" s="5">
        <v>59</v>
      </c>
      <c r="AY42" s="5" t="s">
        <v>125</v>
      </c>
      <c r="AZ42" s="5" t="s">
        <v>75</v>
      </c>
      <c r="BA42" s="5" t="s">
        <v>76</v>
      </c>
      <c r="BB42" s="12" t="s">
        <v>76</v>
      </c>
      <c r="BC42" s="5">
        <v>4.32</v>
      </c>
      <c r="BD42" s="5">
        <v>128</v>
      </c>
      <c r="BE42" s="5" t="s">
        <v>76</v>
      </c>
      <c r="BF42" s="5" t="s">
        <v>76</v>
      </c>
      <c r="BG42" s="15">
        <v>36.6</v>
      </c>
      <c r="BH42" s="5">
        <v>90</v>
      </c>
      <c r="BI42" s="5" t="s">
        <v>76</v>
      </c>
      <c r="BJ42" s="5">
        <v>13</v>
      </c>
      <c r="BK42" s="5">
        <v>127</v>
      </c>
      <c r="BL42" s="5">
        <v>87</v>
      </c>
      <c r="BM42" s="5">
        <v>80</v>
      </c>
      <c r="BN42" s="5">
        <v>170</v>
      </c>
      <c r="BO42" s="5">
        <f t="shared" si="0"/>
        <v>27.681660899654</v>
      </c>
      <c r="BP42" s="5" t="s">
        <v>149</v>
      </c>
      <c r="BQ42" s="5" t="s">
        <v>76</v>
      </c>
      <c r="BR42" s="5">
        <v>3303</v>
      </c>
    </row>
    <row r="43" s="1" customFormat="1" spans="1:70">
      <c r="A43" s="1">
        <v>3255599</v>
      </c>
      <c r="B43" s="1" t="s">
        <v>251</v>
      </c>
      <c r="D43" s="4">
        <v>44920</v>
      </c>
      <c r="E43" s="4">
        <v>44938</v>
      </c>
      <c r="F43" s="7">
        <v>12279</v>
      </c>
      <c r="G43" s="1">
        <v>46</v>
      </c>
      <c r="H43" s="1">
        <v>10</v>
      </c>
      <c r="I43" s="1">
        <v>50</v>
      </c>
      <c r="J43" s="1">
        <v>10</v>
      </c>
      <c r="K43" s="1">
        <v>48</v>
      </c>
      <c r="L43" s="1">
        <v>24</v>
      </c>
      <c r="M43" s="9">
        <v>2.1</v>
      </c>
      <c r="N43" s="1">
        <v>19.1</v>
      </c>
      <c r="O43" s="7">
        <v>12279</v>
      </c>
      <c r="P43" s="4">
        <v>44920</v>
      </c>
      <c r="Q43" s="4">
        <v>44938</v>
      </c>
      <c r="R43" s="1" t="s">
        <v>73</v>
      </c>
      <c r="AO43" s="7">
        <v>12279</v>
      </c>
      <c r="AP43" s="5">
        <v>7</v>
      </c>
      <c r="AQ43" s="5">
        <v>89</v>
      </c>
      <c r="AR43" s="5">
        <v>34.9</v>
      </c>
      <c r="AS43" s="5">
        <v>72.6</v>
      </c>
      <c r="AT43" s="5">
        <v>24</v>
      </c>
      <c r="AU43" s="5">
        <v>7</v>
      </c>
      <c r="AV43" s="5">
        <v>42.1</v>
      </c>
      <c r="AW43" s="5">
        <v>8.82</v>
      </c>
      <c r="AX43" s="5">
        <v>93</v>
      </c>
      <c r="AY43" s="5">
        <v>52.34</v>
      </c>
      <c r="AZ43" s="5" t="s">
        <v>75</v>
      </c>
      <c r="BA43" s="5">
        <v>2.33</v>
      </c>
      <c r="BB43" s="12" t="s">
        <v>76</v>
      </c>
      <c r="BC43" s="5">
        <v>5.3</v>
      </c>
      <c r="BD43" s="5">
        <v>89</v>
      </c>
      <c r="BE43" s="5">
        <v>0.9</v>
      </c>
      <c r="BF43" s="5">
        <v>0.95</v>
      </c>
      <c r="BG43" s="15">
        <v>36.8</v>
      </c>
      <c r="BH43" s="5" t="s">
        <v>76</v>
      </c>
      <c r="BI43" s="5">
        <v>66</v>
      </c>
      <c r="BJ43" s="5">
        <v>21</v>
      </c>
      <c r="BK43" s="5">
        <v>147</v>
      </c>
      <c r="BL43" s="5">
        <v>79</v>
      </c>
      <c r="BM43" s="5" t="s">
        <v>77</v>
      </c>
      <c r="BN43" s="5" t="s">
        <v>77</v>
      </c>
      <c r="BO43" s="5" t="e">
        <f t="shared" si="0"/>
        <v>#VALUE!</v>
      </c>
      <c r="BP43" s="5" t="s">
        <v>83</v>
      </c>
      <c r="BQ43" s="5">
        <v>5.5</v>
      </c>
      <c r="BR43" s="5">
        <v>7184</v>
      </c>
    </row>
    <row r="44" s="1" customFormat="1" spans="1:70">
      <c r="A44" s="1">
        <v>3256142</v>
      </c>
      <c r="B44" s="1" t="s">
        <v>252</v>
      </c>
      <c r="D44" s="4">
        <v>44921</v>
      </c>
      <c r="E44" s="4">
        <v>44935</v>
      </c>
      <c r="F44" s="7">
        <v>12303</v>
      </c>
      <c r="G44" s="1">
        <v>31</v>
      </c>
      <c r="H44" s="1">
        <v>9</v>
      </c>
      <c r="I44" s="1">
        <v>42</v>
      </c>
      <c r="J44" s="1">
        <v>9</v>
      </c>
      <c r="K44" s="1">
        <v>61</v>
      </c>
      <c r="L44" s="1">
        <v>33</v>
      </c>
      <c r="M44" s="1">
        <v>0.78</v>
      </c>
      <c r="N44" s="1">
        <v>9.2</v>
      </c>
      <c r="O44" s="7">
        <v>12303</v>
      </c>
      <c r="P44" s="4">
        <v>44921</v>
      </c>
      <c r="Q44" s="4">
        <v>44935</v>
      </c>
      <c r="R44" s="1" t="s">
        <v>73</v>
      </c>
      <c r="S44" s="1">
        <v>89</v>
      </c>
      <c r="T44" s="1" t="s">
        <v>253</v>
      </c>
      <c r="V44" s="1">
        <v>1</v>
      </c>
      <c r="X44" s="1">
        <v>1</v>
      </c>
      <c r="AC44" s="1">
        <v>1</v>
      </c>
      <c r="AG44" s="1">
        <v>1</v>
      </c>
      <c r="AH44" s="1">
        <v>1</v>
      </c>
      <c r="AM44" s="1">
        <v>1</v>
      </c>
      <c r="AO44" s="7">
        <v>12303</v>
      </c>
      <c r="AP44" s="5">
        <v>6.3</v>
      </c>
      <c r="AQ44" s="5">
        <v>99</v>
      </c>
      <c r="AR44" s="5">
        <v>31.9</v>
      </c>
      <c r="AS44" s="5" t="s">
        <v>81</v>
      </c>
      <c r="AT44" s="5">
        <v>40</v>
      </c>
      <c r="AU44" s="5">
        <v>72</v>
      </c>
      <c r="AV44" s="5">
        <v>34.6</v>
      </c>
      <c r="AW44" s="5">
        <v>13.81</v>
      </c>
      <c r="AX44" s="5">
        <v>91</v>
      </c>
      <c r="AY44" s="5">
        <v>76.41</v>
      </c>
      <c r="AZ44" s="5" t="s">
        <v>75</v>
      </c>
      <c r="BA44" s="5">
        <v>2.66</v>
      </c>
      <c r="BB44" s="12" t="s">
        <v>76</v>
      </c>
      <c r="BC44" s="5">
        <v>4.93</v>
      </c>
      <c r="BD44" s="5">
        <v>99</v>
      </c>
      <c r="BE44" s="5">
        <v>0.65</v>
      </c>
      <c r="BF44" s="5">
        <v>1.03</v>
      </c>
      <c r="BG44" s="15">
        <v>36.8</v>
      </c>
      <c r="BH44" s="5">
        <v>80</v>
      </c>
      <c r="BI44" s="5" t="s">
        <v>76</v>
      </c>
      <c r="BJ44" s="5">
        <v>16</v>
      </c>
      <c r="BK44" s="5">
        <v>124</v>
      </c>
      <c r="BL44" s="5">
        <v>48</v>
      </c>
      <c r="BM44" s="5">
        <v>0</v>
      </c>
      <c r="BN44" s="5">
        <v>0</v>
      </c>
      <c r="BO44" s="5" t="e">
        <f t="shared" si="0"/>
        <v>#DIV/0!</v>
      </c>
      <c r="BP44" s="5" t="s">
        <v>254</v>
      </c>
      <c r="BQ44" s="5">
        <v>8.8</v>
      </c>
      <c r="BR44" s="5">
        <v>2042</v>
      </c>
    </row>
    <row r="45" s="1" customFormat="1" spans="1:70">
      <c r="A45" s="1">
        <v>3241229</v>
      </c>
      <c r="B45" s="1" t="s">
        <v>255</v>
      </c>
      <c r="D45" s="4">
        <v>44886</v>
      </c>
      <c r="E45" s="4">
        <v>44893</v>
      </c>
      <c r="F45" s="7">
        <v>12336</v>
      </c>
      <c r="G45" s="1">
        <v>42</v>
      </c>
      <c r="H45" s="1">
        <v>10</v>
      </c>
      <c r="I45" s="1">
        <v>50</v>
      </c>
      <c r="J45" s="1">
        <v>10</v>
      </c>
      <c r="K45" s="1">
        <v>47</v>
      </c>
      <c r="L45" s="1">
        <v>24</v>
      </c>
      <c r="N45" s="1">
        <v>12.6</v>
      </c>
      <c r="O45" s="7">
        <v>12336</v>
      </c>
      <c r="P45" s="4">
        <v>44886</v>
      </c>
      <c r="Q45" s="4">
        <v>44893</v>
      </c>
      <c r="R45" s="1" t="s">
        <v>73</v>
      </c>
      <c r="AO45" s="7">
        <v>12336</v>
      </c>
      <c r="AP45" s="5">
        <v>8.4</v>
      </c>
      <c r="AQ45" s="5">
        <v>110</v>
      </c>
      <c r="AR45" s="5">
        <v>37</v>
      </c>
      <c r="AS45" s="5" t="s">
        <v>76</v>
      </c>
      <c r="AT45" s="5">
        <v>28</v>
      </c>
      <c r="AU45" s="5">
        <v>15</v>
      </c>
      <c r="AV45" s="5">
        <v>35.4</v>
      </c>
      <c r="AW45" s="5">
        <v>5.94</v>
      </c>
      <c r="AX45" s="5">
        <v>63</v>
      </c>
      <c r="AY45" s="5">
        <v>82.04</v>
      </c>
      <c r="AZ45" s="5" t="s">
        <v>75</v>
      </c>
      <c r="BA45" s="5">
        <v>2.05</v>
      </c>
      <c r="BB45" s="12" t="s">
        <v>76</v>
      </c>
      <c r="BC45" s="5">
        <v>4.08</v>
      </c>
      <c r="BD45" s="5">
        <v>110</v>
      </c>
      <c r="BE45" s="5">
        <v>0.76</v>
      </c>
      <c r="BF45" s="5">
        <v>1.03</v>
      </c>
      <c r="BG45" s="15">
        <v>36.5</v>
      </c>
      <c r="BH45" s="5">
        <v>88</v>
      </c>
      <c r="BI45" s="5">
        <v>95</v>
      </c>
      <c r="BJ45" s="5">
        <v>17</v>
      </c>
      <c r="BK45" s="5">
        <v>125</v>
      </c>
      <c r="BL45" s="5">
        <v>71</v>
      </c>
      <c r="BM45" s="5">
        <v>65</v>
      </c>
      <c r="BN45" s="5">
        <v>157</v>
      </c>
      <c r="BO45" s="5">
        <f t="shared" si="0"/>
        <v>26.3702381435352</v>
      </c>
      <c r="BP45" s="5" t="s">
        <v>121</v>
      </c>
      <c r="BQ45" s="5" t="s">
        <v>76</v>
      </c>
      <c r="BR45" s="5">
        <v>5450</v>
      </c>
    </row>
    <row r="46" s="1" customFormat="1" spans="1:70">
      <c r="A46" s="1">
        <v>3257767</v>
      </c>
      <c r="B46" s="1" t="s">
        <v>256</v>
      </c>
      <c r="D46" s="4">
        <v>44924</v>
      </c>
      <c r="E46" s="4">
        <v>44929</v>
      </c>
      <c r="F46" s="7">
        <v>12367</v>
      </c>
      <c r="G46" s="1">
        <v>36</v>
      </c>
      <c r="H46" s="1">
        <v>8</v>
      </c>
      <c r="I46" s="1">
        <v>50</v>
      </c>
      <c r="J46" s="1">
        <v>8</v>
      </c>
      <c r="K46" s="1">
        <v>66</v>
      </c>
      <c r="L46" s="1">
        <v>36</v>
      </c>
      <c r="M46" s="1">
        <v>0.7</v>
      </c>
      <c r="N46" s="1">
        <v>7.8</v>
      </c>
      <c r="O46" s="7">
        <v>12367</v>
      </c>
      <c r="P46" s="4">
        <v>44924</v>
      </c>
      <c r="Q46" s="4">
        <v>44929</v>
      </c>
      <c r="R46" s="1" t="s">
        <v>80</v>
      </c>
      <c r="S46" s="1">
        <v>90</v>
      </c>
      <c r="T46" s="1" t="s">
        <v>257</v>
      </c>
      <c r="V46" s="1">
        <v>1</v>
      </c>
      <c r="Z46" s="1">
        <v>1</v>
      </c>
      <c r="AO46" s="7">
        <v>12367</v>
      </c>
      <c r="AP46" s="5">
        <v>6</v>
      </c>
      <c r="AQ46" s="5">
        <v>141</v>
      </c>
      <c r="AR46" s="5">
        <v>44.8</v>
      </c>
      <c r="AS46" s="5">
        <v>65</v>
      </c>
      <c r="AT46" s="5">
        <v>69</v>
      </c>
      <c r="AU46" s="5">
        <v>38</v>
      </c>
      <c r="AV46" s="5">
        <v>38.1</v>
      </c>
      <c r="AW46" s="5">
        <v>9.34</v>
      </c>
      <c r="AX46" s="5">
        <v>89</v>
      </c>
      <c r="AY46" s="5">
        <v>74.21</v>
      </c>
      <c r="AZ46" s="5">
        <v>6.46</v>
      </c>
      <c r="BA46" s="5">
        <v>3.29</v>
      </c>
      <c r="BB46" s="12" t="s">
        <v>76</v>
      </c>
      <c r="BC46" s="5">
        <v>4.52</v>
      </c>
      <c r="BD46" s="5">
        <v>141</v>
      </c>
      <c r="BE46" s="5">
        <v>1.15</v>
      </c>
      <c r="BF46" s="5">
        <v>1.14</v>
      </c>
      <c r="BG46" s="15">
        <v>37.3</v>
      </c>
      <c r="BH46" s="5">
        <v>60</v>
      </c>
      <c r="BI46" s="5">
        <v>60</v>
      </c>
      <c r="BJ46" s="5">
        <v>15</v>
      </c>
      <c r="BK46" s="5">
        <v>128</v>
      </c>
      <c r="BL46" s="5">
        <v>67</v>
      </c>
      <c r="BM46" s="5">
        <v>55</v>
      </c>
      <c r="BN46" s="5">
        <v>170</v>
      </c>
      <c r="BO46" s="5">
        <f t="shared" si="0"/>
        <v>19.0311418685121</v>
      </c>
      <c r="BP46" s="5" t="s">
        <v>258</v>
      </c>
      <c r="BQ46" s="5">
        <v>6.1</v>
      </c>
      <c r="BR46" s="5">
        <v>3548</v>
      </c>
    </row>
    <row r="47" s="1" customFormat="1" spans="1:70">
      <c r="A47" s="1">
        <v>3317573</v>
      </c>
      <c r="B47" s="1" t="s">
        <v>259</v>
      </c>
      <c r="D47" s="4">
        <v>45014</v>
      </c>
      <c r="E47" s="4">
        <v>45026</v>
      </c>
      <c r="F47" s="7">
        <v>12420</v>
      </c>
      <c r="G47" s="1">
        <v>45</v>
      </c>
      <c r="H47" s="1">
        <v>10</v>
      </c>
      <c r="I47" s="1">
        <v>52</v>
      </c>
      <c r="J47" s="1">
        <v>10</v>
      </c>
      <c r="K47" s="1">
        <v>52</v>
      </c>
      <c r="L47" s="1">
        <v>27</v>
      </c>
      <c r="N47" s="1">
        <v>11</v>
      </c>
      <c r="O47" s="7">
        <v>12420</v>
      </c>
      <c r="P47" s="4">
        <v>45014</v>
      </c>
      <c r="Q47" s="4">
        <v>45026</v>
      </c>
      <c r="R47" s="1" t="s">
        <v>73</v>
      </c>
      <c r="AO47" s="7">
        <v>12420</v>
      </c>
      <c r="AP47" s="5">
        <v>8.4</v>
      </c>
      <c r="AQ47" s="5">
        <v>114</v>
      </c>
      <c r="AR47" s="5">
        <v>35.5</v>
      </c>
      <c r="AS47" s="5">
        <v>8.3</v>
      </c>
      <c r="AT47" s="5">
        <v>21</v>
      </c>
      <c r="AU47" s="5">
        <v>16</v>
      </c>
      <c r="AV47" s="5">
        <v>39</v>
      </c>
      <c r="AW47" s="5">
        <v>6.19</v>
      </c>
      <c r="AX47" s="5">
        <v>75</v>
      </c>
      <c r="AY47" s="5">
        <v>69.21</v>
      </c>
      <c r="AZ47" s="5" t="s">
        <v>75</v>
      </c>
      <c r="BA47" s="5">
        <v>2.69</v>
      </c>
      <c r="BB47" s="12" t="s">
        <v>76</v>
      </c>
      <c r="BC47" s="5">
        <v>4.35</v>
      </c>
      <c r="BD47" s="5">
        <v>114</v>
      </c>
      <c r="BE47" s="5">
        <v>0.74</v>
      </c>
      <c r="BF47" s="5">
        <v>1.43</v>
      </c>
      <c r="BG47" s="15">
        <v>36.5</v>
      </c>
      <c r="BH47" s="5">
        <v>74</v>
      </c>
      <c r="BI47" s="5">
        <v>86</v>
      </c>
      <c r="BJ47" s="5">
        <v>17</v>
      </c>
      <c r="BK47" s="5">
        <v>125</v>
      </c>
      <c r="BL47" s="5">
        <v>75</v>
      </c>
      <c r="BM47" s="5" t="s">
        <v>77</v>
      </c>
      <c r="BN47" s="5" t="s">
        <v>77</v>
      </c>
      <c r="BO47" s="5" t="e">
        <f t="shared" si="0"/>
        <v>#VALUE!</v>
      </c>
      <c r="BP47" s="5" t="s">
        <v>78</v>
      </c>
      <c r="BQ47" s="5">
        <v>6.8</v>
      </c>
      <c r="BR47" s="5">
        <v>3130</v>
      </c>
    </row>
    <row r="48" s="1" customFormat="1" spans="1:70">
      <c r="A48" s="1">
        <v>3495288</v>
      </c>
      <c r="B48" s="1" t="s">
        <v>260</v>
      </c>
      <c r="D48" s="4">
        <v>45260</v>
      </c>
      <c r="E48" s="4">
        <v>45274</v>
      </c>
      <c r="F48" s="7">
        <v>12423</v>
      </c>
      <c r="G48" s="1">
        <v>39</v>
      </c>
      <c r="H48" s="1">
        <v>8</v>
      </c>
      <c r="I48" s="1">
        <v>42</v>
      </c>
      <c r="J48" s="1">
        <v>8</v>
      </c>
      <c r="K48" s="1">
        <v>64</v>
      </c>
      <c r="L48" s="1">
        <v>35</v>
      </c>
      <c r="N48" s="1">
        <v>14.3</v>
      </c>
      <c r="O48" s="7">
        <v>12423</v>
      </c>
      <c r="P48" s="4">
        <v>45260</v>
      </c>
      <c r="Q48" s="4">
        <v>45274</v>
      </c>
      <c r="R48" s="1" t="s">
        <v>73</v>
      </c>
      <c r="AO48" s="7">
        <v>12423</v>
      </c>
      <c r="AP48" s="5">
        <v>98.8</v>
      </c>
      <c r="AQ48" s="5">
        <v>96</v>
      </c>
      <c r="AR48" s="5">
        <v>42.5</v>
      </c>
      <c r="AS48" s="5">
        <v>51.6</v>
      </c>
      <c r="AT48" s="5">
        <v>48</v>
      </c>
      <c r="AU48" s="5">
        <v>835</v>
      </c>
      <c r="AV48" s="5">
        <v>38.9</v>
      </c>
      <c r="AW48" s="5">
        <v>9.16</v>
      </c>
      <c r="AX48" s="5">
        <v>83</v>
      </c>
      <c r="AY48" s="5">
        <v>93.98</v>
      </c>
      <c r="AZ48" s="5">
        <v>9.3</v>
      </c>
      <c r="BA48" s="5" t="s">
        <v>76</v>
      </c>
      <c r="BB48" s="12" t="s">
        <v>76</v>
      </c>
      <c r="BC48" s="5">
        <v>4.49</v>
      </c>
      <c r="BD48" s="5">
        <v>96</v>
      </c>
      <c r="BE48" s="5" t="s">
        <v>76</v>
      </c>
      <c r="BF48" s="5" t="s">
        <v>76</v>
      </c>
      <c r="BG48" s="15">
        <v>36.6</v>
      </c>
      <c r="BH48" s="5">
        <v>80</v>
      </c>
      <c r="BI48" s="5">
        <v>80</v>
      </c>
      <c r="BJ48" s="5">
        <v>18</v>
      </c>
      <c r="BK48" s="5">
        <v>147</v>
      </c>
      <c r="BL48" s="5">
        <v>73</v>
      </c>
      <c r="BM48" s="5">
        <v>40</v>
      </c>
      <c r="BN48" s="5">
        <v>150</v>
      </c>
      <c r="BO48" s="5">
        <f t="shared" si="0"/>
        <v>17.7777777777778</v>
      </c>
      <c r="BP48" s="5" t="s">
        <v>85</v>
      </c>
      <c r="BQ48" s="5" t="s">
        <v>76</v>
      </c>
      <c r="BR48" s="5">
        <v>7521</v>
      </c>
    </row>
    <row r="49" s="1" customFormat="1" spans="1:70">
      <c r="A49" s="1">
        <v>3313172</v>
      </c>
      <c r="B49" s="1" t="s">
        <v>261</v>
      </c>
      <c r="D49" s="4">
        <v>45008</v>
      </c>
      <c r="E49" s="4">
        <v>45017</v>
      </c>
      <c r="F49" s="7">
        <v>12429</v>
      </c>
      <c r="G49" s="1">
        <v>47</v>
      </c>
      <c r="H49" s="1">
        <v>9</v>
      </c>
      <c r="I49" s="1">
        <v>49</v>
      </c>
      <c r="J49" s="1">
        <v>8</v>
      </c>
      <c r="K49" s="1">
        <v>39</v>
      </c>
      <c r="L49" s="1">
        <v>19</v>
      </c>
      <c r="N49" s="1">
        <v>20.8</v>
      </c>
      <c r="O49" s="7">
        <v>12429</v>
      </c>
      <c r="P49" s="4">
        <v>45008</v>
      </c>
      <c r="Q49" s="4">
        <v>45017</v>
      </c>
      <c r="R49" s="1" t="s">
        <v>73</v>
      </c>
      <c r="AO49" s="7">
        <v>12429</v>
      </c>
      <c r="AP49" s="5">
        <v>14.4</v>
      </c>
      <c r="AQ49" s="5">
        <v>98</v>
      </c>
      <c r="AR49" s="5">
        <v>31.2</v>
      </c>
      <c r="AS49" s="5">
        <v>59.6</v>
      </c>
      <c r="AT49" s="5">
        <v>22</v>
      </c>
      <c r="AU49" s="5">
        <v>9</v>
      </c>
      <c r="AV49" s="5">
        <v>33.4</v>
      </c>
      <c r="AW49" s="5">
        <v>8.64</v>
      </c>
      <c r="AX49" s="5">
        <v>78</v>
      </c>
      <c r="AY49" s="5">
        <v>66.07</v>
      </c>
      <c r="AZ49" s="5" t="s">
        <v>75</v>
      </c>
      <c r="BA49" s="5" t="s">
        <v>76</v>
      </c>
      <c r="BB49" s="12" t="s">
        <v>76</v>
      </c>
      <c r="BC49" s="5">
        <v>4.67</v>
      </c>
      <c r="BD49" s="5">
        <v>98</v>
      </c>
      <c r="BE49" s="5" t="s">
        <v>76</v>
      </c>
      <c r="BF49" s="5" t="s">
        <v>76</v>
      </c>
      <c r="BG49" s="15">
        <v>36.9</v>
      </c>
      <c r="BH49" s="5">
        <v>103</v>
      </c>
      <c r="BI49" s="5">
        <v>99</v>
      </c>
      <c r="BJ49" s="5">
        <v>24</v>
      </c>
      <c r="BK49" s="5">
        <v>162</v>
      </c>
      <c r="BL49" s="5">
        <v>93</v>
      </c>
      <c r="BM49" s="5">
        <v>60</v>
      </c>
      <c r="BN49" s="5">
        <v>155</v>
      </c>
      <c r="BO49" s="5">
        <f t="shared" si="0"/>
        <v>24.9739854318418</v>
      </c>
      <c r="BP49" s="5" t="s">
        <v>262</v>
      </c>
      <c r="BQ49" s="5" t="s">
        <v>76</v>
      </c>
      <c r="BR49" s="5" t="s">
        <v>118</v>
      </c>
    </row>
    <row r="50" s="1" customFormat="1" spans="1:70">
      <c r="A50" s="1">
        <v>3310186</v>
      </c>
      <c r="B50" s="1" t="s">
        <v>263</v>
      </c>
      <c r="D50" s="4">
        <v>45005</v>
      </c>
      <c r="E50" s="4">
        <v>45009</v>
      </c>
      <c r="F50" s="7">
        <v>12513</v>
      </c>
      <c r="G50" s="1">
        <v>45</v>
      </c>
      <c r="H50" s="1">
        <v>9</v>
      </c>
      <c r="I50" s="1">
        <v>49</v>
      </c>
      <c r="J50" s="1">
        <v>9</v>
      </c>
      <c r="K50" s="1">
        <v>57</v>
      </c>
      <c r="L50" s="1">
        <v>30</v>
      </c>
      <c r="M50" s="9">
        <v>0.6</v>
      </c>
      <c r="N50" s="10">
        <v>16</v>
      </c>
      <c r="O50" s="7">
        <v>12513</v>
      </c>
      <c r="P50" s="4">
        <v>45005</v>
      </c>
      <c r="Q50" s="4">
        <v>45009</v>
      </c>
      <c r="R50" s="1" t="s">
        <v>73</v>
      </c>
      <c r="AO50" s="7">
        <v>12513</v>
      </c>
      <c r="AP50" s="5">
        <v>8.1</v>
      </c>
      <c r="AQ50" s="5">
        <v>129</v>
      </c>
      <c r="AR50" s="5">
        <v>40.4</v>
      </c>
      <c r="AS50" s="5">
        <v>0.9</v>
      </c>
      <c r="AT50" s="5">
        <v>19</v>
      </c>
      <c r="AU50" s="5">
        <v>10</v>
      </c>
      <c r="AV50" s="5">
        <v>45.2</v>
      </c>
      <c r="AW50" s="5">
        <v>7.84</v>
      </c>
      <c r="AX50" s="5">
        <v>53</v>
      </c>
      <c r="AY50" s="5">
        <v>100.38</v>
      </c>
      <c r="AZ50" s="5" t="s">
        <v>75</v>
      </c>
      <c r="BA50" s="5">
        <v>5.15</v>
      </c>
      <c r="BB50" s="12" t="s">
        <v>76</v>
      </c>
      <c r="BC50" s="5">
        <v>4.03</v>
      </c>
      <c r="BD50" s="5">
        <v>129</v>
      </c>
      <c r="BE50" s="5">
        <v>1.33</v>
      </c>
      <c r="BF50" s="5">
        <v>3.21</v>
      </c>
      <c r="BG50" s="15">
        <v>36.4</v>
      </c>
      <c r="BH50" s="5">
        <v>71</v>
      </c>
      <c r="BI50" s="5">
        <v>71</v>
      </c>
      <c r="BJ50" s="5">
        <v>18</v>
      </c>
      <c r="BK50" s="5">
        <v>154</v>
      </c>
      <c r="BL50" s="5">
        <v>73</v>
      </c>
      <c r="BM50" s="5">
        <v>47</v>
      </c>
      <c r="BN50" s="5">
        <v>155</v>
      </c>
      <c r="BO50" s="5">
        <f t="shared" si="0"/>
        <v>19.5629552549428</v>
      </c>
      <c r="BP50" s="5" t="s">
        <v>78</v>
      </c>
      <c r="BQ50" s="5" t="s">
        <v>76</v>
      </c>
      <c r="BR50" s="5">
        <v>2867</v>
      </c>
    </row>
    <row r="51" s="1" customFormat="1" spans="1:70">
      <c r="A51" s="1">
        <v>3255637</v>
      </c>
      <c r="B51" s="1" t="s">
        <v>264</v>
      </c>
      <c r="D51" s="4">
        <v>44920</v>
      </c>
      <c r="E51" s="4">
        <v>44926</v>
      </c>
      <c r="F51" s="7">
        <v>12521</v>
      </c>
      <c r="G51" s="1">
        <v>44</v>
      </c>
      <c r="H51" s="1">
        <v>10</v>
      </c>
      <c r="I51" s="1">
        <v>53</v>
      </c>
      <c r="J51" s="1">
        <v>10</v>
      </c>
      <c r="K51" s="1">
        <v>60</v>
      </c>
      <c r="L51" s="1">
        <v>32</v>
      </c>
      <c r="M51" s="1">
        <v>0.48</v>
      </c>
      <c r="N51" s="1">
        <v>9.6</v>
      </c>
      <c r="O51" s="7">
        <v>12521</v>
      </c>
      <c r="P51" s="4">
        <v>44920</v>
      </c>
      <c r="Q51" s="4">
        <v>44926</v>
      </c>
      <c r="R51" s="1" t="s">
        <v>80</v>
      </c>
      <c r="S51" s="1">
        <v>88</v>
      </c>
      <c r="T51" s="1" t="s">
        <v>265</v>
      </c>
      <c r="V51" s="1">
        <v>1</v>
      </c>
      <c r="AC51" s="1">
        <v>1</v>
      </c>
      <c r="AM51" s="1">
        <v>1</v>
      </c>
      <c r="AO51" s="7">
        <v>12521</v>
      </c>
      <c r="AP51" s="5">
        <v>7</v>
      </c>
      <c r="AQ51" s="5">
        <v>136</v>
      </c>
      <c r="AR51" s="5">
        <v>39.2</v>
      </c>
      <c r="AS51" s="5">
        <v>145.6</v>
      </c>
      <c r="AT51" s="5">
        <v>33</v>
      </c>
      <c r="AU51" s="5">
        <v>20</v>
      </c>
      <c r="AV51" s="5">
        <v>33.6</v>
      </c>
      <c r="AW51" s="5">
        <v>7.8</v>
      </c>
      <c r="AX51" s="5">
        <v>67</v>
      </c>
      <c r="AY51" s="5">
        <v>103.22</v>
      </c>
      <c r="AZ51" s="5" t="s">
        <v>75</v>
      </c>
      <c r="BA51" s="5">
        <v>3.27</v>
      </c>
      <c r="BB51" s="12" t="s">
        <v>76</v>
      </c>
      <c r="BC51" s="5">
        <v>3.73</v>
      </c>
      <c r="BD51" s="5">
        <v>136</v>
      </c>
      <c r="BE51" s="5">
        <v>1.09</v>
      </c>
      <c r="BF51" s="5">
        <v>1.72</v>
      </c>
      <c r="BG51" s="15">
        <v>36.9</v>
      </c>
      <c r="BH51" s="5">
        <v>64</v>
      </c>
      <c r="BI51" s="5">
        <v>64</v>
      </c>
      <c r="BJ51" s="5">
        <v>14</v>
      </c>
      <c r="BK51" s="5">
        <v>134</v>
      </c>
      <c r="BL51" s="5">
        <v>69</v>
      </c>
      <c r="BM51" s="5">
        <v>75</v>
      </c>
      <c r="BN51" s="5">
        <v>175</v>
      </c>
      <c r="BO51" s="5">
        <f t="shared" si="0"/>
        <v>24.4897959183673</v>
      </c>
      <c r="BP51" s="5" t="s">
        <v>156</v>
      </c>
      <c r="BQ51" s="5" t="s">
        <v>76</v>
      </c>
      <c r="BR51" s="5">
        <v>2194</v>
      </c>
    </row>
    <row r="52" s="1" customFormat="1" spans="1:70">
      <c r="A52" s="1">
        <v>3491183</v>
      </c>
      <c r="B52" s="1" t="s">
        <v>266</v>
      </c>
      <c r="D52" s="4">
        <v>45254</v>
      </c>
      <c r="E52" s="4">
        <v>45264</v>
      </c>
      <c r="F52" s="7">
        <v>12532</v>
      </c>
      <c r="G52" s="1">
        <v>37</v>
      </c>
      <c r="H52" s="1">
        <v>8</v>
      </c>
      <c r="I52" s="1">
        <v>38</v>
      </c>
      <c r="J52" s="1">
        <v>8</v>
      </c>
      <c r="K52" s="1">
        <v>58</v>
      </c>
      <c r="L52" s="1">
        <v>30</v>
      </c>
      <c r="M52" s="1">
        <v>2.22</v>
      </c>
      <c r="N52" s="1">
        <v>11.8</v>
      </c>
      <c r="O52" s="7">
        <v>12532</v>
      </c>
      <c r="P52" s="4">
        <v>45254</v>
      </c>
      <c r="Q52" s="4">
        <v>45264</v>
      </c>
      <c r="R52" s="1" t="s">
        <v>80</v>
      </c>
      <c r="AO52" s="7">
        <v>12532</v>
      </c>
      <c r="AP52" s="5">
        <v>6.1</v>
      </c>
      <c r="AQ52" s="5">
        <v>99</v>
      </c>
      <c r="AR52" s="5">
        <v>43</v>
      </c>
      <c r="AS52" s="5">
        <v>5.3</v>
      </c>
      <c r="AT52" s="5">
        <v>60</v>
      </c>
      <c r="AU52" s="5">
        <v>29</v>
      </c>
      <c r="AV52" s="5">
        <v>36.7</v>
      </c>
      <c r="AW52" s="5">
        <v>8.26</v>
      </c>
      <c r="AX52" s="5">
        <v>86</v>
      </c>
      <c r="AY52" s="5">
        <v>86.41</v>
      </c>
      <c r="AZ52" s="5">
        <v>4.79</v>
      </c>
      <c r="BA52" s="5">
        <v>3.6</v>
      </c>
      <c r="BB52" s="12" t="s">
        <v>76</v>
      </c>
      <c r="BC52" s="5">
        <v>3.86</v>
      </c>
      <c r="BD52" s="5">
        <v>99</v>
      </c>
      <c r="BE52" s="5">
        <v>1.12</v>
      </c>
      <c r="BF52" s="5">
        <v>1.54</v>
      </c>
      <c r="BG52" s="15">
        <v>36.2</v>
      </c>
      <c r="BH52" s="5">
        <v>80</v>
      </c>
      <c r="BI52" s="5">
        <v>106</v>
      </c>
      <c r="BJ52" s="5">
        <v>17</v>
      </c>
      <c r="BK52" s="5">
        <v>134</v>
      </c>
      <c r="BL52" s="5">
        <v>64</v>
      </c>
      <c r="BM52" s="5">
        <v>45</v>
      </c>
      <c r="BN52" s="5">
        <v>162</v>
      </c>
      <c r="BO52" s="5">
        <f t="shared" si="0"/>
        <v>17.1467764060357</v>
      </c>
      <c r="BP52" s="5" t="s">
        <v>83</v>
      </c>
      <c r="BQ52" s="5" t="s">
        <v>76</v>
      </c>
      <c r="BR52" s="5">
        <v>3118</v>
      </c>
    </row>
    <row r="53" s="1" customFormat="1" spans="1:70">
      <c r="A53" s="1">
        <v>3309202</v>
      </c>
      <c r="B53" s="1" t="s">
        <v>267</v>
      </c>
      <c r="D53" s="4">
        <v>45002</v>
      </c>
      <c r="E53" s="4">
        <v>45015</v>
      </c>
      <c r="F53" s="7">
        <v>12540</v>
      </c>
      <c r="G53" s="1">
        <v>35</v>
      </c>
      <c r="H53" s="1">
        <v>9</v>
      </c>
      <c r="I53" s="1">
        <v>43</v>
      </c>
      <c r="J53" s="1">
        <v>9</v>
      </c>
      <c r="K53" s="1">
        <v>56</v>
      </c>
      <c r="L53" s="1">
        <v>29</v>
      </c>
      <c r="M53" s="1">
        <v>0.52</v>
      </c>
      <c r="N53" s="1">
        <v>15.1</v>
      </c>
      <c r="O53" s="7">
        <v>12540</v>
      </c>
      <c r="P53" s="4">
        <v>45002</v>
      </c>
      <c r="Q53" s="4">
        <v>45015</v>
      </c>
      <c r="R53" s="1" t="s">
        <v>73</v>
      </c>
      <c r="AO53" s="7">
        <v>12540</v>
      </c>
      <c r="AP53" s="5">
        <v>22.6</v>
      </c>
      <c r="AQ53" s="5">
        <v>91</v>
      </c>
      <c r="AR53" s="5">
        <v>30</v>
      </c>
      <c r="AS53" s="5">
        <v>70.3</v>
      </c>
      <c r="AT53" s="5">
        <v>56</v>
      </c>
      <c r="AU53" s="5">
        <v>39</v>
      </c>
      <c r="AV53" s="5">
        <v>37.6</v>
      </c>
      <c r="AW53" s="5">
        <v>9.9</v>
      </c>
      <c r="AX53" s="5">
        <v>97</v>
      </c>
      <c r="AY53" s="5">
        <v>50.57</v>
      </c>
      <c r="AZ53" s="5" t="s">
        <v>75</v>
      </c>
      <c r="BA53" s="5">
        <v>4.53</v>
      </c>
      <c r="BB53" s="12" t="s">
        <v>76</v>
      </c>
      <c r="BC53" s="5">
        <v>4.3</v>
      </c>
      <c r="BD53" s="5">
        <v>91</v>
      </c>
      <c r="BE53" s="5" t="s">
        <v>76</v>
      </c>
      <c r="BF53" s="5" t="s">
        <v>76</v>
      </c>
      <c r="BG53" s="15">
        <v>36.7</v>
      </c>
      <c r="BH53" s="5">
        <v>103</v>
      </c>
      <c r="BI53" s="5">
        <v>103</v>
      </c>
      <c r="BJ53" s="5">
        <v>30</v>
      </c>
      <c r="BK53" s="5">
        <v>107</v>
      </c>
      <c r="BL53" s="5">
        <v>57</v>
      </c>
      <c r="BM53" s="5" t="s">
        <v>77</v>
      </c>
      <c r="BN53" s="5" t="s">
        <v>77</v>
      </c>
      <c r="BO53" s="5" t="e">
        <f t="shared" si="0"/>
        <v>#VALUE!</v>
      </c>
      <c r="BP53" s="5" t="s">
        <v>164</v>
      </c>
      <c r="BQ53" s="5">
        <v>5.6</v>
      </c>
      <c r="BR53" s="5">
        <v>9050</v>
      </c>
    </row>
    <row r="54" s="1" customFormat="1" spans="1:70">
      <c r="A54" s="1">
        <v>3239963</v>
      </c>
      <c r="B54" s="1" t="s">
        <v>268</v>
      </c>
      <c r="D54" s="4">
        <v>44882</v>
      </c>
      <c r="E54" s="4">
        <v>44890</v>
      </c>
      <c r="F54" s="7">
        <v>12595</v>
      </c>
      <c r="G54" s="1">
        <v>46</v>
      </c>
      <c r="H54" s="1">
        <v>10</v>
      </c>
      <c r="I54" s="1">
        <v>54</v>
      </c>
      <c r="J54" s="1">
        <v>10</v>
      </c>
      <c r="K54" s="1">
        <v>57</v>
      </c>
      <c r="L54" s="1">
        <v>30</v>
      </c>
      <c r="M54" s="1">
        <v>0.83</v>
      </c>
      <c r="O54" s="7">
        <v>12595</v>
      </c>
      <c r="P54" s="4">
        <v>44882</v>
      </c>
      <c r="Q54" s="4">
        <v>44890</v>
      </c>
      <c r="R54" s="1" t="s">
        <v>80</v>
      </c>
      <c r="AO54" s="7">
        <v>12595</v>
      </c>
      <c r="AP54" s="5">
        <v>5.8</v>
      </c>
      <c r="AQ54" s="5">
        <v>136</v>
      </c>
      <c r="AR54" s="5">
        <v>43</v>
      </c>
      <c r="AS54" s="5">
        <v>13.3</v>
      </c>
      <c r="AT54" s="5">
        <v>19</v>
      </c>
      <c r="AU54" s="5">
        <v>8</v>
      </c>
      <c r="AV54" s="5">
        <v>34.8</v>
      </c>
      <c r="AW54" s="5">
        <v>7.23</v>
      </c>
      <c r="AX54" s="5">
        <v>64</v>
      </c>
      <c r="AY54" s="5" t="s">
        <v>125</v>
      </c>
      <c r="AZ54" s="5">
        <v>9.2</v>
      </c>
      <c r="BA54" s="5" t="s">
        <v>76</v>
      </c>
      <c r="BB54" s="12" t="s">
        <v>76</v>
      </c>
      <c r="BC54" s="5">
        <v>3.41</v>
      </c>
      <c r="BD54" s="5">
        <v>136</v>
      </c>
      <c r="BE54" s="5" t="s">
        <v>76</v>
      </c>
      <c r="BF54" s="5" t="s">
        <v>76</v>
      </c>
      <c r="BG54" s="15">
        <v>36.5</v>
      </c>
      <c r="BH54" s="5">
        <v>69</v>
      </c>
      <c r="BI54" s="5" t="s">
        <v>76</v>
      </c>
      <c r="BJ54" s="5">
        <v>18</v>
      </c>
      <c r="BK54" s="5">
        <v>169</v>
      </c>
      <c r="BL54" s="5">
        <v>72</v>
      </c>
      <c r="BM54" s="5">
        <v>62</v>
      </c>
      <c r="BN54" s="5">
        <v>175</v>
      </c>
      <c r="BO54" s="5">
        <f t="shared" si="0"/>
        <v>20.2448979591837</v>
      </c>
      <c r="BP54" s="5" t="s">
        <v>109</v>
      </c>
      <c r="BQ54" s="5" t="s">
        <v>76</v>
      </c>
      <c r="BR54" s="5">
        <v>9246</v>
      </c>
    </row>
    <row r="55" s="1" customFormat="1" spans="1:70">
      <c r="A55" s="1">
        <v>3513986</v>
      </c>
      <c r="B55" s="1" t="s">
        <v>269</v>
      </c>
      <c r="D55" s="4">
        <v>45286</v>
      </c>
      <c r="E55" s="4">
        <v>45296</v>
      </c>
      <c r="F55" s="7">
        <v>12611</v>
      </c>
      <c r="G55" s="1">
        <v>50</v>
      </c>
      <c r="H55" s="1">
        <v>12</v>
      </c>
      <c r="I55" s="1">
        <v>50</v>
      </c>
      <c r="J55" s="1">
        <v>12</v>
      </c>
      <c r="K55" s="1">
        <v>72</v>
      </c>
      <c r="L55" s="1">
        <v>42</v>
      </c>
      <c r="M55" s="1">
        <v>2.44</v>
      </c>
      <c r="N55" s="1">
        <v>13.8</v>
      </c>
      <c r="O55" s="7">
        <v>12611</v>
      </c>
      <c r="P55" s="4">
        <v>45286</v>
      </c>
      <c r="Q55" s="4">
        <v>45296</v>
      </c>
      <c r="R55" s="1" t="s">
        <v>80</v>
      </c>
      <c r="S55" s="1">
        <v>89</v>
      </c>
      <c r="T55" s="1" t="s">
        <v>270</v>
      </c>
      <c r="V55" s="1">
        <v>1</v>
      </c>
      <c r="Y55" s="1">
        <v>1</v>
      </c>
      <c r="Z55" s="1">
        <v>1</v>
      </c>
      <c r="AH55" s="1">
        <v>1</v>
      </c>
      <c r="AK55" s="1">
        <v>1</v>
      </c>
      <c r="AM55" s="1">
        <v>1</v>
      </c>
      <c r="AN55" s="1">
        <v>1</v>
      </c>
      <c r="AO55" s="7">
        <v>12611</v>
      </c>
      <c r="AP55" s="5">
        <v>5.7</v>
      </c>
      <c r="AQ55" s="5">
        <v>123</v>
      </c>
      <c r="AR55" s="5">
        <v>37.5</v>
      </c>
      <c r="AS55" s="5">
        <v>82.6</v>
      </c>
      <c r="AT55" s="5">
        <v>18</v>
      </c>
      <c r="AU55" s="5">
        <v>8</v>
      </c>
      <c r="AV55" s="5">
        <v>39.5</v>
      </c>
      <c r="AW55" s="5">
        <v>15.52</v>
      </c>
      <c r="AX55" s="5">
        <v>117</v>
      </c>
      <c r="AY55" s="5">
        <v>64.87</v>
      </c>
      <c r="AZ55" s="5" t="s">
        <v>75</v>
      </c>
      <c r="BA55" s="5">
        <v>3.42</v>
      </c>
      <c r="BB55" s="12" t="s">
        <v>76</v>
      </c>
      <c r="BC55" s="5">
        <v>4.62</v>
      </c>
      <c r="BD55" s="5">
        <v>123</v>
      </c>
      <c r="BE55" s="5">
        <v>1.51</v>
      </c>
      <c r="BF55" s="5">
        <v>1.16</v>
      </c>
      <c r="BG55" s="15">
        <v>36.4</v>
      </c>
      <c r="BH55" s="5">
        <v>82</v>
      </c>
      <c r="BI55" s="5">
        <v>82</v>
      </c>
      <c r="BJ55" s="5">
        <v>20</v>
      </c>
      <c r="BK55" s="5">
        <v>112</v>
      </c>
      <c r="BL55" s="5">
        <v>59</v>
      </c>
      <c r="BM55" s="5">
        <v>86</v>
      </c>
      <c r="BN55" s="5">
        <v>176</v>
      </c>
      <c r="BO55" s="5">
        <f t="shared" si="0"/>
        <v>27.7634297520661</v>
      </c>
      <c r="BP55" s="5" t="s">
        <v>271</v>
      </c>
      <c r="BQ55" s="5" t="s">
        <v>76</v>
      </c>
      <c r="BR55" s="5">
        <v>5853</v>
      </c>
    </row>
    <row r="56" s="1" customFormat="1" spans="1:70">
      <c r="A56" s="1">
        <v>3268461</v>
      </c>
      <c r="B56" s="1" t="s">
        <v>272</v>
      </c>
      <c r="C56" s="1" t="s">
        <v>273</v>
      </c>
      <c r="D56" s="4">
        <v>44944</v>
      </c>
      <c r="E56" s="4">
        <v>44946</v>
      </c>
      <c r="F56" s="7">
        <v>12676</v>
      </c>
      <c r="G56" s="1">
        <v>48</v>
      </c>
      <c r="H56" s="1">
        <v>10</v>
      </c>
      <c r="I56" s="1">
        <v>63</v>
      </c>
      <c r="J56" s="1">
        <v>9</v>
      </c>
      <c r="K56" s="1">
        <v>48</v>
      </c>
      <c r="L56" s="1">
        <v>24</v>
      </c>
      <c r="M56" s="1">
        <v>0.63</v>
      </c>
      <c r="N56" s="1">
        <v>13.1</v>
      </c>
      <c r="O56" s="7">
        <v>12676</v>
      </c>
      <c r="P56" s="4">
        <v>44944</v>
      </c>
      <c r="Q56" s="4">
        <v>44946</v>
      </c>
      <c r="R56" s="1" t="s">
        <v>80</v>
      </c>
      <c r="AO56" s="7">
        <v>12676</v>
      </c>
      <c r="AP56" s="5">
        <v>8.3</v>
      </c>
      <c r="AQ56" s="5">
        <v>147</v>
      </c>
      <c r="AR56" s="5">
        <v>44.4</v>
      </c>
      <c r="AS56" s="5">
        <v>2.6</v>
      </c>
      <c r="AT56" s="5">
        <v>26</v>
      </c>
      <c r="AU56" s="5">
        <v>21</v>
      </c>
      <c r="AV56" s="5">
        <v>41</v>
      </c>
      <c r="AW56" s="5">
        <v>6.61</v>
      </c>
      <c r="AX56" s="5">
        <v>91</v>
      </c>
      <c r="AY56" s="5">
        <v>72.5</v>
      </c>
      <c r="AZ56" s="5" t="s">
        <v>75</v>
      </c>
      <c r="BA56" s="5" t="s">
        <v>76</v>
      </c>
      <c r="BB56" s="12" t="s">
        <v>76</v>
      </c>
      <c r="BC56" s="5">
        <v>3.61</v>
      </c>
      <c r="BD56" s="5">
        <v>147</v>
      </c>
      <c r="BE56" s="5" t="s">
        <v>76</v>
      </c>
      <c r="BF56" s="5" t="s">
        <v>76</v>
      </c>
      <c r="BG56" s="15">
        <v>36.1</v>
      </c>
      <c r="BH56" s="5" t="s">
        <v>76</v>
      </c>
      <c r="BI56" s="5">
        <v>82</v>
      </c>
      <c r="BJ56" s="5">
        <v>11</v>
      </c>
      <c r="BK56" s="5">
        <v>198</v>
      </c>
      <c r="BL56" s="5">
        <v>96</v>
      </c>
      <c r="BM56" s="5" t="s">
        <v>274</v>
      </c>
      <c r="BN56" s="5" t="s">
        <v>274</v>
      </c>
      <c r="BO56" s="5" t="e">
        <f t="shared" si="0"/>
        <v>#VALUE!</v>
      </c>
      <c r="BP56" s="5" t="s">
        <v>109</v>
      </c>
      <c r="BQ56" s="5" t="s">
        <v>76</v>
      </c>
      <c r="BR56" s="5">
        <v>3231</v>
      </c>
    </row>
    <row r="57" s="1" customFormat="1" spans="1:70">
      <c r="A57" s="1">
        <v>3269015</v>
      </c>
      <c r="B57" s="1" t="s">
        <v>275</v>
      </c>
      <c r="D57" s="4">
        <v>44946</v>
      </c>
      <c r="E57" s="4">
        <v>44956</v>
      </c>
      <c r="F57" s="7">
        <v>12696</v>
      </c>
      <c r="G57" s="1">
        <v>45</v>
      </c>
      <c r="H57" s="1">
        <v>9</v>
      </c>
      <c r="I57" s="1">
        <v>46</v>
      </c>
      <c r="J57" s="1">
        <v>9</v>
      </c>
      <c r="K57" s="1">
        <v>59</v>
      </c>
      <c r="L57" s="1">
        <v>30</v>
      </c>
      <c r="N57" s="1">
        <v>13.1</v>
      </c>
      <c r="O57" s="7">
        <v>12696</v>
      </c>
      <c r="P57" s="4">
        <v>44946</v>
      </c>
      <c r="Q57" s="4">
        <v>44956</v>
      </c>
      <c r="R57" s="1" t="s">
        <v>80</v>
      </c>
      <c r="AO57" s="7">
        <v>12696</v>
      </c>
      <c r="AP57" s="5">
        <v>8.9</v>
      </c>
      <c r="AQ57" s="5">
        <v>134</v>
      </c>
      <c r="AR57" s="5" t="s">
        <v>276</v>
      </c>
      <c r="AS57" s="5">
        <v>60.5</v>
      </c>
      <c r="AT57" s="5">
        <v>19</v>
      </c>
      <c r="AU57" s="5">
        <v>22</v>
      </c>
      <c r="AV57" s="5">
        <v>31.8</v>
      </c>
      <c r="AW57" s="5">
        <v>7.49</v>
      </c>
      <c r="AX57" s="5">
        <v>83</v>
      </c>
      <c r="AY57" s="5">
        <v>96.54</v>
      </c>
      <c r="AZ57" s="5" t="s">
        <v>75</v>
      </c>
      <c r="BA57" s="5" t="s">
        <v>76</v>
      </c>
      <c r="BB57" s="12" t="s">
        <v>76</v>
      </c>
      <c r="BC57" s="5">
        <v>4.26</v>
      </c>
      <c r="BD57" s="5">
        <v>134</v>
      </c>
      <c r="BE57" s="5" t="s">
        <v>76</v>
      </c>
      <c r="BF57" s="5" t="s">
        <v>76</v>
      </c>
      <c r="BG57" s="15">
        <v>37.4</v>
      </c>
      <c r="BH57" s="5">
        <v>92</v>
      </c>
      <c r="BI57" s="5" t="s">
        <v>76</v>
      </c>
      <c r="BJ57" s="5">
        <v>27</v>
      </c>
      <c r="BK57" s="5">
        <v>167</v>
      </c>
      <c r="BL57" s="5">
        <v>109</v>
      </c>
      <c r="BM57" s="5" t="s">
        <v>274</v>
      </c>
      <c r="BN57" s="5" t="s">
        <v>274</v>
      </c>
      <c r="BO57" s="5" t="e">
        <f t="shared" si="0"/>
        <v>#VALUE!</v>
      </c>
      <c r="BP57" s="5" t="s">
        <v>109</v>
      </c>
      <c r="BQ57" s="5" t="s">
        <v>76</v>
      </c>
      <c r="BR57" s="5">
        <v>4301</v>
      </c>
    </row>
    <row r="58" s="1" customFormat="1" spans="1:70">
      <c r="A58" s="1">
        <v>3264224</v>
      </c>
      <c r="B58" s="1" t="s">
        <v>277</v>
      </c>
      <c r="D58" s="4">
        <v>44935</v>
      </c>
      <c r="E58" s="4">
        <v>44944</v>
      </c>
      <c r="F58" s="7">
        <v>12705</v>
      </c>
      <c r="G58" s="1">
        <v>45</v>
      </c>
      <c r="H58" s="1">
        <v>8</v>
      </c>
      <c r="I58" s="1">
        <v>49</v>
      </c>
      <c r="J58" s="1">
        <v>8</v>
      </c>
      <c r="K58" s="1">
        <v>58</v>
      </c>
      <c r="L58" s="1">
        <v>31</v>
      </c>
      <c r="N58" s="1">
        <v>16.1</v>
      </c>
      <c r="O58" s="7">
        <v>12705</v>
      </c>
      <c r="P58" s="4">
        <v>44935</v>
      </c>
      <c r="Q58" s="4">
        <v>44944</v>
      </c>
      <c r="R58" s="1" t="s">
        <v>73</v>
      </c>
      <c r="AO58" s="7">
        <v>12705</v>
      </c>
      <c r="AP58" s="5">
        <v>6.7</v>
      </c>
      <c r="AQ58" s="5">
        <v>96</v>
      </c>
      <c r="AR58" s="5">
        <v>32.1</v>
      </c>
      <c r="AS58" s="5" t="s">
        <v>81</v>
      </c>
      <c r="AT58" s="5">
        <v>19</v>
      </c>
      <c r="AU58" s="5">
        <v>7</v>
      </c>
      <c r="AV58" s="5">
        <v>35.8</v>
      </c>
      <c r="AW58" s="5">
        <v>22.26</v>
      </c>
      <c r="AX58" s="5">
        <v>167</v>
      </c>
      <c r="AY58" s="5">
        <v>36.62</v>
      </c>
      <c r="AZ58" s="5">
        <v>15.06</v>
      </c>
      <c r="BA58" s="5" t="s">
        <v>76</v>
      </c>
      <c r="BB58" s="12" t="s">
        <v>76</v>
      </c>
      <c r="BC58" s="5">
        <v>4.86</v>
      </c>
      <c r="BD58" s="5">
        <v>96</v>
      </c>
      <c r="BE58" s="5" t="s">
        <v>76</v>
      </c>
      <c r="BF58" s="5" t="s">
        <v>76</v>
      </c>
      <c r="BG58" s="15">
        <v>36.3</v>
      </c>
      <c r="BH58" s="5">
        <v>85</v>
      </c>
      <c r="BI58" s="5">
        <v>85</v>
      </c>
      <c r="BJ58" s="5">
        <v>18</v>
      </c>
      <c r="BK58" s="5">
        <v>116</v>
      </c>
      <c r="BL58" s="5">
        <v>52</v>
      </c>
      <c r="BM58" s="5">
        <v>60</v>
      </c>
      <c r="BN58" s="5">
        <v>160</v>
      </c>
      <c r="BO58" s="5">
        <f t="shared" si="0"/>
        <v>23.4375</v>
      </c>
      <c r="BP58" s="5" t="s">
        <v>121</v>
      </c>
      <c r="BQ58" s="5">
        <v>7.9</v>
      </c>
      <c r="BR58" s="5">
        <v>2576</v>
      </c>
    </row>
    <row r="59" s="1" customFormat="1" spans="1:70">
      <c r="A59" s="1">
        <v>3270463</v>
      </c>
      <c r="B59" s="1" t="s">
        <v>278</v>
      </c>
      <c r="D59" s="4">
        <v>44951</v>
      </c>
      <c r="E59" s="4">
        <v>44992</v>
      </c>
      <c r="F59" s="7">
        <v>12713</v>
      </c>
      <c r="G59" s="1">
        <v>40</v>
      </c>
      <c r="H59" s="1">
        <v>10</v>
      </c>
      <c r="I59" s="1">
        <v>47</v>
      </c>
      <c r="J59" s="1">
        <v>10</v>
      </c>
      <c r="K59" s="1">
        <v>58</v>
      </c>
      <c r="L59" s="1">
        <v>31</v>
      </c>
      <c r="M59" s="1">
        <v>0.81</v>
      </c>
      <c r="O59" s="7">
        <v>12713</v>
      </c>
      <c r="P59" s="4">
        <v>44951</v>
      </c>
      <c r="Q59" s="4">
        <v>44992</v>
      </c>
      <c r="R59" s="1" t="s">
        <v>80</v>
      </c>
      <c r="AO59" s="7">
        <v>12713</v>
      </c>
      <c r="AP59" s="5">
        <v>9.4</v>
      </c>
      <c r="AQ59" s="5">
        <v>98</v>
      </c>
      <c r="AR59" s="5">
        <v>42.5</v>
      </c>
      <c r="AS59" s="5">
        <v>9.9</v>
      </c>
      <c r="AT59" s="5">
        <v>67</v>
      </c>
      <c r="AU59" s="5">
        <v>9</v>
      </c>
      <c r="AV59" s="5">
        <v>40.9</v>
      </c>
      <c r="AW59" s="5">
        <v>9.85</v>
      </c>
      <c r="AX59" s="5">
        <v>87</v>
      </c>
      <c r="AY59" s="5" t="s">
        <v>125</v>
      </c>
      <c r="AZ59" s="5" t="s">
        <v>75</v>
      </c>
      <c r="BA59" s="5">
        <v>4.48</v>
      </c>
      <c r="BB59" s="12" t="s">
        <v>76</v>
      </c>
      <c r="BC59" s="5">
        <v>4.79</v>
      </c>
      <c r="BD59" s="5">
        <v>98</v>
      </c>
      <c r="BE59" s="5">
        <v>1.12</v>
      </c>
      <c r="BF59" s="5">
        <v>2.93</v>
      </c>
      <c r="BG59" s="15">
        <v>36.5</v>
      </c>
      <c r="BH59" s="5">
        <v>100</v>
      </c>
      <c r="BI59" s="5" t="s">
        <v>76</v>
      </c>
      <c r="BJ59" s="5">
        <v>20</v>
      </c>
      <c r="BK59" s="5">
        <v>184</v>
      </c>
      <c r="BL59" s="5">
        <v>106</v>
      </c>
      <c r="BM59" s="5">
        <v>70</v>
      </c>
      <c r="BN59" s="5">
        <v>155</v>
      </c>
      <c r="BO59" s="5">
        <f t="shared" si="0"/>
        <v>29.1363163371488</v>
      </c>
      <c r="BP59" s="5" t="s">
        <v>117</v>
      </c>
      <c r="BQ59" s="5">
        <v>6.1</v>
      </c>
      <c r="BR59" s="5">
        <v>8523</v>
      </c>
    </row>
    <row r="60" s="1" customFormat="1" spans="1:70">
      <c r="A60" s="1">
        <v>3272399</v>
      </c>
      <c r="B60" s="1" t="s">
        <v>279</v>
      </c>
      <c r="D60" s="4">
        <v>44954</v>
      </c>
      <c r="E60" s="4">
        <v>44963</v>
      </c>
      <c r="F60" s="7">
        <v>12749</v>
      </c>
      <c r="G60" s="1">
        <v>52</v>
      </c>
      <c r="H60" s="1">
        <v>9</v>
      </c>
      <c r="I60" s="1">
        <v>54</v>
      </c>
      <c r="J60" s="1">
        <v>9</v>
      </c>
      <c r="K60" s="1">
        <v>55</v>
      </c>
      <c r="L60" s="1">
        <v>29</v>
      </c>
      <c r="M60" s="1">
        <v>2.07</v>
      </c>
      <c r="N60" s="1">
        <v>14.8</v>
      </c>
      <c r="O60" s="7">
        <v>12749</v>
      </c>
      <c r="P60" s="4">
        <v>44954</v>
      </c>
      <c r="Q60" s="4">
        <v>44963</v>
      </c>
      <c r="R60" s="1" t="s">
        <v>73</v>
      </c>
      <c r="AO60" s="7">
        <v>12749</v>
      </c>
      <c r="AP60" s="5">
        <v>51.9</v>
      </c>
      <c r="AQ60" s="5">
        <v>115</v>
      </c>
      <c r="AR60" s="5">
        <v>38</v>
      </c>
      <c r="AS60" s="5">
        <v>13.6</v>
      </c>
      <c r="AT60" s="5">
        <v>26</v>
      </c>
      <c r="AU60" s="5">
        <v>14</v>
      </c>
      <c r="AV60" s="5">
        <v>29</v>
      </c>
      <c r="AW60" s="5">
        <v>7.94</v>
      </c>
      <c r="AX60" s="5">
        <v>67</v>
      </c>
      <c r="AY60" s="5">
        <v>76.59</v>
      </c>
      <c r="AZ60" s="5" t="s">
        <v>75</v>
      </c>
      <c r="BA60" s="5">
        <v>3.73</v>
      </c>
      <c r="BB60" s="12" t="s">
        <v>76</v>
      </c>
      <c r="BC60" s="5">
        <v>5.19</v>
      </c>
      <c r="BD60" s="5">
        <v>115</v>
      </c>
      <c r="BE60" s="5">
        <v>0.9</v>
      </c>
      <c r="BF60" s="5">
        <v>2.45</v>
      </c>
      <c r="BG60" s="15">
        <v>36.3</v>
      </c>
      <c r="BH60" s="5">
        <v>65</v>
      </c>
      <c r="BI60" s="5">
        <v>65</v>
      </c>
      <c r="BJ60" s="5">
        <v>20</v>
      </c>
      <c r="BK60" s="5">
        <v>120</v>
      </c>
      <c r="BL60" s="5">
        <v>80</v>
      </c>
      <c r="BM60" s="5">
        <v>55</v>
      </c>
      <c r="BN60" s="5">
        <v>160</v>
      </c>
      <c r="BO60" s="5">
        <f t="shared" si="0"/>
        <v>21.484375</v>
      </c>
      <c r="BP60" s="5" t="s">
        <v>121</v>
      </c>
      <c r="BQ60" s="5">
        <v>5.7</v>
      </c>
      <c r="BR60" s="5">
        <v>8494</v>
      </c>
    </row>
    <row r="61" s="1" customFormat="1" spans="1:70">
      <c r="A61" s="1">
        <v>3316957</v>
      </c>
      <c r="B61" s="1" t="s">
        <v>280</v>
      </c>
      <c r="D61" s="4">
        <v>45013</v>
      </c>
      <c r="E61" s="4">
        <v>45022</v>
      </c>
      <c r="F61" s="7">
        <v>12778</v>
      </c>
      <c r="G61" s="1">
        <v>48</v>
      </c>
      <c r="H61" s="1">
        <v>10</v>
      </c>
      <c r="I61" s="1">
        <v>62</v>
      </c>
      <c r="J61" s="1">
        <v>10</v>
      </c>
      <c r="K61" s="1">
        <v>46</v>
      </c>
      <c r="L61" s="1">
        <v>24</v>
      </c>
      <c r="M61" s="1">
        <v>0.81</v>
      </c>
      <c r="N61" s="1">
        <v>26.4</v>
      </c>
      <c r="O61" s="7">
        <v>12778</v>
      </c>
      <c r="P61" s="4">
        <v>45013</v>
      </c>
      <c r="Q61" s="4">
        <v>45022</v>
      </c>
      <c r="R61" s="1" t="s">
        <v>80</v>
      </c>
      <c r="AO61" s="7">
        <v>12778</v>
      </c>
      <c r="AP61" s="5" t="s">
        <v>76</v>
      </c>
      <c r="AQ61" s="5" t="s">
        <v>76</v>
      </c>
      <c r="AR61" s="5" t="s">
        <v>76</v>
      </c>
      <c r="AS61" s="5" t="s">
        <v>76</v>
      </c>
      <c r="AT61" s="5">
        <v>26</v>
      </c>
      <c r="AU61" s="5">
        <v>16</v>
      </c>
      <c r="AV61" s="5">
        <v>40.8</v>
      </c>
      <c r="AW61" s="5">
        <v>9.41</v>
      </c>
      <c r="AX61" s="5">
        <v>185</v>
      </c>
      <c r="AY61" s="5">
        <v>51.2</v>
      </c>
      <c r="AZ61" s="5" t="s">
        <v>75</v>
      </c>
      <c r="BA61" s="5">
        <v>5.64</v>
      </c>
      <c r="BB61" s="12" t="s">
        <v>76</v>
      </c>
      <c r="BC61" s="5">
        <v>4.22</v>
      </c>
      <c r="BD61" s="5" t="s">
        <v>76</v>
      </c>
      <c r="BE61" s="5">
        <v>1.09</v>
      </c>
      <c r="BF61" s="5">
        <v>3.77</v>
      </c>
      <c r="BG61" s="15">
        <v>36.6</v>
      </c>
      <c r="BH61" s="5">
        <v>78</v>
      </c>
      <c r="BI61" s="5">
        <v>78</v>
      </c>
      <c r="BJ61" s="5">
        <v>18</v>
      </c>
      <c r="BK61" s="5">
        <v>190</v>
      </c>
      <c r="BL61" s="5">
        <v>98</v>
      </c>
      <c r="BM61" s="5">
        <v>58</v>
      </c>
      <c r="BN61" s="5">
        <v>150</v>
      </c>
      <c r="BO61" s="5">
        <f t="shared" si="0"/>
        <v>25.7777777777778</v>
      </c>
      <c r="BP61" s="5" t="s">
        <v>78</v>
      </c>
      <c r="BQ61" s="5">
        <v>5.3</v>
      </c>
      <c r="BR61" s="5" t="s">
        <v>118</v>
      </c>
    </row>
    <row r="62" s="1" customFormat="1" spans="1:70">
      <c r="A62" s="1" t="s">
        <v>281</v>
      </c>
      <c r="B62" s="1" t="s">
        <v>282</v>
      </c>
      <c r="D62" s="4">
        <v>45278</v>
      </c>
      <c r="E62" s="4">
        <v>45288</v>
      </c>
      <c r="F62" s="7">
        <v>12782</v>
      </c>
      <c r="G62" s="1">
        <v>30</v>
      </c>
      <c r="H62" s="1">
        <v>8</v>
      </c>
      <c r="I62" s="1">
        <v>43</v>
      </c>
      <c r="J62" s="1">
        <v>8</v>
      </c>
      <c r="K62" s="1">
        <v>65</v>
      </c>
      <c r="L62" s="1">
        <v>35</v>
      </c>
      <c r="M62" s="1">
        <v>0.71</v>
      </c>
      <c r="N62" s="1">
        <v>9.9</v>
      </c>
      <c r="O62" s="7">
        <v>12782</v>
      </c>
      <c r="P62" s="4">
        <v>45278</v>
      </c>
      <c r="Q62" s="4">
        <v>45288</v>
      </c>
      <c r="R62" s="1" t="s">
        <v>73</v>
      </c>
      <c r="AO62" s="7">
        <v>12782</v>
      </c>
      <c r="AP62" s="5" t="s">
        <v>283</v>
      </c>
      <c r="AQ62" s="5" t="s">
        <v>284</v>
      </c>
      <c r="AR62" s="5" t="s">
        <v>285</v>
      </c>
      <c r="AS62" s="5" t="s">
        <v>286</v>
      </c>
      <c r="AT62" s="5" t="s">
        <v>287</v>
      </c>
      <c r="AU62" s="5" t="s">
        <v>225</v>
      </c>
      <c r="AV62" s="5" t="s">
        <v>288</v>
      </c>
      <c r="AW62" s="5" t="s">
        <v>289</v>
      </c>
      <c r="AX62" s="5" t="s">
        <v>290</v>
      </c>
      <c r="AY62" s="5" t="s">
        <v>291</v>
      </c>
      <c r="AZ62" s="5" t="s">
        <v>75</v>
      </c>
      <c r="BA62" s="5" t="s">
        <v>76</v>
      </c>
      <c r="BB62" s="12" t="s">
        <v>76</v>
      </c>
      <c r="BC62" s="5" t="s">
        <v>292</v>
      </c>
      <c r="BD62" s="5" t="s">
        <v>284</v>
      </c>
      <c r="BE62" s="5" t="s">
        <v>76</v>
      </c>
      <c r="BF62" s="5" t="s">
        <v>76</v>
      </c>
      <c r="BG62" s="15">
        <v>36.5</v>
      </c>
      <c r="BH62" s="5" t="s">
        <v>129</v>
      </c>
      <c r="BI62" s="5" t="s">
        <v>129</v>
      </c>
      <c r="BJ62" s="5" t="s">
        <v>293</v>
      </c>
      <c r="BK62" s="5" t="s">
        <v>294</v>
      </c>
      <c r="BL62" s="5" t="s">
        <v>295</v>
      </c>
      <c r="BM62" s="5" t="s">
        <v>186</v>
      </c>
      <c r="BN62" s="5">
        <v>164</v>
      </c>
      <c r="BO62" s="5">
        <f t="shared" si="0"/>
        <v>23.7953599048186</v>
      </c>
      <c r="BP62" s="5" t="s">
        <v>296</v>
      </c>
      <c r="BQ62" s="5" t="s">
        <v>76</v>
      </c>
      <c r="BR62" s="5">
        <v>3960</v>
      </c>
    </row>
    <row r="63" s="1" customFormat="1" spans="1:70">
      <c r="A63" s="1">
        <v>3261552</v>
      </c>
      <c r="B63" s="1" t="s">
        <v>297</v>
      </c>
      <c r="D63" s="4">
        <v>44930</v>
      </c>
      <c r="E63" s="4">
        <v>44942</v>
      </c>
      <c r="F63" s="7">
        <v>12783</v>
      </c>
      <c r="G63" s="1">
        <v>47</v>
      </c>
      <c r="H63" s="1">
        <v>8</v>
      </c>
      <c r="I63" s="1">
        <v>45</v>
      </c>
      <c r="J63" s="1">
        <v>8</v>
      </c>
      <c r="K63" s="1">
        <v>58</v>
      </c>
      <c r="L63" s="1">
        <v>31</v>
      </c>
      <c r="O63" s="7">
        <v>12783</v>
      </c>
      <c r="P63" s="4">
        <v>44930</v>
      </c>
      <c r="Q63" s="4">
        <v>44942</v>
      </c>
      <c r="R63" s="1" t="s">
        <v>73</v>
      </c>
      <c r="AO63" s="7">
        <v>12783</v>
      </c>
      <c r="AP63" s="5">
        <v>8.1</v>
      </c>
      <c r="AQ63" s="5">
        <v>111</v>
      </c>
      <c r="AR63" s="5">
        <v>42</v>
      </c>
      <c r="AS63" s="5">
        <v>5.3</v>
      </c>
      <c r="AT63" s="5">
        <v>45</v>
      </c>
      <c r="AU63" s="5">
        <v>8</v>
      </c>
      <c r="AV63" s="5">
        <v>30.7</v>
      </c>
      <c r="AW63" s="5">
        <v>9.59</v>
      </c>
      <c r="AX63" s="5">
        <v>68</v>
      </c>
      <c r="AY63" s="5">
        <v>75.29</v>
      </c>
      <c r="AZ63" s="5" t="s">
        <v>75</v>
      </c>
      <c r="BA63" s="5" t="s">
        <v>76</v>
      </c>
      <c r="BB63" s="12" t="s">
        <v>76</v>
      </c>
      <c r="BC63" s="5">
        <v>3.9</v>
      </c>
      <c r="BD63" s="5">
        <v>111</v>
      </c>
      <c r="BE63" s="5" t="s">
        <v>76</v>
      </c>
      <c r="BF63" s="5" t="s">
        <v>76</v>
      </c>
      <c r="BG63" s="15">
        <v>36.4</v>
      </c>
      <c r="BH63" s="5">
        <v>83</v>
      </c>
      <c r="BI63" s="5" t="s">
        <v>76</v>
      </c>
      <c r="BJ63" s="5">
        <v>24</v>
      </c>
      <c r="BK63" s="5">
        <v>130</v>
      </c>
      <c r="BL63" s="5">
        <v>83</v>
      </c>
      <c r="BM63" s="5" t="s">
        <v>274</v>
      </c>
      <c r="BN63" s="5" t="s">
        <v>274</v>
      </c>
      <c r="BO63" s="5" t="e">
        <f t="shared" si="0"/>
        <v>#VALUE!</v>
      </c>
      <c r="BP63" s="5" t="s">
        <v>109</v>
      </c>
      <c r="BQ63" s="5" t="s">
        <v>76</v>
      </c>
      <c r="BR63" s="5">
        <v>2680</v>
      </c>
    </row>
    <row r="64" s="1" customFormat="1" spans="1:70">
      <c r="A64" s="1">
        <v>3257323</v>
      </c>
      <c r="B64" s="1" t="s">
        <v>298</v>
      </c>
      <c r="C64" s="1" t="s">
        <v>273</v>
      </c>
      <c r="D64" s="4">
        <v>44923</v>
      </c>
      <c r="E64" s="4">
        <v>44927</v>
      </c>
      <c r="F64" s="7">
        <v>12798</v>
      </c>
      <c r="G64" s="1">
        <v>42</v>
      </c>
      <c r="H64" s="1">
        <v>7</v>
      </c>
      <c r="I64" s="1">
        <v>56</v>
      </c>
      <c r="J64" s="1">
        <v>9</v>
      </c>
      <c r="K64" s="1">
        <v>45</v>
      </c>
      <c r="M64" s="1">
        <v>0.44</v>
      </c>
      <c r="N64" s="1">
        <v>9.2</v>
      </c>
      <c r="O64" s="7">
        <v>12798</v>
      </c>
      <c r="P64" s="4">
        <v>44923</v>
      </c>
      <c r="Q64" s="4">
        <v>44927</v>
      </c>
      <c r="R64" s="1" t="s">
        <v>80</v>
      </c>
      <c r="AO64" s="7">
        <v>12798</v>
      </c>
      <c r="AP64" s="5">
        <v>4.7</v>
      </c>
      <c r="AQ64" s="5">
        <v>119</v>
      </c>
      <c r="AR64" s="5">
        <v>37.1</v>
      </c>
      <c r="AS64" s="5">
        <v>65.2</v>
      </c>
      <c r="AT64" s="5">
        <v>41</v>
      </c>
      <c r="AU64" s="5">
        <v>30</v>
      </c>
      <c r="AV64" s="5">
        <v>32.5</v>
      </c>
      <c r="AW64" s="5">
        <v>7.5</v>
      </c>
      <c r="AX64" s="5">
        <v>69</v>
      </c>
      <c r="AY64" s="5">
        <v>100</v>
      </c>
      <c r="AZ64" s="5" t="s">
        <v>75</v>
      </c>
      <c r="BA64" s="5">
        <v>2.8</v>
      </c>
      <c r="BB64" s="12" t="s">
        <v>76</v>
      </c>
      <c r="BC64" s="5" t="s">
        <v>76</v>
      </c>
      <c r="BD64" s="5">
        <v>119</v>
      </c>
      <c r="BE64" s="5">
        <v>0.92</v>
      </c>
      <c r="BF64" s="5">
        <v>1.38</v>
      </c>
      <c r="BG64" s="15">
        <v>36.5</v>
      </c>
      <c r="BH64" s="5">
        <v>82</v>
      </c>
      <c r="BI64" s="5">
        <v>82</v>
      </c>
      <c r="BJ64" s="5">
        <v>16</v>
      </c>
      <c r="BK64" s="5">
        <v>163</v>
      </c>
      <c r="BL64" s="5">
        <v>78</v>
      </c>
      <c r="BM64" s="5">
        <v>65</v>
      </c>
      <c r="BN64" s="5">
        <v>175</v>
      </c>
      <c r="BO64" s="5">
        <f t="shared" si="0"/>
        <v>21.2244897959184</v>
      </c>
      <c r="BP64" s="5" t="s">
        <v>164</v>
      </c>
      <c r="BQ64" s="5" t="s">
        <v>76</v>
      </c>
      <c r="BR64" s="5">
        <v>3713</v>
      </c>
    </row>
    <row r="65" s="1" customFormat="1" spans="1:70">
      <c r="A65" s="1">
        <v>3290692</v>
      </c>
      <c r="B65" s="1" t="s">
        <v>299</v>
      </c>
      <c r="D65" s="4">
        <v>44978</v>
      </c>
      <c r="E65" s="4">
        <v>44987</v>
      </c>
      <c r="F65" s="7">
        <v>12812</v>
      </c>
      <c r="G65" s="1">
        <v>53</v>
      </c>
      <c r="H65" s="1">
        <v>10</v>
      </c>
      <c r="I65" s="1">
        <v>52</v>
      </c>
      <c r="J65" s="1">
        <v>10</v>
      </c>
      <c r="K65" s="1">
        <v>51</v>
      </c>
      <c r="L65" s="1">
        <v>26</v>
      </c>
      <c r="M65" s="1">
        <v>2.6</v>
      </c>
      <c r="N65" s="1">
        <v>21.3</v>
      </c>
      <c r="O65" s="7">
        <v>12812</v>
      </c>
      <c r="P65" s="4">
        <v>44978</v>
      </c>
      <c r="Q65" s="4">
        <v>44987</v>
      </c>
      <c r="R65" s="1" t="s">
        <v>73</v>
      </c>
      <c r="AO65" s="7">
        <v>12812</v>
      </c>
      <c r="AP65" s="5">
        <v>7.7</v>
      </c>
      <c r="AQ65" s="5">
        <v>74</v>
      </c>
      <c r="AR65" s="5">
        <v>24.1</v>
      </c>
      <c r="AS65" s="5" t="s">
        <v>81</v>
      </c>
      <c r="AT65" s="5">
        <v>17</v>
      </c>
      <c r="AU65" s="5" t="s">
        <v>171</v>
      </c>
      <c r="AV65" s="5">
        <v>38.5</v>
      </c>
      <c r="AW65" s="5">
        <v>17.73</v>
      </c>
      <c r="AX65" s="5">
        <v>302</v>
      </c>
      <c r="AY65" s="5">
        <v>16.16</v>
      </c>
      <c r="AZ65" s="5" t="s">
        <v>75</v>
      </c>
      <c r="BA65" s="5">
        <v>2.35</v>
      </c>
      <c r="BB65" s="12" t="s">
        <v>76</v>
      </c>
      <c r="BC65" s="5" t="s">
        <v>4</v>
      </c>
      <c r="BD65" s="5">
        <v>74</v>
      </c>
      <c r="BE65" s="5" t="s">
        <v>76</v>
      </c>
      <c r="BF65" s="5" t="s">
        <v>76</v>
      </c>
      <c r="BG65" s="15">
        <v>36.5</v>
      </c>
      <c r="BH65" s="5">
        <v>80</v>
      </c>
      <c r="BI65" s="5" t="s">
        <v>76</v>
      </c>
      <c r="BJ65" s="5">
        <v>16</v>
      </c>
      <c r="BK65" s="5">
        <v>130</v>
      </c>
      <c r="BL65" s="5">
        <v>68</v>
      </c>
      <c r="BM65" s="5">
        <v>75</v>
      </c>
      <c r="BN65" s="5">
        <v>160</v>
      </c>
      <c r="BO65" s="5">
        <f t="shared" si="0"/>
        <v>29.296875</v>
      </c>
      <c r="BP65" s="5" t="s">
        <v>300</v>
      </c>
      <c r="BQ65" s="5">
        <v>4.7</v>
      </c>
      <c r="BR65" s="5">
        <v>17803</v>
      </c>
    </row>
    <row r="66" s="1" customFormat="1" spans="1:70">
      <c r="A66" s="1">
        <v>3246085</v>
      </c>
      <c r="B66" s="1" t="s">
        <v>301</v>
      </c>
      <c r="D66" s="4">
        <v>44893</v>
      </c>
      <c r="E66" s="4">
        <v>44897</v>
      </c>
      <c r="F66" s="7">
        <v>12873</v>
      </c>
      <c r="G66" s="1">
        <v>47</v>
      </c>
      <c r="H66" s="1">
        <v>12</v>
      </c>
      <c r="I66" s="1">
        <v>54</v>
      </c>
      <c r="J66" s="1">
        <v>12</v>
      </c>
      <c r="K66" s="1">
        <v>56</v>
      </c>
      <c r="L66" s="1">
        <v>29</v>
      </c>
      <c r="M66" s="9">
        <v>2</v>
      </c>
      <c r="N66" s="1">
        <v>12.9</v>
      </c>
      <c r="O66" s="7">
        <v>12873</v>
      </c>
      <c r="P66" s="4">
        <v>44893</v>
      </c>
      <c r="Q66" s="4">
        <v>44897</v>
      </c>
      <c r="R66" s="1" t="s">
        <v>80</v>
      </c>
      <c r="AO66" s="7">
        <v>12873</v>
      </c>
      <c r="AP66" s="5">
        <v>6.3</v>
      </c>
      <c r="AQ66" s="5">
        <v>146</v>
      </c>
      <c r="AR66" s="5">
        <v>44.8</v>
      </c>
      <c r="AS66" s="5" t="s">
        <v>81</v>
      </c>
      <c r="AT66" s="5">
        <v>14</v>
      </c>
      <c r="AU66" s="5">
        <v>14</v>
      </c>
      <c r="AV66" s="5">
        <v>33.4</v>
      </c>
      <c r="AW66" s="5">
        <v>6.58</v>
      </c>
      <c r="AX66" s="5">
        <v>89</v>
      </c>
      <c r="AY66" s="5">
        <v>74.55</v>
      </c>
      <c r="AZ66" s="5">
        <v>8.59</v>
      </c>
      <c r="BA66" s="5">
        <v>5.73</v>
      </c>
      <c r="BB66" s="12" t="s">
        <v>76</v>
      </c>
      <c r="BC66" s="5">
        <v>4.43</v>
      </c>
      <c r="BD66" s="5">
        <v>146</v>
      </c>
      <c r="BE66" s="5">
        <v>0.69</v>
      </c>
      <c r="BF66" s="5">
        <v>3.51</v>
      </c>
      <c r="BG66" s="15">
        <v>36.2</v>
      </c>
      <c r="BH66" s="5">
        <v>100</v>
      </c>
      <c r="BI66" s="5" t="s">
        <v>76</v>
      </c>
      <c r="BJ66" s="5">
        <v>18</v>
      </c>
      <c r="BK66" s="5">
        <v>108</v>
      </c>
      <c r="BL66" s="5">
        <v>70</v>
      </c>
      <c r="BM66" s="5">
        <v>85</v>
      </c>
      <c r="BN66" s="5">
        <v>173</v>
      </c>
      <c r="BO66" s="5">
        <f t="shared" si="0"/>
        <v>28.4005479635136</v>
      </c>
      <c r="BP66" s="5" t="s">
        <v>83</v>
      </c>
      <c r="BQ66" s="5">
        <v>8.6</v>
      </c>
      <c r="BR66" s="5">
        <v>2960</v>
      </c>
    </row>
    <row r="67" s="1" customFormat="1" spans="1:70">
      <c r="A67" s="1">
        <v>3269560</v>
      </c>
      <c r="B67" s="1" t="s">
        <v>302</v>
      </c>
      <c r="D67" s="4">
        <v>44949</v>
      </c>
      <c r="E67" s="4">
        <v>44970</v>
      </c>
      <c r="F67" s="7">
        <v>12879</v>
      </c>
      <c r="G67" s="1">
        <v>46</v>
      </c>
      <c r="H67" s="1">
        <v>9</v>
      </c>
      <c r="I67" s="1">
        <v>47</v>
      </c>
      <c r="J67" s="1">
        <v>9</v>
      </c>
      <c r="K67" s="1">
        <v>60</v>
      </c>
      <c r="L67" s="1">
        <v>32</v>
      </c>
      <c r="M67" s="1">
        <v>0.83</v>
      </c>
      <c r="N67" s="1">
        <v>15.6</v>
      </c>
      <c r="O67" s="7">
        <v>12879</v>
      </c>
      <c r="P67" s="4">
        <v>44949</v>
      </c>
      <c r="Q67" s="4">
        <v>44970</v>
      </c>
      <c r="R67" s="1" t="s">
        <v>73</v>
      </c>
      <c r="AO67" s="7">
        <v>12879</v>
      </c>
      <c r="AP67" s="5">
        <v>9.7</v>
      </c>
      <c r="AQ67" s="5">
        <v>96</v>
      </c>
      <c r="AR67" s="5">
        <v>31.7</v>
      </c>
      <c r="AS67" s="5">
        <v>22.3</v>
      </c>
      <c r="AT67" s="5">
        <v>41</v>
      </c>
      <c r="AU67" s="5">
        <v>35</v>
      </c>
      <c r="AV67" s="5" t="s">
        <v>303</v>
      </c>
      <c r="AW67" s="5">
        <v>14.75</v>
      </c>
      <c r="AX67" s="5">
        <v>93</v>
      </c>
      <c r="AY67" s="5">
        <v>82.42</v>
      </c>
      <c r="AZ67" s="5">
        <v>4.34</v>
      </c>
      <c r="BA67" s="5" t="s">
        <v>76</v>
      </c>
      <c r="BB67" s="12" t="s">
        <v>76</v>
      </c>
      <c r="BC67" s="5">
        <v>4.84</v>
      </c>
      <c r="BD67" s="5">
        <v>96</v>
      </c>
      <c r="BE67" s="5" t="s">
        <v>76</v>
      </c>
      <c r="BF67" s="5" t="s">
        <v>76</v>
      </c>
      <c r="BG67" s="15">
        <v>36.6</v>
      </c>
      <c r="BH67" s="5">
        <v>104</v>
      </c>
      <c r="BI67" s="5" t="s">
        <v>76</v>
      </c>
      <c r="BJ67" s="5">
        <v>16</v>
      </c>
      <c r="BK67" s="5">
        <v>148</v>
      </c>
      <c r="BL67" s="5">
        <v>59</v>
      </c>
      <c r="BM67" s="5" t="s">
        <v>274</v>
      </c>
      <c r="BN67" s="5" t="s">
        <v>274</v>
      </c>
      <c r="BO67" s="5" t="e">
        <f t="shared" ref="BO67:BO130" si="1">BM67/(BN67/100)^2</f>
        <v>#VALUE!</v>
      </c>
      <c r="BP67" s="5" t="s">
        <v>109</v>
      </c>
      <c r="BQ67" s="5" t="s">
        <v>76</v>
      </c>
      <c r="BR67" s="5">
        <v>3820</v>
      </c>
    </row>
    <row r="68" s="1" customFormat="1" spans="1:70">
      <c r="A68" s="1" t="s">
        <v>304</v>
      </c>
      <c r="B68" s="1" t="s">
        <v>305</v>
      </c>
      <c r="D68" s="4">
        <v>45252</v>
      </c>
      <c r="E68" s="4">
        <v>45265</v>
      </c>
      <c r="F68" s="7">
        <v>12886</v>
      </c>
      <c r="G68" s="1">
        <v>38</v>
      </c>
      <c r="H68" s="1">
        <v>10</v>
      </c>
      <c r="I68" s="1">
        <v>51</v>
      </c>
      <c r="J68" s="1">
        <v>10</v>
      </c>
      <c r="K68" s="1">
        <v>62</v>
      </c>
      <c r="L68" s="1">
        <v>34</v>
      </c>
      <c r="M68" s="1">
        <v>0.56</v>
      </c>
      <c r="O68" s="7">
        <v>12886</v>
      </c>
      <c r="P68" s="4">
        <v>45252</v>
      </c>
      <c r="Q68" s="4">
        <v>45265</v>
      </c>
      <c r="R68" s="1" t="s">
        <v>80</v>
      </c>
      <c r="AO68" s="7">
        <v>12886</v>
      </c>
      <c r="AP68" s="5" t="s">
        <v>306</v>
      </c>
      <c r="AQ68" s="5" t="s">
        <v>243</v>
      </c>
      <c r="AR68" s="5" t="s">
        <v>307</v>
      </c>
      <c r="AS68" s="5" t="s">
        <v>308</v>
      </c>
      <c r="AT68" s="5" t="s">
        <v>207</v>
      </c>
      <c r="AU68" s="5" t="s">
        <v>309</v>
      </c>
      <c r="AV68" s="5" t="s">
        <v>310</v>
      </c>
      <c r="AW68" s="5" t="s">
        <v>311</v>
      </c>
      <c r="AX68" s="5" t="s">
        <v>89</v>
      </c>
      <c r="AY68" s="5" t="s">
        <v>312</v>
      </c>
      <c r="AZ68" s="5" t="s">
        <v>313</v>
      </c>
      <c r="BA68" s="5" t="s">
        <v>314</v>
      </c>
      <c r="BB68" s="12" t="s">
        <v>76</v>
      </c>
      <c r="BC68" s="5" t="s">
        <v>315</v>
      </c>
      <c r="BD68" s="5" t="s">
        <v>243</v>
      </c>
      <c r="BE68" s="5" t="s">
        <v>316</v>
      </c>
      <c r="BF68" s="5" t="s">
        <v>317</v>
      </c>
      <c r="BG68" s="15">
        <v>36.5</v>
      </c>
      <c r="BH68" s="5" t="s">
        <v>318</v>
      </c>
      <c r="BI68" s="5" t="s">
        <v>318</v>
      </c>
      <c r="BJ68" s="5" t="s">
        <v>319</v>
      </c>
      <c r="BK68" s="5" t="s">
        <v>320</v>
      </c>
      <c r="BL68" s="5" t="s">
        <v>215</v>
      </c>
      <c r="BM68" s="5" t="s">
        <v>140</v>
      </c>
      <c r="BN68" s="5">
        <v>180</v>
      </c>
      <c r="BO68" s="5">
        <f t="shared" si="1"/>
        <v>24.6913580246914</v>
      </c>
      <c r="BP68" s="5" t="s">
        <v>321</v>
      </c>
      <c r="BQ68" s="5" t="s">
        <v>76</v>
      </c>
      <c r="BR68" s="5">
        <v>3317</v>
      </c>
    </row>
    <row r="69" s="1" customFormat="1" spans="1:70">
      <c r="A69" s="1">
        <v>3496648</v>
      </c>
      <c r="B69" s="1" t="s">
        <v>322</v>
      </c>
      <c r="D69" s="4">
        <v>45262</v>
      </c>
      <c r="E69" s="4">
        <v>45269</v>
      </c>
      <c r="F69" s="7">
        <v>12924</v>
      </c>
      <c r="G69" s="1">
        <v>38</v>
      </c>
      <c r="H69" s="1">
        <v>11</v>
      </c>
      <c r="I69" s="1">
        <v>48</v>
      </c>
      <c r="J69" s="1">
        <v>11</v>
      </c>
      <c r="K69" s="1">
        <v>52</v>
      </c>
      <c r="L69" s="1">
        <v>26</v>
      </c>
      <c r="M69" s="1">
        <v>0.52</v>
      </c>
      <c r="O69" s="7">
        <v>12924</v>
      </c>
      <c r="P69" s="4">
        <v>45262</v>
      </c>
      <c r="Q69" s="4">
        <v>45269</v>
      </c>
      <c r="R69" s="1" t="s">
        <v>80</v>
      </c>
      <c r="AO69" s="7">
        <v>12924</v>
      </c>
      <c r="AP69" s="5">
        <v>26</v>
      </c>
      <c r="AQ69" s="5">
        <v>122</v>
      </c>
      <c r="AR69" s="5">
        <v>66</v>
      </c>
      <c r="AS69" s="5">
        <v>87.4</v>
      </c>
      <c r="AT69" s="5">
        <v>25</v>
      </c>
      <c r="AU69" s="5">
        <v>8</v>
      </c>
      <c r="AV69" s="5">
        <v>38.2</v>
      </c>
      <c r="AW69" s="5">
        <v>17.04</v>
      </c>
      <c r="AX69" s="5">
        <v>96</v>
      </c>
      <c r="AY69" s="5">
        <v>68.16</v>
      </c>
      <c r="AZ69" s="5" t="s">
        <v>75</v>
      </c>
      <c r="BA69" s="5">
        <v>3.96</v>
      </c>
      <c r="BB69" s="12" t="s">
        <v>76</v>
      </c>
      <c r="BC69" s="5">
        <v>3.95</v>
      </c>
      <c r="BD69" s="5">
        <v>122</v>
      </c>
      <c r="BE69" s="5">
        <v>0.97</v>
      </c>
      <c r="BF69" s="5">
        <v>2.19</v>
      </c>
      <c r="BG69" s="15">
        <v>36.6</v>
      </c>
      <c r="BH69" s="5">
        <v>70</v>
      </c>
      <c r="BI69" s="5">
        <v>70</v>
      </c>
      <c r="BJ69" s="5">
        <v>20</v>
      </c>
      <c r="BK69" s="5">
        <v>112</v>
      </c>
      <c r="BL69" s="5">
        <v>73</v>
      </c>
      <c r="BM69" s="5">
        <v>60</v>
      </c>
      <c r="BN69" s="5">
        <v>165</v>
      </c>
      <c r="BO69" s="5">
        <f t="shared" si="1"/>
        <v>22.038567493113</v>
      </c>
      <c r="BP69" s="5" t="s">
        <v>323</v>
      </c>
      <c r="BQ69" s="5" t="s">
        <v>76</v>
      </c>
      <c r="BR69" s="5">
        <v>8258.73</v>
      </c>
    </row>
    <row r="70" s="1" customFormat="1" spans="1:70">
      <c r="A70" s="1" t="s">
        <v>324</v>
      </c>
      <c r="B70" s="1" t="s">
        <v>325</v>
      </c>
      <c r="D70" s="4">
        <v>44925</v>
      </c>
      <c r="E70" s="4">
        <v>44935</v>
      </c>
      <c r="F70" s="7">
        <v>12942</v>
      </c>
      <c r="G70" s="1">
        <v>29</v>
      </c>
      <c r="H70" s="1">
        <v>9</v>
      </c>
      <c r="I70" s="1">
        <v>45</v>
      </c>
      <c r="J70" s="1">
        <v>9</v>
      </c>
      <c r="K70" s="1">
        <v>58</v>
      </c>
      <c r="L70" s="1">
        <v>31</v>
      </c>
      <c r="M70" s="1">
        <v>0.55</v>
      </c>
      <c r="N70" s="1">
        <v>14.5</v>
      </c>
      <c r="O70" s="7">
        <v>12942</v>
      </c>
      <c r="P70" s="4">
        <v>44925</v>
      </c>
      <c r="Q70" s="4">
        <v>44935</v>
      </c>
      <c r="R70" s="1" t="s">
        <v>73</v>
      </c>
      <c r="AO70" s="7">
        <v>12942</v>
      </c>
      <c r="AP70" s="5" t="s">
        <v>326</v>
      </c>
      <c r="AQ70" s="5" t="s">
        <v>327</v>
      </c>
      <c r="AR70" s="5" t="s">
        <v>328</v>
      </c>
      <c r="AS70" s="5" t="s">
        <v>76</v>
      </c>
      <c r="AT70" s="5" t="s">
        <v>101</v>
      </c>
      <c r="AU70" s="5" t="s">
        <v>171</v>
      </c>
      <c r="AV70" s="5" t="s">
        <v>329</v>
      </c>
      <c r="AW70" s="5" t="s">
        <v>330</v>
      </c>
      <c r="AX70" s="5" t="s">
        <v>331</v>
      </c>
      <c r="AY70" s="5" t="s">
        <v>332</v>
      </c>
      <c r="AZ70" s="5" t="s">
        <v>333</v>
      </c>
      <c r="BA70" s="5" t="s">
        <v>76</v>
      </c>
      <c r="BB70" s="12" t="s">
        <v>76</v>
      </c>
      <c r="BC70" s="5" t="s">
        <v>334</v>
      </c>
      <c r="BD70" s="5" t="s">
        <v>327</v>
      </c>
      <c r="BE70" s="5" t="s">
        <v>76</v>
      </c>
      <c r="BF70" s="5" t="s">
        <v>76</v>
      </c>
      <c r="BG70" s="15">
        <v>36.6</v>
      </c>
      <c r="BH70" s="5" t="s">
        <v>100</v>
      </c>
      <c r="BI70" s="5" t="s">
        <v>100</v>
      </c>
      <c r="BJ70" s="5" t="s">
        <v>101</v>
      </c>
      <c r="BK70" s="5" t="s">
        <v>335</v>
      </c>
      <c r="BL70" s="5" t="s">
        <v>336</v>
      </c>
      <c r="BM70" s="5" t="s">
        <v>77</v>
      </c>
      <c r="BN70" s="5" t="s">
        <v>77</v>
      </c>
      <c r="BO70" s="5" t="e">
        <f t="shared" si="1"/>
        <v>#VALUE!</v>
      </c>
      <c r="BP70" s="5" t="s">
        <v>337</v>
      </c>
      <c r="BQ70" s="5" t="s">
        <v>76</v>
      </c>
      <c r="BR70" s="5">
        <v>4256</v>
      </c>
    </row>
    <row r="71" s="1" customFormat="1" spans="1:70">
      <c r="A71" s="1">
        <v>3290868</v>
      </c>
      <c r="B71" s="1" t="s">
        <v>338</v>
      </c>
      <c r="D71" s="4">
        <v>44978</v>
      </c>
      <c r="E71" s="4">
        <v>44991</v>
      </c>
      <c r="F71" s="7">
        <v>12992</v>
      </c>
      <c r="G71" s="1">
        <v>34</v>
      </c>
      <c r="H71" s="1">
        <v>9</v>
      </c>
      <c r="I71" s="1">
        <v>52</v>
      </c>
      <c r="J71" s="1">
        <v>9</v>
      </c>
      <c r="K71" s="1">
        <v>58</v>
      </c>
      <c r="L71" s="1">
        <v>31</v>
      </c>
      <c r="M71" s="1">
        <v>0.6</v>
      </c>
      <c r="N71" s="1">
        <v>14.9</v>
      </c>
      <c r="O71" s="7">
        <v>12992</v>
      </c>
      <c r="P71" s="4">
        <v>44978</v>
      </c>
      <c r="Q71" s="4">
        <v>44991</v>
      </c>
      <c r="R71" s="1" t="s">
        <v>80</v>
      </c>
      <c r="AO71" s="7">
        <v>12992</v>
      </c>
      <c r="AP71" s="5">
        <v>6.5</v>
      </c>
      <c r="AQ71" s="5">
        <v>93</v>
      </c>
      <c r="AR71" s="5">
        <v>33.7</v>
      </c>
      <c r="AS71" s="5">
        <v>95.4</v>
      </c>
      <c r="AT71" s="5">
        <v>49</v>
      </c>
      <c r="AU71" s="5">
        <v>42</v>
      </c>
      <c r="AV71" s="5">
        <v>33.1</v>
      </c>
      <c r="AW71" s="5">
        <v>8.14</v>
      </c>
      <c r="AX71" s="5">
        <v>50</v>
      </c>
      <c r="AY71" s="5" t="s">
        <v>125</v>
      </c>
      <c r="AZ71" s="5" t="s">
        <v>75</v>
      </c>
      <c r="BA71" s="5">
        <v>4.13</v>
      </c>
      <c r="BB71" s="12" t="s">
        <v>76</v>
      </c>
      <c r="BC71" s="5">
        <v>4.79</v>
      </c>
      <c r="BD71" s="5">
        <v>93</v>
      </c>
      <c r="BE71" s="5">
        <v>0.61</v>
      </c>
      <c r="BF71" s="5">
        <v>2.85</v>
      </c>
      <c r="BG71" s="15">
        <v>36.1</v>
      </c>
      <c r="BH71" s="5">
        <v>82</v>
      </c>
      <c r="BI71" s="5">
        <v>82</v>
      </c>
      <c r="BJ71" s="5">
        <v>16</v>
      </c>
      <c r="BK71" s="5">
        <v>149</v>
      </c>
      <c r="BL71" s="5">
        <v>102</v>
      </c>
      <c r="BM71" s="5">
        <v>61</v>
      </c>
      <c r="BN71" s="5">
        <v>176</v>
      </c>
      <c r="BO71" s="5">
        <f t="shared" si="1"/>
        <v>19.6926652892562</v>
      </c>
      <c r="BP71" s="5" t="s">
        <v>271</v>
      </c>
      <c r="BQ71" s="5">
        <v>5.4</v>
      </c>
      <c r="BR71" s="5">
        <v>8103</v>
      </c>
    </row>
    <row r="72" s="1" customFormat="1" spans="1:70">
      <c r="A72" s="1" t="s">
        <v>339</v>
      </c>
      <c r="B72" s="1" t="s">
        <v>340</v>
      </c>
      <c r="D72" s="4">
        <v>44991</v>
      </c>
      <c r="E72" s="4">
        <v>45003</v>
      </c>
      <c r="F72" s="7">
        <v>13006</v>
      </c>
      <c r="G72" s="1">
        <v>34</v>
      </c>
      <c r="H72" s="1">
        <v>9</v>
      </c>
      <c r="I72" s="1">
        <v>44</v>
      </c>
      <c r="J72" s="1">
        <v>9</v>
      </c>
      <c r="K72" s="1">
        <v>60</v>
      </c>
      <c r="L72" s="1">
        <v>32</v>
      </c>
      <c r="M72" s="1">
        <v>2.03</v>
      </c>
      <c r="N72" s="1">
        <v>7</v>
      </c>
      <c r="O72" s="7">
        <v>13006</v>
      </c>
      <c r="P72" s="4">
        <v>44991</v>
      </c>
      <c r="Q72" s="4">
        <v>45003</v>
      </c>
      <c r="R72" s="1" t="s">
        <v>80</v>
      </c>
      <c r="AO72" s="7">
        <v>13006</v>
      </c>
      <c r="AP72" s="5" t="s">
        <v>341</v>
      </c>
      <c r="AQ72" s="5" t="s">
        <v>295</v>
      </c>
      <c r="AR72" s="5" t="s">
        <v>342</v>
      </c>
      <c r="AS72" s="5" t="s">
        <v>343</v>
      </c>
      <c r="AT72" s="5" t="s">
        <v>309</v>
      </c>
      <c r="AU72" s="5" t="s">
        <v>344</v>
      </c>
      <c r="AV72" s="5" t="s">
        <v>345</v>
      </c>
      <c r="AW72" s="5" t="s">
        <v>346</v>
      </c>
      <c r="AX72" s="5" t="s">
        <v>347</v>
      </c>
      <c r="AY72" s="5" t="s">
        <v>348</v>
      </c>
      <c r="AZ72" s="5" t="s">
        <v>76</v>
      </c>
      <c r="BA72" s="5" t="s">
        <v>76</v>
      </c>
      <c r="BB72" s="12" t="s">
        <v>76</v>
      </c>
      <c r="BC72" s="5" t="s">
        <v>349</v>
      </c>
      <c r="BD72" s="5" t="s">
        <v>295</v>
      </c>
      <c r="BE72" s="5" t="s">
        <v>76</v>
      </c>
      <c r="BF72" s="5" t="s">
        <v>76</v>
      </c>
      <c r="BG72" s="15">
        <v>36.5</v>
      </c>
      <c r="BH72" s="5" t="s">
        <v>350</v>
      </c>
      <c r="BI72" s="5" t="s">
        <v>350</v>
      </c>
      <c r="BJ72" s="5" t="s">
        <v>101</v>
      </c>
      <c r="BK72" s="5" t="s">
        <v>351</v>
      </c>
      <c r="BL72" s="5" t="s">
        <v>336</v>
      </c>
      <c r="BM72" s="5" t="s">
        <v>352</v>
      </c>
      <c r="BN72" s="5">
        <v>155</v>
      </c>
      <c r="BO72" s="5">
        <f t="shared" si="1"/>
        <v>22.8928199791883</v>
      </c>
      <c r="BP72" s="5" t="s">
        <v>353</v>
      </c>
      <c r="BQ72" s="5" t="s">
        <v>76</v>
      </c>
      <c r="BR72" s="5">
        <v>4473</v>
      </c>
    </row>
    <row r="73" s="1" customFormat="1" spans="1:70">
      <c r="A73" s="1">
        <v>3257077</v>
      </c>
      <c r="B73" s="1" t="s">
        <v>354</v>
      </c>
      <c r="D73" s="4">
        <v>44923</v>
      </c>
      <c r="E73" s="4">
        <v>44939</v>
      </c>
      <c r="F73" s="7">
        <v>13019</v>
      </c>
      <c r="G73" s="1">
        <v>30</v>
      </c>
      <c r="H73" s="1">
        <v>8</v>
      </c>
      <c r="I73" s="1">
        <v>43</v>
      </c>
      <c r="J73" s="1">
        <v>8</v>
      </c>
      <c r="K73" s="1">
        <v>56</v>
      </c>
      <c r="L73" s="1">
        <v>29</v>
      </c>
      <c r="N73" s="1">
        <v>13.4</v>
      </c>
      <c r="O73" s="7">
        <v>13019</v>
      </c>
      <c r="P73" s="4">
        <v>44923</v>
      </c>
      <c r="Q73" s="4">
        <v>44939</v>
      </c>
      <c r="R73" s="1" t="s">
        <v>73</v>
      </c>
      <c r="AO73" s="7">
        <v>13019</v>
      </c>
      <c r="AP73" s="5">
        <v>4.2</v>
      </c>
      <c r="AQ73" s="5">
        <v>115</v>
      </c>
      <c r="AR73" s="5">
        <v>37</v>
      </c>
      <c r="AS73" s="5">
        <v>2.6</v>
      </c>
      <c r="AT73" s="5">
        <v>40</v>
      </c>
      <c r="AU73" s="5">
        <v>12</v>
      </c>
      <c r="AV73" s="5">
        <v>41.2</v>
      </c>
      <c r="AW73" s="5">
        <v>6.73</v>
      </c>
      <c r="AX73" s="5">
        <v>91</v>
      </c>
      <c r="AY73" s="5">
        <v>58.33</v>
      </c>
      <c r="AZ73" s="5" t="s">
        <v>75</v>
      </c>
      <c r="BA73" s="5">
        <v>4.58</v>
      </c>
      <c r="BB73" s="12" t="s">
        <v>76</v>
      </c>
      <c r="BC73" s="5">
        <v>4.25</v>
      </c>
      <c r="BD73" s="5">
        <v>115</v>
      </c>
      <c r="BE73" s="5">
        <v>1.28</v>
      </c>
      <c r="BF73" s="5">
        <v>2.89</v>
      </c>
      <c r="BG73" s="15">
        <v>36.5</v>
      </c>
      <c r="BH73" s="5" t="s">
        <v>76</v>
      </c>
      <c r="BI73" s="5">
        <v>65</v>
      </c>
      <c r="BJ73" s="5">
        <v>18</v>
      </c>
      <c r="BK73" s="5">
        <v>113</v>
      </c>
      <c r="BL73" s="5">
        <v>61</v>
      </c>
      <c r="BM73" s="5">
        <v>35</v>
      </c>
      <c r="BN73" s="5">
        <v>158</v>
      </c>
      <c r="BO73" s="5">
        <f t="shared" si="1"/>
        <v>14.0201890722641</v>
      </c>
      <c r="BP73" s="5" t="s">
        <v>78</v>
      </c>
      <c r="BQ73" s="5">
        <v>5.3</v>
      </c>
      <c r="BR73" s="5">
        <v>2655</v>
      </c>
    </row>
    <row r="74" s="1" customFormat="1" spans="1:70">
      <c r="A74" s="1">
        <v>3254989</v>
      </c>
      <c r="B74" s="1" t="s">
        <v>355</v>
      </c>
      <c r="D74" s="4">
        <v>44917</v>
      </c>
      <c r="E74" s="4">
        <v>44938</v>
      </c>
      <c r="F74" s="7">
        <v>13043</v>
      </c>
      <c r="G74" s="1">
        <v>39</v>
      </c>
      <c r="H74" s="1">
        <v>10</v>
      </c>
      <c r="I74" s="1">
        <v>50</v>
      </c>
      <c r="J74" s="1">
        <v>10</v>
      </c>
      <c r="K74" s="1">
        <v>56</v>
      </c>
      <c r="L74" s="1">
        <v>29</v>
      </c>
      <c r="N74" s="1">
        <v>13.5</v>
      </c>
      <c r="O74" s="7">
        <v>13043</v>
      </c>
      <c r="P74" s="4">
        <v>44917</v>
      </c>
      <c r="Q74" s="4">
        <v>44938</v>
      </c>
      <c r="R74" s="1" t="s">
        <v>80</v>
      </c>
      <c r="AO74" s="7">
        <v>13043</v>
      </c>
      <c r="AP74" s="5">
        <v>8.7</v>
      </c>
      <c r="AQ74" s="5">
        <v>132</v>
      </c>
      <c r="AR74" s="5">
        <v>42.4</v>
      </c>
      <c r="AS74" s="5">
        <v>47.2</v>
      </c>
      <c r="AT74" s="5">
        <v>75</v>
      </c>
      <c r="AU74" s="5">
        <v>95</v>
      </c>
      <c r="AV74" s="5">
        <v>34.8</v>
      </c>
      <c r="AW74" s="5">
        <v>8.84</v>
      </c>
      <c r="AX74" s="5">
        <v>96</v>
      </c>
      <c r="AY74" s="5">
        <v>73.6</v>
      </c>
      <c r="AZ74" s="5" t="s">
        <v>75</v>
      </c>
      <c r="BA74" s="5" t="s">
        <v>76</v>
      </c>
      <c r="BB74" s="12" t="s">
        <v>76</v>
      </c>
      <c r="BC74" s="5">
        <v>4.75</v>
      </c>
      <c r="BD74" s="5">
        <v>132</v>
      </c>
      <c r="BE74" s="5" t="s">
        <v>76</v>
      </c>
      <c r="BF74" s="5" t="s">
        <v>76</v>
      </c>
      <c r="BG74" s="15">
        <v>36.8</v>
      </c>
      <c r="BH74" s="5">
        <v>102</v>
      </c>
      <c r="BI74" s="5" t="s">
        <v>76</v>
      </c>
      <c r="BJ74" s="5">
        <v>23</v>
      </c>
      <c r="BK74" s="5">
        <v>148</v>
      </c>
      <c r="BL74" s="5">
        <v>80</v>
      </c>
      <c r="BM74" s="5" t="s">
        <v>82</v>
      </c>
      <c r="BN74" s="5" t="s">
        <v>82</v>
      </c>
      <c r="BO74" s="5" t="e">
        <f t="shared" si="1"/>
        <v>#VALUE!</v>
      </c>
      <c r="BP74" s="5" t="s">
        <v>168</v>
      </c>
      <c r="BQ74" s="5" t="s">
        <v>76</v>
      </c>
      <c r="BR74" s="5">
        <v>9173</v>
      </c>
    </row>
    <row r="75" s="1" customFormat="1" spans="1:70">
      <c r="A75" s="1">
        <v>3496728</v>
      </c>
      <c r="B75" s="1" t="s">
        <v>356</v>
      </c>
      <c r="D75" s="4">
        <v>45262</v>
      </c>
      <c r="E75" s="4">
        <v>45275</v>
      </c>
      <c r="F75" s="7">
        <v>13048</v>
      </c>
      <c r="G75" s="1">
        <v>42</v>
      </c>
      <c r="H75" s="1">
        <v>8</v>
      </c>
      <c r="I75" s="1">
        <v>39</v>
      </c>
      <c r="J75" s="1">
        <v>8</v>
      </c>
      <c r="K75" s="1">
        <v>68</v>
      </c>
      <c r="L75" s="1">
        <v>37</v>
      </c>
      <c r="M75" s="1">
        <v>2.16</v>
      </c>
      <c r="N75" s="1">
        <v>20</v>
      </c>
      <c r="O75" s="7">
        <v>13048</v>
      </c>
      <c r="P75" s="4">
        <v>45262</v>
      </c>
      <c r="Q75" s="4">
        <v>45275</v>
      </c>
      <c r="R75" s="1" t="s">
        <v>73</v>
      </c>
      <c r="AO75" s="7">
        <v>13048</v>
      </c>
      <c r="AP75" s="5">
        <v>8.2</v>
      </c>
      <c r="AQ75" s="5">
        <v>98</v>
      </c>
      <c r="AR75" s="5">
        <v>30.1</v>
      </c>
      <c r="AS75" s="5">
        <v>2.2</v>
      </c>
      <c r="AT75" s="5">
        <v>54</v>
      </c>
      <c r="AU75" s="5">
        <v>46</v>
      </c>
      <c r="AV75" s="5">
        <v>40.6</v>
      </c>
      <c r="AW75" s="5">
        <v>7</v>
      </c>
      <c r="AX75" s="5">
        <v>50</v>
      </c>
      <c r="AY75" s="5" t="s">
        <v>125</v>
      </c>
      <c r="AZ75" s="5">
        <v>9.3</v>
      </c>
      <c r="BA75" s="5">
        <v>3.48</v>
      </c>
      <c r="BB75" s="12" t="s">
        <v>76</v>
      </c>
      <c r="BC75" s="5">
        <v>4.02</v>
      </c>
      <c r="BD75" s="5">
        <v>98</v>
      </c>
      <c r="BE75" s="5">
        <v>1.24</v>
      </c>
      <c r="BF75" s="5">
        <v>1.15</v>
      </c>
      <c r="BG75" s="15">
        <v>36.5</v>
      </c>
      <c r="BH75" s="5">
        <v>60</v>
      </c>
      <c r="BI75" s="5">
        <v>70</v>
      </c>
      <c r="BJ75" s="5">
        <v>17</v>
      </c>
      <c r="BK75" s="5">
        <v>146</v>
      </c>
      <c r="BL75" s="5">
        <v>48</v>
      </c>
      <c r="BM75" s="5" t="s">
        <v>77</v>
      </c>
      <c r="BN75" s="5" t="s">
        <v>77</v>
      </c>
      <c r="BO75" s="5" t="e">
        <f t="shared" si="1"/>
        <v>#VALUE!</v>
      </c>
      <c r="BP75" s="5" t="s">
        <v>357</v>
      </c>
      <c r="BQ75" s="5">
        <v>5.6</v>
      </c>
      <c r="BR75" s="5">
        <v>2710</v>
      </c>
    </row>
    <row r="76" s="1" customFormat="1" spans="1:70">
      <c r="A76" s="1">
        <v>3324311</v>
      </c>
      <c r="B76" s="1" t="s">
        <v>358</v>
      </c>
      <c r="D76" s="4">
        <v>45024</v>
      </c>
      <c r="E76" s="4">
        <v>45031</v>
      </c>
      <c r="F76" s="7">
        <v>13061</v>
      </c>
      <c r="G76" s="1">
        <v>35</v>
      </c>
      <c r="H76" s="1">
        <v>10</v>
      </c>
      <c r="I76" s="1">
        <v>58</v>
      </c>
      <c r="J76" s="1">
        <v>9</v>
      </c>
      <c r="K76" s="1">
        <v>42</v>
      </c>
      <c r="L76" s="1">
        <v>21</v>
      </c>
      <c r="M76" s="9">
        <v>0.4</v>
      </c>
      <c r="N76" s="1">
        <v>14.6</v>
      </c>
      <c r="O76" s="7">
        <v>13061</v>
      </c>
      <c r="P76" s="4">
        <v>45024</v>
      </c>
      <c r="Q76" s="4">
        <v>45031</v>
      </c>
      <c r="R76" s="1" t="s">
        <v>73</v>
      </c>
      <c r="AO76" s="7">
        <v>13061</v>
      </c>
      <c r="AP76" s="5">
        <v>7</v>
      </c>
      <c r="AQ76" s="5">
        <v>97</v>
      </c>
      <c r="AR76" s="5">
        <v>35.3</v>
      </c>
      <c r="AS76" s="5">
        <v>7.5</v>
      </c>
      <c r="AT76" s="5">
        <v>44</v>
      </c>
      <c r="AU76" s="5">
        <v>29</v>
      </c>
      <c r="AV76" s="5">
        <v>41.9</v>
      </c>
      <c r="AW76" s="5">
        <v>9.94</v>
      </c>
      <c r="AX76" s="5">
        <v>126</v>
      </c>
      <c r="AY76" s="5">
        <v>45.71</v>
      </c>
      <c r="AZ76" s="5">
        <v>5.38</v>
      </c>
      <c r="BA76" s="5">
        <v>6.39</v>
      </c>
      <c r="BB76" s="12" t="s">
        <v>76</v>
      </c>
      <c r="BC76" s="5">
        <v>4.39</v>
      </c>
      <c r="BD76" s="5">
        <v>97</v>
      </c>
      <c r="BE76" s="5">
        <v>1.46</v>
      </c>
      <c r="BF76" s="5">
        <v>4.13</v>
      </c>
      <c r="BG76" s="15">
        <v>36.3</v>
      </c>
      <c r="BH76" s="5">
        <v>80</v>
      </c>
      <c r="BI76" s="5">
        <v>80</v>
      </c>
      <c r="BJ76" s="5">
        <v>16</v>
      </c>
      <c r="BK76" s="5">
        <v>128</v>
      </c>
      <c r="BL76" s="5">
        <v>57</v>
      </c>
      <c r="BM76" s="5">
        <v>48</v>
      </c>
      <c r="BN76" s="5">
        <v>155</v>
      </c>
      <c r="BO76" s="5">
        <f t="shared" si="1"/>
        <v>19.9791883454735</v>
      </c>
      <c r="BP76" s="5" t="s">
        <v>323</v>
      </c>
      <c r="BQ76" s="5">
        <v>5.7</v>
      </c>
      <c r="BR76" s="5">
        <v>7534</v>
      </c>
    </row>
    <row r="77" s="1" customFormat="1" spans="1:70">
      <c r="A77" s="1">
        <v>3245471</v>
      </c>
      <c r="B77" s="1" t="s">
        <v>359</v>
      </c>
      <c r="D77" s="4">
        <v>44893</v>
      </c>
      <c r="E77" s="4">
        <v>44903</v>
      </c>
      <c r="F77" s="7">
        <v>13082</v>
      </c>
      <c r="G77" s="1">
        <v>43</v>
      </c>
      <c r="H77" s="1">
        <v>10</v>
      </c>
      <c r="I77" s="1">
        <v>50</v>
      </c>
      <c r="J77" s="1">
        <v>8</v>
      </c>
      <c r="K77" s="1">
        <v>38</v>
      </c>
      <c r="L77" s="1">
        <v>19</v>
      </c>
      <c r="N77" s="1">
        <v>13.2</v>
      </c>
      <c r="O77" s="7">
        <v>13082</v>
      </c>
      <c r="P77" s="4">
        <v>44893</v>
      </c>
      <c r="Q77" s="4">
        <v>44903</v>
      </c>
      <c r="R77" s="1" t="s">
        <v>80</v>
      </c>
      <c r="AO77" s="7">
        <v>13082</v>
      </c>
      <c r="AP77" s="5">
        <v>7.3</v>
      </c>
      <c r="AQ77" s="5">
        <v>164</v>
      </c>
      <c r="AR77" s="5">
        <v>51.5</v>
      </c>
      <c r="AS77" s="5">
        <v>8.9</v>
      </c>
      <c r="AT77" s="5">
        <v>24</v>
      </c>
      <c r="AU77" s="5">
        <v>8</v>
      </c>
      <c r="AV77" s="5">
        <v>42.2</v>
      </c>
      <c r="AW77" s="5">
        <v>9.89</v>
      </c>
      <c r="AX77" s="5">
        <v>90</v>
      </c>
      <c r="AY77" s="5">
        <v>85.54</v>
      </c>
      <c r="AZ77" s="5" t="s">
        <v>75</v>
      </c>
      <c r="BA77" s="5">
        <v>5.41</v>
      </c>
      <c r="BB77" s="12" t="s">
        <v>76</v>
      </c>
      <c r="BC77" s="5">
        <v>4.17</v>
      </c>
      <c r="BD77" s="5">
        <v>164</v>
      </c>
      <c r="BE77" s="5">
        <v>1.3</v>
      </c>
      <c r="BF77" s="5">
        <v>3.29</v>
      </c>
      <c r="BG77" s="15">
        <v>36</v>
      </c>
      <c r="BH77" s="5">
        <v>138</v>
      </c>
      <c r="BI77" s="5">
        <v>146</v>
      </c>
      <c r="BJ77" s="5">
        <v>20</v>
      </c>
      <c r="BK77" s="5">
        <v>102</v>
      </c>
      <c r="BL77" s="5">
        <v>74</v>
      </c>
      <c r="BM77" s="5" t="s">
        <v>77</v>
      </c>
      <c r="BN77" s="5">
        <v>174</v>
      </c>
      <c r="BO77" s="5" t="e">
        <f t="shared" si="1"/>
        <v>#VALUE!</v>
      </c>
      <c r="BP77" s="5" t="s">
        <v>83</v>
      </c>
      <c r="BQ77" s="5">
        <v>5.2</v>
      </c>
      <c r="BR77" s="5">
        <v>2865</v>
      </c>
    </row>
    <row r="78" s="1" customFormat="1" spans="1:70">
      <c r="A78" s="1">
        <v>3251247</v>
      </c>
      <c r="B78" s="1" t="s">
        <v>360</v>
      </c>
      <c r="D78" s="4">
        <v>44903</v>
      </c>
      <c r="E78" s="4">
        <v>44909</v>
      </c>
      <c r="F78" s="7">
        <v>13094</v>
      </c>
      <c r="G78" s="1">
        <v>40</v>
      </c>
      <c r="H78" s="1">
        <v>9</v>
      </c>
      <c r="I78" s="1">
        <v>48</v>
      </c>
      <c r="J78" s="1">
        <v>9</v>
      </c>
      <c r="K78" s="1">
        <v>59</v>
      </c>
      <c r="L78" s="1">
        <v>32</v>
      </c>
      <c r="M78" s="1">
        <v>0.86</v>
      </c>
      <c r="N78" s="1">
        <v>9.8</v>
      </c>
      <c r="O78" s="7">
        <v>13094</v>
      </c>
      <c r="P78" s="4">
        <v>44903</v>
      </c>
      <c r="Q78" s="4">
        <v>44909</v>
      </c>
      <c r="R78" s="1" t="s">
        <v>73</v>
      </c>
      <c r="AO78" s="7">
        <v>13094</v>
      </c>
      <c r="AP78" s="5">
        <v>12.5</v>
      </c>
      <c r="AQ78" s="5">
        <v>128</v>
      </c>
      <c r="AR78" s="5">
        <v>41.2</v>
      </c>
      <c r="AS78" s="5">
        <v>8.7</v>
      </c>
      <c r="AT78" s="5">
        <v>23</v>
      </c>
      <c r="AU78" s="5">
        <v>15</v>
      </c>
      <c r="AV78" s="5">
        <v>33.1</v>
      </c>
      <c r="AW78" s="5">
        <v>6.48</v>
      </c>
      <c r="AX78" s="5">
        <v>54</v>
      </c>
      <c r="AY78" s="5" t="s">
        <v>76</v>
      </c>
      <c r="AZ78" s="5">
        <v>9.6</v>
      </c>
      <c r="BA78" s="5" t="s">
        <v>76</v>
      </c>
      <c r="BB78" s="12" t="s">
        <v>76</v>
      </c>
      <c r="BC78" s="5">
        <v>3.33</v>
      </c>
      <c r="BD78" s="5">
        <v>128</v>
      </c>
      <c r="BE78" s="5" t="s">
        <v>76</v>
      </c>
      <c r="BF78" s="5" t="s">
        <v>76</v>
      </c>
      <c r="BG78" s="15">
        <v>36.2</v>
      </c>
      <c r="BH78" s="5" t="s">
        <v>76</v>
      </c>
      <c r="BI78" s="5">
        <v>125</v>
      </c>
      <c r="BJ78" s="5">
        <v>22</v>
      </c>
      <c r="BK78" s="5">
        <v>154</v>
      </c>
      <c r="BL78" s="5">
        <v>70</v>
      </c>
      <c r="BM78" s="5">
        <v>50</v>
      </c>
      <c r="BN78" s="5">
        <v>158</v>
      </c>
      <c r="BO78" s="5">
        <f t="shared" si="1"/>
        <v>20.0288415318058</v>
      </c>
      <c r="BP78" s="5" t="s">
        <v>168</v>
      </c>
      <c r="BQ78" s="5" t="s">
        <v>76</v>
      </c>
      <c r="BR78" s="5">
        <v>12004</v>
      </c>
    </row>
    <row r="79" s="1" customFormat="1" spans="1:70">
      <c r="A79" s="1">
        <v>3257562</v>
      </c>
      <c r="B79" s="1" t="s">
        <v>361</v>
      </c>
      <c r="D79" s="4">
        <v>44923</v>
      </c>
      <c r="E79" s="4">
        <v>44945</v>
      </c>
      <c r="F79" s="7">
        <v>13130</v>
      </c>
      <c r="G79" s="1">
        <v>42</v>
      </c>
      <c r="H79" s="1">
        <v>10</v>
      </c>
      <c r="I79" s="1">
        <v>53</v>
      </c>
      <c r="J79" s="1">
        <v>10</v>
      </c>
      <c r="K79" s="1">
        <v>61</v>
      </c>
      <c r="L79" s="1">
        <v>33</v>
      </c>
      <c r="M79" s="1">
        <v>1.26</v>
      </c>
      <c r="N79" s="1">
        <v>17.2</v>
      </c>
      <c r="O79" s="7">
        <v>13130</v>
      </c>
      <c r="P79" s="4">
        <v>44923</v>
      </c>
      <c r="Q79" s="4">
        <v>44945</v>
      </c>
      <c r="R79" s="1" t="s">
        <v>80</v>
      </c>
      <c r="AO79" s="7">
        <v>13130</v>
      </c>
      <c r="AP79" s="5">
        <v>9.8</v>
      </c>
      <c r="AQ79" s="5">
        <v>93</v>
      </c>
      <c r="AR79" s="5">
        <v>42</v>
      </c>
      <c r="AS79" s="5">
        <v>62.1</v>
      </c>
      <c r="AT79" s="5">
        <v>25</v>
      </c>
      <c r="AU79" s="5">
        <v>47</v>
      </c>
      <c r="AV79" s="5">
        <v>36.3</v>
      </c>
      <c r="AW79" s="5">
        <v>8.39</v>
      </c>
      <c r="AX79" s="5">
        <v>96</v>
      </c>
      <c r="AY79" s="5">
        <v>96.76</v>
      </c>
      <c r="AZ79" s="5" t="s">
        <v>75</v>
      </c>
      <c r="BA79" s="5">
        <v>4.49</v>
      </c>
      <c r="BB79" s="12" t="s">
        <v>76</v>
      </c>
      <c r="BC79" s="5">
        <v>4.78</v>
      </c>
      <c r="BD79" s="5">
        <v>93</v>
      </c>
      <c r="BE79" s="5">
        <v>1.06</v>
      </c>
      <c r="BF79" s="5">
        <v>2.77</v>
      </c>
      <c r="BG79" s="15">
        <v>36.5</v>
      </c>
      <c r="BH79" s="5">
        <v>69</v>
      </c>
      <c r="BI79" s="5">
        <v>69</v>
      </c>
      <c r="BJ79" s="5">
        <v>17</v>
      </c>
      <c r="BK79" s="5">
        <v>156</v>
      </c>
      <c r="BL79" s="5">
        <v>70</v>
      </c>
      <c r="BM79" s="5">
        <v>70</v>
      </c>
      <c r="BN79" s="5">
        <v>172</v>
      </c>
      <c r="BO79" s="5">
        <f t="shared" si="1"/>
        <v>23.6614386154678</v>
      </c>
      <c r="BP79" s="5" t="s">
        <v>107</v>
      </c>
      <c r="BQ79" s="5">
        <v>6.4</v>
      </c>
      <c r="BR79" s="5">
        <v>1880</v>
      </c>
    </row>
    <row r="80" s="1" customFormat="1" spans="1:70">
      <c r="A80" s="1">
        <v>3257949</v>
      </c>
      <c r="B80" s="1" t="s">
        <v>362</v>
      </c>
      <c r="D80" s="4">
        <v>44924</v>
      </c>
      <c r="E80" s="4">
        <v>44942</v>
      </c>
      <c r="F80" s="7">
        <v>13137</v>
      </c>
      <c r="G80" s="1">
        <v>38</v>
      </c>
      <c r="H80" s="1">
        <v>9</v>
      </c>
      <c r="I80" s="1">
        <v>49</v>
      </c>
      <c r="J80" s="1">
        <v>9</v>
      </c>
      <c r="K80" s="1">
        <v>62</v>
      </c>
      <c r="L80" s="1">
        <v>34</v>
      </c>
      <c r="M80" s="1">
        <v>0.8</v>
      </c>
      <c r="N80" s="1">
        <v>7.4</v>
      </c>
      <c r="O80" s="7">
        <v>13137</v>
      </c>
      <c r="P80" s="4">
        <v>44924</v>
      </c>
      <c r="Q80" s="4">
        <v>44942</v>
      </c>
      <c r="R80" s="1" t="s">
        <v>80</v>
      </c>
      <c r="S80" s="1">
        <v>87</v>
      </c>
      <c r="T80" s="1" t="s">
        <v>363</v>
      </c>
      <c r="V80" s="1">
        <v>1</v>
      </c>
      <c r="AC80" s="1">
        <v>1</v>
      </c>
      <c r="AM80" s="1">
        <v>1</v>
      </c>
      <c r="AO80" s="7">
        <v>13137</v>
      </c>
      <c r="AP80" s="5">
        <v>15.2</v>
      </c>
      <c r="AQ80" s="5">
        <v>97</v>
      </c>
      <c r="AR80" s="5">
        <v>36.1</v>
      </c>
      <c r="AS80" s="5">
        <v>88.6</v>
      </c>
      <c r="AT80" s="5">
        <v>46</v>
      </c>
      <c r="AU80" s="5">
        <v>7</v>
      </c>
      <c r="AV80" s="5">
        <v>32.7</v>
      </c>
      <c r="AW80" s="5">
        <v>22.8</v>
      </c>
      <c r="AX80" s="5">
        <v>96</v>
      </c>
      <c r="AY80" s="5">
        <v>68.31</v>
      </c>
      <c r="AZ80" s="5">
        <v>9.74</v>
      </c>
      <c r="BA80" s="5">
        <v>4.09</v>
      </c>
      <c r="BB80" s="12" t="s">
        <v>76</v>
      </c>
      <c r="BC80" s="5">
        <v>4.34</v>
      </c>
      <c r="BD80" s="5">
        <v>97</v>
      </c>
      <c r="BE80" s="5">
        <v>0.9</v>
      </c>
      <c r="BF80" s="5">
        <v>2.48</v>
      </c>
      <c r="BG80" s="15">
        <v>36.3</v>
      </c>
      <c r="BH80" s="5">
        <v>68</v>
      </c>
      <c r="BI80" s="5">
        <v>68</v>
      </c>
      <c r="BJ80" s="5">
        <v>16</v>
      </c>
      <c r="BK80" s="5">
        <v>119</v>
      </c>
      <c r="BL80" s="5">
        <v>70</v>
      </c>
      <c r="BM80" s="5">
        <v>65</v>
      </c>
      <c r="BN80" s="5">
        <v>170</v>
      </c>
      <c r="BO80" s="5">
        <f t="shared" si="1"/>
        <v>22.4913494809689</v>
      </c>
      <c r="BP80" s="5" t="s">
        <v>164</v>
      </c>
      <c r="BQ80" s="5" t="s">
        <v>76</v>
      </c>
      <c r="BR80" s="5">
        <v>9833</v>
      </c>
    </row>
    <row r="81" s="1" customFormat="1" spans="1:70">
      <c r="A81" s="1">
        <v>3256792</v>
      </c>
      <c r="B81" s="1" t="s">
        <v>364</v>
      </c>
      <c r="D81" s="4">
        <v>44922</v>
      </c>
      <c r="E81" s="4">
        <v>44925</v>
      </c>
      <c r="F81" s="7">
        <v>13191</v>
      </c>
      <c r="G81" s="1">
        <v>42</v>
      </c>
      <c r="H81" s="1">
        <v>9</v>
      </c>
      <c r="I81" s="1">
        <v>43</v>
      </c>
      <c r="J81" s="1">
        <v>9</v>
      </c>
      <c r="K81" s="1">
        <v>59</v>
      </c>
      <c r="L81" s="1">
        <v>31</v>
      </c>
      <c r="N81" s="1">
        <v>9</v>
      </c>
      <c r="O81" s="7">
        <v>13191</v>
      </c>
      <c r="P81" s="4">
        <v>44922</v>
      </c>
      <c r="Q81" s="4">
        <v>44925</v>
      </c>
      <c r="R81" s="1" t="s">
        <v>80</v>
      </c>
      <c r="AO81" s="7">
        <v>13191</v>
      </c>
      <c r="AP81" s="5">
        <v>4.1</v>
      </c>
      <c r="AQ81" s="5">
        <v>123</v>
      </c>
      <c r="AR81" s="5">
        <v>40.5</v>
      </c>
      <c r="AS81" s="5">
        <v>1</v>
      </c>
      <c r="AT81" s="5">
        <v>27</v>
      </c>
      <c r="AU81" s="5">
        <v>10</v>
      </c>
      <c r="AV81" s="5">
        <v>33.6</v>
      </c>
      <c r="AW81" s="5">
        <v>6.72</v>
      </c>
      <c r="AX81" s="5">
        <v>77</v>
      </c>
      <c r="AY81" s="5">
        <v>88.32</v>
      </c>
      <c r="AZ81" s="5" t="s">
        <v>75</v>
      </c>
      <c r="BA81" s="5">
        <v>2.9</v>
      </c>
      <c r="BB81" s="12" t="s">
        <v>76</v>
      </c>
      <c r="BC81" s="5">
        <v>4.09</v>
      </c>
      <c r="BD81" s="5">
        <v>123</v>
      </c>
      <c r="BE81" s="5">
        <v>0.74</v>
      </c>
      <c r="BF81" s="5">
        <v>1.68</v>
      </c>
      <c r="BG81" s="15">
        <v>36.9</v>
      </c>
      <c r="BH81" s="5">
        <v>126</v>
      </c>
      <c r="BI81" s="5">
        <v>126</v>
      </c>
      <c r="BJ81" s="5">
        <v>20</v>
      </c>
      <c r="BK81" s="5">
        <v>134</v>
      </c>
      <c r="BL81" s="5">
        <v>84</v>
      </c>
      <c r="BM81" s="5">
        <v>45</v>
      </c>
      <c r="BN81" s="5">
        <v>160</v>
      </c>
      <c r="BO81" s="5">
        <f t="shared" si="1"/>
        <v>17.578125</v>
      </c>
      <c r="BP81" s="5" t="s">
        <v>161</v>
      </c>
      <c r="BQ81" s="5">
        <v>6.1</v>
      </c>
      <c r="BR81" s="5">
        <v>3757</v>
      </c>
    </row>
    <row r="82" s="1" customFormat="1" spans="1:70">
      <c r="A82" s="1">
        <v>3264442</v>
      </c>
      <c r="B82" s="1" t="s">
        <v>365</v>
      </c>
      <c r="D82" s="4">
        <v>44935</v>
      </c>
      <c r="E82" s="4">
        <v>44944</v>
      </c>
      <c r="F82" s="7">
        <v>13215</v>
      </c>
      <c r="G82" s="1">
        <v>38</v>
      </c>
      <c r="H82" s="1">
        <v>10</v>
      </c>
      <c r="I82" s="1">
        <v>50</v>
      </c>
      <c r="J82" s="1">
        <v>10</v>
      </c>
      <c r="K82" s="1">
        <v>58</v>
      </c>
      <c r="L82" s="1">
        <v>31</v>
      </c>
      <c r="M82" s="1">
        <v>0.56</v>
      </c>
      <c r="N82" s="1">
        <v>9.3</v>
      </c>
      <c r="O82" s="7">
        <v>13215</v>
      </c>
      <c r="P82" s="4">
        <v>44935</v>
      </c>
      <c r="Q82" s="4">
        <v>44944</v>
      </c>
      <c r="R82" s="1" t="s">
        <v>80</v>
      </c>
      <c r="AO82" s="7">
        <v>13215</v>
      </c>
      <c r="AP82" s="5">
        <v>9.8</v>
      </c>
      <c r="AQ82" s="5">
        <v>139</v>
      </c>
      <c r="AR82" s="5">
        <v>59</v>
      </c>
      <c r="AS82" s="5">
        <v>227.7</v>
      </c>
      <c r="AT82" s="5">
        <v>49</v>
      </c>
      <c r="AU82" s="5">
        <v>71</v>
      </c>
      <c r="AV82" s="5">
        <v>33</v>
      </c>
      <c r="AW82" s="5">
        <v>8.88</v>
      </c>
      <c r="AX82" s="5">
        <v>53</v>
      </c>
      <c r="AY82" s="5" t="s">
        <v>125</v>
      </c>
      <c r="AZ82" s="5">
        <v>9.66</v>
      </c>
      <c r="BA82" s="5" t="s">
        <v>76</v>
      </c>
      <c r="BB82" s="12" t="s">
        <v>76</v>
      </c>
      <c r="BC82" s="5">
        <v>3.51</v>
      </c>
      <c r="BD82" s="5">
        <v>139</v>
      </c>
      <c r="BE82" s="5" t="s">
        <v>76</v>
      </c>
      <c r="BF82" s="5" t="s">
        <v>76</v>
      </c>
      <c r="BG82" s="15">
        <v>37.3</v>
      </c>
      <c r="BH82" s="5" t="s">
        <v>76</v>
      </c>
      <c r="BI82" s="5">
        <v>96</v>
      </c>
      <c r="BJ82" s="5">
        <v>26</v>
      </c>
      <c r="BK82" s="5">
        <v>105</v>
      </c>
      <c r="BL82" s="5">
        <v>64</v>
      </c>
      <c r="BM82" s="5">
        <v>60</v>
      </c>
      <c r="BN82" s="5">
        <v>170</v>
      </c>
      <c r="BO82" s="5">
        <f t="shared" si="1"/>
        <v>20.7612456747405</v>
      </c>
      <c r="BP82" s="5" t="s">
        <v>158</v>
      </c>
      <c r="BQ82" s="5" t="s">
        <v>76</v>
      </c>
      <c r="BR82" s="5">
        <v>3859</v>
      </c>
    </row>
    <row r="83" s="1" customFormat="1" spans="1:70">
      <c r="A83" s="1">
        <v>3257058</v>
      </c>
      <c r="B83" s="1" t="s">
        <v>366</v>
      </c>
      <c r="D83" s="4">
        <v>44923</v>
      </c>
      <c r="E83" s="4">
        <v>44940</v>
      </c>
      <c r="F83" s="7">
        <v>13217</v>
      </c>
      <c r="G83" s="1">
        <v>43</v>
      </c>
      <c r="H83" s="1">
        <v>10</v>
      </c>
      <c r="I83" s="1">
        <v>52</v>
      </c>
      <c r="J83" s="1">
        <v>10</v>
      </c>
      <c r="K83" s="1">
        <v>51</v>
      </c>
      <c r="L83" s="1">
        <v>26</v>
      </c>
      <c r="M83" s="1">
        <v>0.73</v>
      </c>
      <c r="N83" s="1">
        <v>22.1</v>
      </c>
      <c r="O83" s="7">
        <v>13217</v>
      </c>
      <c r="P83" s="4">
        <v>44923</v>
      </c>
      <c r="Q83" s="4">
        <v>44940</v>
      </c>
      <c r="R83" s="1" t="s">
        <v>73</v>
      </c>
      <c r="S83" s="1">
        <v>86</v>
      </c>
      <c r="T83" s="1" t="s">
        <v>367</v>
      </c>
      <c r="V83" s="1">
        <v>1</v>
      </c>
      <c r="Z83" s="1">
        <v>1</v>
      </c>
      <c r="AA83" s="1">
        <v>1</v>
      </c>
      <c r="AG83" s="1">
        <v>1</v>
      </c>
      <c r="AH83" s="1">
        <v>1</v>
      </c>
      <c r="AI83" s="1">
        <v>1</v>
      </c>
      <c r="AM83" s="1">
        <v>1</v>
      </c>
      <c r="AO83" s="7">
        <v>13217</v>
      </c>
      <c r="AP83" s="5">
        <v>4.4</v>
      </c>
      <c r="AQ83" s="5">
        <v>115</v>
      </c>
      <c r="AR83" s="5">
        <v>36.4</v>
      </c>
      <c r="AS83" s="5" t="s">
        <v>76</v>
      </c>
      <c r="AT83" s="5">
        <v>18</v>
      </c>
      <c r="AU83" s="5" t="s">
        <v>171</v>
      </c>
      <c r="AV83" s="5">
        <v>41.1</v>
      </c>
      <c r="AW83" s="5">
        <v>9.53</v>
      </c>
      <c r="AX83" s="5">
        <v>72</v>
      </c>
      <c r="AY83" s="5">
        <v>75.64</v>
      </c>
      <c r="AZ83" s="5">
        <v>8.34</v>
      </c>
      <c r="BA83" s="5">
        <v>5.03</v>
      </c>
      <c r="BB83" s="12" t="s">
        <v>76</v>
      </c>
      <c r="BC83" s="5">
        <v>4.54</v>
      </c>
      <c r="BD83" s="5">
        <v>115</v>
      </c>
      <c r="BE83" s="5">
        <v>1.24</v>
      </c>
      <c r="BF83" s="5">
        <v>3.04</v>
      </c>
      <c r="BG83" s="15">
        <v>35.5</v>
      </c>
      <c r="BH83" s="5">
        <v>100</v>
      </c>
      <c r="BI83" s="5" t="s">
        <v>76</v>
      </c>
      <c r="BJ83" s="5">
        <v>17</v>
      </c>
      <c r="BK83" s="5">
        <v>137</v>
      </c>
      <c r="BL83" s="5">
        <v>93</v>
      </c>
      <c r="BM83" s="5">
        <v>60</v>
      </c>
      <c r="BN83" s="5">
        <v>157</v>
      </c>
      <c r="BO83" s="5">
        <f t="shared" si="1"/>
        <v>24.3417582863402</v>
      </c>
      <c r="BP83" s="5" t="s">
        <v>78</v>
      </c>
      <c r="BQ83" s="5">
        <v>7.5</v>
      </c>
      <c r="BR83" s="5">
        <v>9996</v>
      </c>
    </row>
    <row r="84" s="1" customFormat="1" spans="1:70">
      <c r="A84" s="1">
        <v>3293904</v>
      </c>
      <c r="B84" s="1" t="s">
        <v>368</v>
      </c>
      <c r="D84" s="4">
        <v>44983</v>
      </c>
      <c r="E84" s="4">
        <v>44987</v>
      </c>
      <c r="F84" s="7">
        <v>13218</v>
      </c>
      <c r="G84" s="1">
        <v>37</v>
      </c>
      <c r="H84" s="1">
        <v>9</v>
      </c>
      <c r="I84" s="1">
        <v>47</v>
      </c>
      <c r="J84" s="1">
        <v>9</v>
      </c>
      <c r="K84" s="1">
        <v>56</v>
      </c>
      <c r="L84" s="1">
        <v>29</v>
      </c>
      <c r="M84" s="1">
        <v>1.19</v>
      </c>
      <c r="N84" s="1">
        <v>10.5</v>
      </c>
      <c r="O84" s="7">
        <v>13218</v>
      </c>
      <c r="P84" s="4">
        <v>44983</v>
      </c>
      <c r="Q84" s="4">
        <v>44987</v>
      </c>
      <c r="R84" s="1" t="s">
        <v>80</v>
      </c>
      <c r="AO84" s="7">
        <v>13218</v>
      </c>
      <c r="AP84" s="5">
        <v>18.6</v>
      </c>
      <c r="AQ84" s="5">
        <v>87</v>
      </c>
      <c r="AR84" s="5">
        <v>29</v>
      </c>
      <c r="AS84" s="5">
        <v>92</v>
      </c>
      <c r="AT84" s="5">
        <v>81</v>
      </c>
      <c r="AU84" s="5">
        <v>29</v>
      </c>
      <c r="AV84" s="5">
        <v>29</v>
      </c>
      <c r="AW84" s="5">
        <v>6.34</v>
      </c>
      <c r="AX84" s="5">
        <v>39</v>
      </c>
      <c r="AY84" s="5" t="s">
        <v>125</v>
      </c>
      <c r="AZ84" s="5" t="s">
        <v>75</v>
      </c>
      <c r="BA84" s="5" t="s">
        <v>76</v>
      </c>
      <c r="BB84" s="12" t="s">
        <v>76</v>
      </c>
      <c r="BC84" s="5">
        <v>4.61</v>
      </c>
      <c r="BD84" s="5">
        <v>87</v>
      </c>
      <c r="BE84" s="5" t="s">
        <v>76</v>
      </c>
      <c r="BF84" s="5" t="s">
        <v>76</v>
      </c>
      <c r="BG84" s="15">
        <v>36.8</v>
      </c>
      <c r="BH84" s="5" t="s">
        <v>76</v>
      </c>
      <c r="BI84" s="5">
        <v>79</v>
      </c>
      <c r="BJ84" s="5">
        <v>22</v>
      </c>
      <c r="BK84" s="5">
        <v>131</v>
      </c>
      <c r="BL84" s="5">
        <v>78</v>
      </c>
      <c r="BM84" s="5" t="s">
        <v>77</v>
      </c>
      <c r="BN84" s="5" t="s">
        <v>77</v>
      </c>
      <c r="BO84" s="5" t="e">
        <f t="shared" si="1"/>
        <v>#VALUE!</v>
      </c>
      <c r="BP84" s="5" t="s">
        <v>369</v>
      </c>
      <c r="BQ84" s="5">
        <v>4.6</v>
      </c>
      <c r="BR84" s="5">
        <v>9346</v>
      </c>
    </row>
    <row r="85" s="1" customFormat="1" spans="1:70">
      <c r="A85" s="1">
        <v>3248595</v>
      </c>
      <c r="B85" s="1" t="s">
        <v>370</v>
      </c>
      <c r="D85" s="4">
        <v>44897</v>
      </c>
      <c r="E85" s="4">
        <v>44918</v>
      </c>
      <c r="F85" s="7">
        <v>13221</v>
      </c>
      <c r="G85" s="1">
        <v>40</v>
      </c>
      <c r="H85" s="1">
        <v>10</v>
      </c>
      <c r="I85" s="1">
        <v>44</v>
      </c>
      <c r="J85" s="1">
        <v>10</v>
      </c>
      <c r="K85" s="1">
        <v>58</v>
      </c>
      <c r="L85" s="1">
        <v>30</v>
      </c>
      <c r="M85" s="1">
        <v>0.77</v>
      </c>
      <c r="N85" s="1">
        <v>17.3</v>
      </c>
      <c r="O85" s="7">
        <v>13221</v>
      </c>
      <c r="P85" s="4">
        <v>44897</v>
      </c>
      <c r="Q85" s="4">
        <v>44918</v>
      </c>
      <c r="R85" s="1" t="s">
        <v>73</v>
      </c>
      <c r="AO85" s="7">
        <v>13221</v>
      </c>
      <c r="AP85" s="5">
        <v>9.5</v>
      </c>
      <c r="AQ85" s="5">
        <v>98</v>
      </c>
      <c r="AR85" s="5">
        <v>39</v>
      </c>
      <c r="AS85" s="5">
        <v>9.3</v>
      </c>
      <c r="AT85" s="5">
        <v>51</v>
      </c>
      <c r="AU85" s="5">
        <v>31</v>
      </c>
      <c r="AV85" s="5">
        <v>39.1</v>
      </c>
      <c r="AW85" s="5">
        <v>9.31</v>
      </c>
      <c r="AX85" s="5">
        <v>56</v>
      </c>
      <c r="AY85" s="5" t="s">
        <v>125</v>
      </c>
      <c r="AZ85" s="5">
        <v>9.5</v>
      </c>
      <c r="BA85" s="5" t="s">
        <v>76</v>
      </c>
      <c r="BB85" s="12" t="s">
        <v>76</v>
      </c>
      <c r="BC85" s="5">
        <v>5.68</v>
      </c>
      <c r="BD85" s="5">
        <v>98</v>
      </c>
      <c r="BE85" s="5" t="s">
        <v>76</v>
      </c>
      <c r="BF85" s="5" t="s">
        <v>76</v>
      </c>
      <c r="BG85" s="15">
        <v>36.5</v>
      </c>
      <c r="BH85" s="5" t="s">
        <v>76</v>
      </c>
      <c r="BI85" s="5">
        <v>100</v>
      </c>
      <c r="BJ85" s="5">
        <v>22</v>
      </c>
      <c r="BK85" s="5">
        <v>142</v>
      </c>
      <c r="BL85" s="5">
        <v>81</v>
      </c>
      <c r="BM85" s="5" t="s">
        <v>371</v>
      </c>
      <c r="BN85" s="5" t="s">
        <v>371</v>
      </c>
      <c r="BO85" s="5" t="e">
        <f t="shared" si="1"/>
        <v>#VALUE!</v>
      </c>
      <c r="BP85" s="5" t="s">
        <v>369</v>
      </c>
      <c r="BQ85" s="5" t="s">
        <v>76</v>
      </c>
      <c r="BR85" s="5">
        <v>7335</v>
      </c>
    </row>
    <row r="86" s="1" customFormat="1" spans="1:70">
      <c r="A86" s="1">
        <v>3284162</v>
      </c>
      <c r="B86" s="1" t="s">
        <v>372</v>
      </c>
      <c r="D86" s="4">
        <v>44969</v>
      </c>
      <c r="E86" s="4">
        <v>44981</v>
      </c>
      <c r="F86" s="7">
        <v>13224</v>
      </c>
      <c r="G86" s="1">
        <v>36</v>
      </c>
      <c r="H86" s="1">
        <v>9</v>
      </c>
      <c r="I86" s="1">
        <v>48</v>
      </c>
      <c r="J86" s="1">
        <v>9</v>
      </c>
      <c r="K86" s="1">
        <v>40</v>
      </c>
      <c r="L86" s="1">
        <v>20</v>
      </c>
      <c r="M86" s="1">
        <v>0.51</v>
      </c>
      <c r="N86" s="1">
        <v>22.3</v>
      </c>
      <c r="O86" s="7">
        <v>13224</v>
      </c>
      <c r="P86" s="4">
        <v>44969</v>
      </c>
      <c r="Q86" s="4">
        <v>44981</v>
      </c>
      <c r="R86" s="1" t="s">
        <v>80</v>
      </c>
      <c r="AO86" s="7">
        <v>13224</v>
      </c>
      <c r="AP86" s="5">
        <v>7.7</v>
      </c>
      <c r="AQ86" s="5">
        <v>141</v>
      </c>
      <c r="AR86" s="5">
        <v>41</v>
      </c>
      <c r="AS86" s="5">
        <v>3.7</v>
      </c>
      <c r="AT86" s="5">
        <v>56</v>
      </c>
      <c r="AU86" s="5">
        <v>61</v>
      </c>
      <c r="AV86" s="5">
        <v>37.6</v>
      </c>
      <c r="AW86" s="5">
        <v>8.2</v>
      </c>
      <c r="AX86" s="5">
        <v>54</v>
      </c>
      <c r="AY86" s="5" t="s">
        <v>125</v>
      </c>
      <c r="AZ86" s="5" t="s">
        <v>75</v>
      </c>
      <c r="BA86" s="5">
        <v>4.23</v>
      </c>
      <c r="BB86" s="12" t="s">
        <v>76</v>
      </c>
      <c r="BC86" s="5">
        <v>4.68</v>
      </c>
      <c r="BD86" s="5">
        <v>141</v>
      </c>
      <c r="BE86" s="5">
        <v>1.52</v>
      </c>
      <c r="BF86" s="5">
        <v>1.97</v>
      </c>
      <c r="BG86" s="15">
        <v>36.5</v>
      </c>
      <c r="BH86" s="5" t="s">
        <v>76</v>
      </c>
      <c r="BI86" s="5">
        <v>75</v>
      </c>
      <c r="BJ86" s="5">
        <v>20</v>
      </c>
      <c r="BK86" s="5">
        <v>130</v>
      </c>
      <c r="BL86" s="5">
        <v>80</v>
      </c>
      <c r="BM86" s="5">
        <v>55</v>
      </c>
      <c r="BN86" s="5">
        <v>168</v>
      </c>
      <c r="BO86" s="5">
        <f t="shared" si="1"/>
        <v>19.4869614512472</v>
      </c>
      <c r="BP86" s="5" t="s">
        <v>156</v>
      </c>
      <c r="BQ86" s="5">
        <v>5.5</v>
      </c>
      <c r="BR86" s="5">
        <v>7443</v>
      </c>
    </row>
    <row r="87" s="1" customFormat="1" spans="1:70">
      <c r="A87" s="1">
        <v>3503556</v>
      </c>
      <c r="B87" s="1" t="s">
        <v>373</v>
      </c>
      <c r="D87" s="4">
        <v>45271</v>
      </c>
      <c r="E87" s="4">
        <v>45274</v>
      </c>
      <c r="F87" s="7">
        <v>13231</v>
      </c>
      <c r="G87" s="1">
        <v>45</v>
      </c>
      <c r="H87" s="1">
        <v>9</v>
      </c>
      <c r="I87" s="1">
        <v>49</v>
      </c>
      <c r="J87" s="1">
        <v>9</v>
      </c>
      <c r="K87" s="1">
        <v>55</v>
      </c>
      <c r="L87" s="1">
        <v>29</v>
      </c>
      <c r="M87" s="1">
        <v>1.23</v>
      </c>
      <c r="N87" s="1">
        <v>17.5</v>
      </c>
      <c r="O87" s="7">
        <v>13231</v>
      </c>
      <c r="P87" s="4">
        <v>45271</v>
      </c>
      <c r="Q87" s="4">
        <v>45274</v>
      </c>
      <c r="R87" s="1" t="s">
        <v>73</v>
      </c>
      <c r="S87" s="1">
        <v>87</v>
      </c>
      <c r="T87" s="1">
        <v>15262029897</v>
      </c>
      <c r="V87" s="1">
        <v>1</v>
      </c>
      <c r="X87" s="1">
        <v>1</v>
      </c>
      <c r="Y87" s="1">
        <v>1</v>
      </c>
      <c r="Z87" s="1">
        <v>1</v>
      </c>
      <c r="AA87" s="1">
        <v>1</v>
      </c>
      <c r="AC87" s="1">
        <v>1</v>
      </c>
      <c r="AG87" s="1">
        <v>1</v>
      </c>
      <c r="AH87" s="1">
        <v>1</v>
      </c>
      <c r="AI87" s="1">
        <v>1</v>
      </c>
      <c r="AK87" s="1">
        <v>1</v>
      </c>
      <c r="AL87" s="1">
        <v>1</v>
      </c>
      <c r="AN87" s="1">
        <v>1</v>
      </c>
      <c r="AO87" s="7">
        <v>13231</v>
      </c>
      <c r="AP87" s="5">
        <v>6.7</v>
      </c>
      <c r="AQ87" s="5">
        <v>101</v>
      </c>
      <c r="AR87" s="5">
        <v>31.8</v>
      </c>
      <c r="AS87" s="5" t="s">
        <v>374</v>
      </c>
      <c r="AT87" s="5">
        <v>18</v>
      </c>
      <c r="AU87" s="5">
        <v>15</v>
      </c>
      <c r="AV87" s="5">
        <v>34.8</v>
      </c>
      <c r="AW87" s="5">
        <v>12.26</v>
      </c>
      <c r="AX87" s="5">
        <v>124</v>
      </c>
      <c r="AY87" s="5">
        <v>44.25</v>
      </c>
      <c r="AZ87" s="5" t="s">
        <v>375</v>
      </c>
      <c r="BA87" s="5">
        <v>3.88</v>
      </c>
      <c r="BB87" s="12" t="s">
        <v>76</v>
      </c>
      <c r="BC87" s="5">
        <v>4.41</v>
      </c>
      <c r="BD87" s="5">
        <v>101</v>
      </c>
      <c r="BE87" s="5">
        <v>0.82</v>
      </c>
      <c r="BF87" s="5">
        <v>1.85</v>
      </c>
      <c r="BG87" s="15">
        <v>36.3</v>
      </c>
      <c r="BH87" s="5">
        <v>60</v>
      </c>
      <c r="BI87" s="5">
        <v>60</v>
      </c>
      <c r="BJ87" s="5">
        <v>17</v>
      </c>
      <c r="BK87" s="5">
        <v>178</v>
      </c>
      <c r="BL87" s="5">
        <v>77</v>
      </c>
      <c r="BM87" s="5">
        <v>89</v>
      </c>
      <c r="BN87" s="5">
        <v>165</v>
      </c>
      <c r="BO87" s="5">
        <f t="shared" si="1"/>
        <v>32.6905417814509</v>
      </c>
      <c r="BP87" s="5" t="s">
        <v>78</v>
      </c>
      <c r="BQ87" s="5">
        <v>10.1</v>
      </c>
      <c r="BR87" s="5">
        <v>2129</v>
      </c>
    </row>
    <row r="88" s="1" customFormat="1" spans="1:70">
      <c r="A88" s="1">
        <v>3483412</v>
      </c>
      <c r="B88" s="1" t="s">
        <v>376</v>
      </c>
      <c r="D88" s="4">
        <v>45244</v>
      </c>
      <c r="E88" s="4">
        <v>45272</v>
      </c>
      <c r="F88" s="7">
        <v>13265</v>
      </c>
      <c r="G88" s="1">
        <v>31</v>
      </c>
      <c r="H88" s="1">
        <v>9</v>
      </c>
      <c r="I88" s="1">
        <v>43</v>
      </c>
      <c r="J88" s="1">
        <v>9</v>
      </c>
      <c r="K88" s="1">
        <v>58</v>
      </c>
      <c r="L88" s="1">
        <v>31</v>
      </c>
      <c r="M88" s="1">
        <v>0.78</v>
      </c>
      <c r="O88" s="7">
        <v>13265</v>
      </c>
      <c r="P88" s="4">
        <v>45244</v>
      </c>
      <c r="Q88" s="4">
        <v>45272</v>
      </c>
      <c r="R88" s="1" t="s">
        <v>80</v>
      </c>
      <c r="AO88" s="7">
        <v>13265</v>
      </c>
      <c r="AP88" s="5">
        <v>9</v>
      </c>
      <c r="AQ88" s="5">
        <v>99</v>
      </c>
      <c r="AR88" s="5">
        <v>44.7</v>
      </c>
      <c r="AS88" s="5">
        <v>91.1</v>
      </c>
      <c r="AT88" s="5">
        <v>89</v>
      </c>
      <c r="AU88" s="5">
        <v>90</v>
      </c>
      <c r="AV88" s="5">
        <v>35.4</v>
      </c>
      <c r="AW88" s="5">
        <v>8.77</v>
      </c>
      <c r="AX88" s="5">
        <v>99</v>
      </c>
      <c r="AY88" s="5">
        <v>76.53</v>
      </c>
      <c r="AZ88" s="5" t="s">
        <v>75</v>
      </c>
      <c r="BA88" s="5">
        <v>2.86</v>
      </c>
      <c r="BB88" s="12" t="s">
        <v>76</v>
      </c>
      <c r="BC88" s="5">
        <v>5.37</v>
      </c>
      <c r="BD88" s="5">
        <v>99</v>
      </c>
      <c r="BE88" s="5">
        <v>0.75</v>
      </c>
      <c r="BF88" s="5">
        <v>1.46</v>
      </c>
      <c r="BG88" s="5" t="s">
        <v>76</v>
      </c>
      <c r="BH88" s="5" t="s">
        <v>76</v>
      </c>
      <c r="BI88" s="5" t="s">
        <v>76</v>
      </c>
      <c r="BJ88" s="5" t="s">
        <v>76</v>
      </c>
      <c r="BK88" s="5" t="s">
        <v>76</v>
      </c>
      <c r="BL88" s="5" t="s">
        <v>76</v>
      </c>
      <c r="BM88" s="5" t="s">
        <v>76</v>
      </c>
      <c r="BN88" s="5" t="s">
        <v>76</v>
      </c>
      <c r="BO88" s="5" t="e">
        <f t="shared" si="1"/>
        <v>#VALUE!</v>
      </c>
      <c r="BP88" s="5" t="s">
        <v>117</v>
      </c>
      <c r="BQ88" s="5">
        <v>5.9</v>
      </c>
      <c r="BR88" s="5">
        <v>9756.66</v>
      </c>
    </row>
    <row r="89" s="1" customFormat="1" spans="1:70">
      <c r="A89" s="1">
        <v>3259285</v>
      </c>
      <c r="B89" s="1" t="s">
        <v>377</v>
      </c>
      <c r="D89" s="4">
        <v>44927</v>
      </c>
      <c r="E89" s="4">
        <v>44939</v>
      </c>
      <c r="F89" s="7">
        <v>13275</v>
      </c>
      <c r="G89" s="1">
        <v>32</v>
      </c>
      <c r="H89" s="1">
        <v>8</v>
      </c>
      <c r="I89" s="1">
        <v>41</v>
      </c>
      <c r="J89" s="1">
        <v>8</v>
      </c>
      <c r="K89" s="1">
        <v>68</v>
      </c>
      <c r="L89" s="1">
        <v>38</v>
      </c>
      <c r="M89" s="1">
        <v>1.38</v>
      </c>
      <c r="N89" s="1">
        <v>12.8</v>
      </c>
      <c r="O89" s="7">
        <v>13275</v>
      </c>
      <c r="P89" s="4">
        <v>44927</v>
      </c>
      <c r="Q89" s="4">
        <v>44939</v>
      </c>
      <c r="R89" s="1" t="s">
        <v>73</v>
      </c>
      <c r="AO89" s="7">
        <v>13275</v>
      </c>
      <c r="AP89" s="5">
        <v>6.9</v>
      </c>
      <c r="AQ89" s="5">
        <v>123</v>
      </c>
      <c r="AR89" s="5">
        <v>39.8</v>
      </c>
      <c r="AS89" s="5">
        <v>61.2</v>
      </c>
      <c r="AT89" s="5">
        <v>26</v>
      </c>
      <c r="AU89" s="5">
        <v>11</v>
      </c>
      <c r="AV89" s="5">
        <v>32.4</v>
      </c>
      <c r="AW89" s="5">
        <v>9.93</v>
      </c>
      <c r="AX89" s="5">
        <v>53</v>
      </c>
      <c r="AY89" s="5" t="s">
        <v>125</v>
      </c>
      <c r="AZ89" s="5">
        <v>4.26</v>
      </c>
      <c r="BA89" s="5" t="s">
        <v>76</v>
      </c>
      <c r="BB89" s="12" t="s">
        <v>76</v>
      </c>
      <c r="BC89" s="5">
        <v>3.81</v>
      </c>
      <c r="BD89" s="5">
        <v>123</v>
      </c>
      <c r="BE89" s="5" t="s">
        <v>76</v>
      </c>
      <c r="BF89" s="5" t="s">
        <v>76</v>
      </c>
      <c r="BG89" s="15">
        <v>36.5</v>
      </c>
      <c r="BH89" s="5">
        <v>80</v>
      </c>
      <c r="BI89" s="5" t="s">
        <v>76</v>
      </c>
      <c r="BJ89" s="5">
        <v>17</v>
      </c>
      <c r="BK89" s="5">
        <v>101</v>
      </c>
      <c r="BL89" s="5">
        <v>70</v>
      </c>
      <c r="BM89" s="5">
        <v>40</v>
      </c>
      <c r="BN89" s="5">
        <v>155</v>
      </c>
      <c r="BO89" s="5">
        <f t="shared" si="1"/>
        <v>16.6493236212279</v>
      </c>
      <c r="BP89" s="5" t="s">
        <v>161</v>
      </c>
      <c r="BQ89" s="5">
        <v>6.2</v>
      </c>
      <c r="BR89" s="5">
        <v>2251</v>
      </c>
    </row>
    <row r="90" s="1" customFormat="1" spans="1:70">
      <c r="A90" s="1">
        <v>3262965</v>
      </c>
      <c r="B90" s="1" t="s">
        <v>378</v>
      </c>
      <c r="D90" s="4">
        <v>44932</v>
      </c>
      <c r="E90" s="4">
        <v>44958</v>
      </c>
      <c r="F90" s="7">
        <v>13276</v>
      </c>
      <c r="G90" s="1">
        <v>43</v>
      </c>
      <c r="H90" s="1">
        <v>10</v>
      </c>
      <c r="I90" s="1">
        <v>48</v>
      </c>
      <c r="J90" s="1">
        <v>10</v>
      </c>
      <c r="K90" s="1">
        <v>51</v>
      </c>
      <c r="L90" s="1">
        <v>26</v>
      </c>
      <c r="O90" s="7">
        <v>13276</v>
      </c>
      <c r="P90" s="4">
        <v>44932</v>
      </c>
      <c r="Q90" s="4">
        <v>44958</v>
      </c>
      <c r="R90" s="1" t="s">
        <v>73</v>
      </c>
      <c r="AO90" s="7">
        <v>13276</v>
      </c>
      <c r="AP90" s="5">
        <v>9.8</v>
      </c>
      <c r="AQ90" s="5">
        <v>99</v>
      </c>
      <c r="AR90" s="5">
        <v>35.1</v>
      </c>
      <c r="AS90" s="5">
        <v>9.2</v>
      </c>
      <c r="AT90" s="5">
        <v>86</v>
      </c>
      <c r="AU90" s="5">
        <v>8</v>
      </c>
      <c r="AV90" s="5">
        <v>30.1</v>
      </c>
      <c r="AW90" s="5">
        <v>7.17</v>
      </c>
      <c r="AX90" s="5">
        <v>89</v>
      </c>
      <c r="AY90" s="5">
        <v>81.12</v>
      </c>
      <c r="AZ90" s="5" t="s">
        <v>75</v>
      </c>
      <c r="BA90" s="5">
        <v>5.78</v>
      </c>
      <c r="BB90" s="12" t="s">
        <v>76</v>
      </c>
      <c r="BC90" s="5">
        <v>5.13</v>
      </c>
      <c r="BD90" s="5">
        <v>99</v>
      </c>
      <c r="BE90" s="5">
        <v>1.12</v>
      </c>
      <c r="BF90" s="5">
        <v>3.99</v>
      </c>
      <c r="BG90" s="15">
        <v>37.1</v>
      </c>
      <c r="BH90" s="5">
        <v>110</v>
      </c>
      <c r="BI90" s="5">
        <v>116</v>
      </c>
      <c r="BJ90" s="5">
        <v>17</v>
      </c>
      <c r="BK90" s="5">
        <v>179</v>
      </c>
      <c r="BL90" s="5">
        <v>112</v>
      </c>
      <c r="BM90" s="5">
        <v>40</v>
      </c>
      <c r="BN90" s="5">
        <v>155</v>
      </c>
      <c r="BO90" s="5">
        <f t="shared" si="1"/>
        <v>16.6493236212279</v>
      </c>
      <c r="BP90" s="5" t="s">
        <v>152</v>
      </c>
      <c r="BQ90" s="5">
        <v>5.9</v>
      </c>
      <c r="BR90" s="5">
        <v>8006</v>
      </c>
    </row>
    <row r="91" s="1" customFormat="1" spans="1:70">
      <c r="A91" s="1" t="s">
        <v>379</v>
      </c>
      <c r="B91" s="1" t="s">
        <v>380</v>
      </c>
      <c r="D91" s="4">
        <v>44996</v>
      </c>
      <c r="E91" s="4">
        <v>45022</v>
      </c>
      <c r="F91" s="7">
        <v>13314</v>
      </c>
      <c r="G91" s="1">
        <v>37</v>
      </c>
      <c r="H91" s="1">
        <v>9</v>
      </c>
      <c r="I91" s="1">
        <v>50</v>
      </c>
      <c r="J91" s="1">
        <v>9</v>
      </c>
      <c r="K91" s="1">
        <v>64</v>
      </c>
      <c r="L91" s="1">
        <v>35</v>
      </c>
      <c r="M91" s="1">
        <v>1.22</v>
      </c>
      <c r="N91" s="1">
        <v>19.4</v>
      </c>
      <c r="O91" s="7">
        <v>13314</v>
      </c>
      <c r="P91" s="4">
        <v>44996</v>
      </c>
      <c r="Q91" s="4">
        <v>45022</v>
      </c>
      <c r="R91" s="1" t="s">
        <v>80</v>
      </c>
      <c r="AO91" s="7">
        <v>13314</v>
      </c>
      <c r="AP91" s="5" t="s">
        <v>381</v>
      </c>
      <c r="AQ91" s="5" t="s">
        <v>243</v>
      </c>
      <c r="AR91" s="5" t="s">
        <v>382</v>
      </c>
      <c r="AS91" s="5" t="s">
        <v>383</v>
      </c>
      <c r="AT91" s="5" t="s">
        <v>384</v>
      </c>
      <c r="AU91" s="5" t="s">
        <v>101</v>
      </c>
      <c r="AV91" s="5" t="s">
        <v>385</v>
      </c>
      <c r="AW91" s="5" t="s">
        <v>386</v>
      </c>
      <c r="AX91" s="5" t="s">
        <v>387</v>
      </c>
      <c r="AY91" s="5" t="s">
        <v>209</v>
      </c>
      <c r="AZ91" s="5" t="s">
        <v>388</v>
      </c>
      <c r="BA91" s="5" t="s">
        <v>76</v>
      </c>
      <c r="BB91" s="12" t="s">
        <v>76</v>
      </c>
      <c r="BC91" s="5" t="s">
        <v>389</v>
      </c>
      <c r="BD91" s="5" t="s">
        <v>243</v>
      </c>
      <c r="BE91" s="5" t="s">
        <v>76</v>
      </c>
      <c r="BF91" s="5" t="s">
        <v>76</v>
      </c>
      <c r="BG91" s="15">
        <v>36.5</v>
      </c>
      <c r="BH91" s="5" t="s">
        <v>245</v>
      </c>
      <c r="BI91" s="5" t="s">
        <v>245</v>
      </c>
      <c r="BJ91" s="5" t="s">
        <v>246</v>
      </c>
      <c r="BK91" s="5" t="s">
        <v>390</v>
      </c>
      <c r="BL91" s="5" t="s">
        <v>137</v>
      </c>
      <c r="BM91" s="5" t="s">
        <v>391</v>
      </c>
      <c r="BN91" s="5">
        <v>172</v>
      </c>
      <c r="BO91" s="5">
        <f t="shared" si="1"/>
        <v>23.3234180638183</v>
      </c>
      <c r="BP91" s="5" t="s">
        <v>296</v>
      </c>
      <c r="BQ91" s="5" t="s">
        <v>76</v>
      </c>
      <c r="BR91" s="5">
        <v>7227</v>
      </c>
    </row>
    <row r="92" s="1" customFormat="1" spans="1:70">
      <c r="A92" s="1">
        <v>3286809</v>
      </c>
      <c r="B92" s="1" t="s">
        <v>392</v>
      </c>
      <c r="D92" s="4">
        <v>44972</v>
      </c>
      <c r="E92" s="4">
        <v>44986</v>
      </c>
      <c r="F92" s="7">
        <v>13318</v>
      </c>
      <c r="G92" s="1">
        <v>37</v>
      </c>
      <c r="H92" s="1">
        <v>9</v>
      </c>
      <c r="I92" s="1">
        <v>51</v>
      </c>
      <c r="J92" s="1">
        <v>9</v>
      </c>
      <c r="K92" s="1">
        <v>54</v>
      </c>
      <c r="L92" s="1">
        <v>28</v>
      </c>
      <c r="M92" s="1">
        <v>0.76</v>
      </c>
      <c r="N92" s="1">
        <v>12.6</v>
      </c>
      <c r="O92" s="7">
        <v>13318</v>
      </c>
      <c r="P92" s="4">
        <v>44972</v>
      </c>
      <c r="Q92" s="4">
        <v>44986</v>
      </c>
      <c r="R92" s="1" t="s">
        <v>80</v>
      </c>
      <c r="AO92" s="7">
        <v>13318</v>
      </c>
      <c r="AP92" s="5">
        <v>9.8</v>
      </c>
      <c r="AQ92" s="5">
        <v>153</v>
      </c>
      <c r="AR92" s="5">
        <v>47.9</v>
      </c>
      <c r="AS92" s="5">
        <v>49.5</v>
      </c>
      <c r="AT92" s="5">
        <v>32</v>
      </c>
      <c r="AU92" s="5">
        <v>6</v>
      </c>
      <c r="AV92" s="5">
        <v>38.2</v>
      </c>
      <c r="AW92" s="5">
        <v>8.95</v>
      </c>
      <c r="AX92" s="5">
        <v>90</v>
      </c>
      <c r="AY92" s="5">
        <v>73.77</v>
      </c>
      <c r="AZ92" s="5" t="s">
        <v>75</v>
      </c>
      <c r="BA92" s="5" t="s">
        <v>76</v>
      </c>
      <c r="BB92" s="12" t="s">
        <v>76</v>
      </c>
      <c r="BC92" s="5">
        <v>4.21</v>
      </c>
      <c r="BD92" s="5">
        <v>153</v>
      </c>
      <c r="BE92" s="5" t="s">
        <v>76</v>
      </c>
      <c r="BF92" s="5" t="s">
        <v>76</v>
      </c>
      <c r="BG92" s="15">
        <v>36.9</v>
      </c>
      <c r="BH92" s="5">
        <v>74</v>
      </c>
      <c r="BI92" s="5" t="s">
        <v>76</v>
      </c>
      <c r="BJ92" s="5">
        <v>20</v>
      </c>
      <c r="BK92" s="5">
        <v>127</v>
      </c>
      <c r="BL92" s="5">
        <v>62</v>
      </c>
      <c r="BM92" s="5">
        <v>52</v>
      </c>
      <c r="BN92" s="5">
        <v>160</v>
      </c>
      <c r="BO92" s="5">
        <f t="shared" si="1"/>
        <v>20.3125</v>
      </c>
      <c r="BP92" s="5" t="s">
        <v>109</v>
      </c>
      <c r="BQ92" s="5" t="s">
        <v>76</v>
      </c>
      <c r="BR92" s="5">
        <v>5001</v>
      </c>
    </row>
    <row r="93" s="1" customFormat="1" spans="1:70">
      <c r="A93" s="1">
        <v>3500246</v>
      </c>
      <c r="B93" s="1" t="s">
        <v>393</v>
      </c>
      <c r="D93" s="4">
        <v>45266</v>
      </c>
      <c r="E93" s="4">
        <v>45268</v>
      </c>
      <c r="F93" s="7">
        <v>13377</v>
      </c>
      <c r="G93" s="1">
        <v>48</v>
      </c>
      <c r="H93" s="1">
        <v>9</v>
      </c>
      <c r="I93" s="1">
        <v>43</v>
      </c>
      <c r="J93" s="1">
        <v>9</v>
      </c>
      <c r="K93" s="1">
        <v>63</v>
      </c>
      <c r="L93" s="1">
        <v>34</v>
      </c>
      <c r="O93" s="7">
        <v>13377</v>
      </c>
      <c r="P93" s="4">
        <v>45266</v>
      </c>
      <c r="Q93" s="4">
        <v>45268</v>
      </c>
      <c r="R93" s="1" t="s">
        <v>73</v>
      </c>
      <c r="AO93" s="7">
        <v>13377</v>
      </c>
      <c r="AP93" s="5">
        <v>445.3</v>
      </c>
      <c r="AQ93" s="5">
        <v>122</v>
      </c>
      <c r="AR93" s="5">
        <v>37.4</v>
      </c>
      <c r="AS93" s="5">
        <v>91</v>
      </c>
      <c r="AT93" s="5">
        <v>25</v>
      </c>
      <c r="AU93" s="5">
        <v>16</v>
      </c>
      <c r="AV93" s="5">
        <v>43.9</v>
      </c>
      <c r="AW93" s="5">
        <v>4.5</v>
      </c>
      <c r="AX93" s="5">
        <v>65</v>
      </c>
      <c r="AY93" s="5" t="s">
        <v>76</v>
      </c>
      <c r="AZ93" s="5" t="s">
        <v>75</v>
      </c>
      <c r="BA93" s="5" t="s">
        <v>76</v>
      </c>
      <c r="BB93" s="12" t="s">
        <v>76</v>
      </c>
      <c r="BC93" s="5">
        <v>4.17</v>
      </c>
      <c r="BD93" s="5">
        <v>122</v>
      </c>
      <c r="BE93" s="5" t="s">
        <v>76</v>
      </c>
      <c r="BF93" s="5" t="s">
        <v>76</v>
      </c>
      <c r="BG93" s="15">
        <v>37</v>
      </c>
      <c r="BH93" s="5">
        <v>90</v>
      </c>
      <c r="BI93" s="5">
        <v>90</v>
      </c>
      <c r="BJ93" s="5">
        <v>21</v>
      </c>
      <c r="BK93" s="5">
        <v>180</v>
      </c>
      <c r="BL93" s="5">
        <v>99</v>
      </c>
      <c r="BM93" s="5">
        <v>45</v>
      </c>
      <c r="BN93" s="5">
        <v>160</v>
      </c>
      <c r="BO93" s="5">
        <f t="shared" si="1"/>
        <v>17.578125</v>
      </c>
      <c r="BP93" s="5" t="s">
        <v>394</v>
      </c>
      <c r="BQ93" s="5" t="s">
        <v>76</v>
      </c>
      <c r="BR93" s="5">
        <v>2656</v>
      </c>
    </row>
    <row r="94" s="1" customFormat="1" spans="1:70">
      <c r="A94" s="1">
        <v>3239460</v>
      </c>
      <c r="B94" s="1" t="s">
        <v>395</v>
      </c>
      <c r="D94" s="4">
        <v>44882</v>
      </c>
      <c r="E94" s="4">
        <v>44894</v>
      </c>
      <c r="F94" s="7">
        <v>13381</v>
      </c>
      <c r="G94" s="1">
        <v>33</v>
      </c>
      <c r="H94" s="1">
        <v>8</v>
      </c>
      <c r="I94" s="1">
        <v>41</v>
      </c>
      <c r="J94" s="1">
        <v>8</v>
      </c>
      <c r="K94" s="1">
        <v>64</v>
      </c>
      <c r="L94" s="1">
        <v>64</v>
      </c>
      <c r="M94" s="1">
        <v>0.44</v>
      </c>
      <c r="N94" s="1">
        <v>7.6</v>
      </c>
      <c r="O94" s="7">
        <v>13381</v>
      </c>
      <c r="P94" s="4">
        <v>44882</v>
      </c>
      <c r="Q94" s="4">
        <v>44894</v>
      </c>
      <c r="R94" s="1" t="s">
        <v>73</v>
      </c>
      <c r="S94" s="1">
        <v>86</v>
      </c>
      <c r="T94" s="1" t="s">
        <v>396</v>
      </c>
      <c r="V94" s="1">
        <v>4</v>
      </c>
      <c r="AC94" s="1">
        <v>1</v>
      </c>
      <c r="AG94" s="1">
        <v>1</v>
      </c>
      <c r="AH94" s="1">
        <v>1</v>
      </c>
      <c r="AO94" s="7">
        <v>13381</v>
      </c>
      <c r="AP94" s="5">
        <v>6.6</v>
      </c>
      <c r="AQ94" s="5">
        <v>121</v>
      </c>
      <c r="AR94" s="5">
        <v>38.7</v>
      </c>
      <c r="AS94" s="5">
        <v>22.5</v>
      </c>
      <c r="AT94" s="5">
        <v>33</v>
      </c>
      <c r="AU94" s="5">
        <v>6</v>
      </c>
      <c r="AV94" s="5">
        <v>32</v>
      </c>
      <c r="AW94" s="5">
        <v>5.68</v>
      </c>
      <c r="AX94" s="5">
        <v>36</v>
      </c>
      <c r="AY94" s="5" t="s">
        <v>125</v>
      </c>
      <c r="AZ94" s="5">
        <v>5.41</v>
      </c>
      <c r="BA94" s="5">
        <v>2.64</v>
      </c>
      <c r="BB94" s="12" t="s">
        <v>76</v>
      </c>
      <c r="BC94" s="5">
        <v>3.13</v>
      </c>
      <c r="BD94" s="5">
        <v>121</v>
      </c>
      <c r="BE94" s="5">
        <v>1.13</v>
      </c>
      <c r="BF94" s="5">
        <v>0.88</v>
      </c>
      <c r="BG94" s="15">
        <v>36.5</v>
      </c>
      <c r="BH94" s="5">
        <v>90</v>
      </c>
      <c r="BI94" s="5" t="s">
        <v>76</v>
      </c>
      <c r="BJ94" s="5">
        <v>10</v>
      </c>
      <c r="BK94" s="5">
        <v>133</v>
      </c>
      <c r="BL94" s="5">
        <v>83</v>
      </c>
      <c r="BM94" s="5">
        <v>55</v>
      </c>
      <c r="BN94" s="5">
        <v>160</v>
      </c>
      <c r="BO94" s="5">
        <f t="shared" si="1"/>
        <v>21.484375</v>
      </c>
      <c r="BP94" s="5" t="s">
        <v>397</v>
      </c>
      <c r="BQ94" s="5" t="s">
        <v>76</v>
      </c>
      <c r="BR94" s="5">
        <v>3189</v>
      </c>
    </row>
    <row r="95" s="1" customFormat="1" spans="1:70">
      <c r="A95" s="1">
        <v>3289021</v>
      </c>
      <c r="B95" s="1" t="s">
        <v>398</v>
      </c>
      <c r="D95" s="4">
        <v>44976</v>
      </c>
      <c r="E95" s="4">
        <v>44983</v>
      </c>
      <c r="F95" s="7">
        <v>13401</v>
      </c>
      <c r="G95" s="1">
        <v>27</v>
      </c>
      <c r="H95" s="1">
        <v>9</v>
      </c>
      <c r="I95" s="1">
        <v>40</v>
      </c>
      <c r="J95" s="1">
        <v>9</v>
      </c>
      <c r="K95" s="1">
        <v>56</v>
      </c>
      <c r="L95" s="1">
        <v>29</v>
      </c>
      <c r="M95" s="1">
        <v>0.57</v>
      </c>
      <c r="N95" s="1">
        <v>10.6</v>
      </c>
      <c r="O95" s="7">
        <v>13401</v>
      </c>
      <c r="P95" s="4">
        <v>44976</v>
      </c>
      <c r="Q95" s="4">
        <v>44983</v>
      </c>
      <c r="R95" s="1" t="s">
        <v>80</v>
      </c>
      <c r="AO95" s="7">
        <v>13401</v>
      </c>
      <c r="AP95" s="5">
        <v>20.2</v>
      </c>
      <c r="AQ95" s="5">
        <v>92</v>
      </c>
      <c r="AR95" s="5">
        <v>37.4</v>
      </c>
      <c r="AS95" s="5">
        <v>89.4</v>
      </c>
      <c r="AT95" s="5">
        <v>39</v>
      </c>
      <c r="AU95" s="5">
        <v>21</v>
      </c>
      <c r="AV95" s="5">
        <v>30.3</v>
      </c>
      <c r="AW95" s="5">
        <v>39.81</v>
      </c>
      <c r="AX95" s="5">
        <v>192</v>
      </c>
      <c r="AY95" s="5">
        <v>54.5</v>
      </c>
      <c r="AZ95" s="5" t="s">
        <v>75</v>
      </c>
      <c r="BA95" s="5" t="s">
        <v>76</v>
      </c>
      <c r="BB95" s="12" t="s">
        <v>76</v>
      </c>
      <c r="BC95" s="5">
        <v>4.83</v>
      </c>
      <c r="BD95" s="5">
        <v>92</v>
      </c>
      <c r="BE95" s="5" t="s">
        <v>76</v>
      </c>
      <c r="BF95" s="5" t="s">
        <v>76</v>
      </c>
      <c r="BG95" s="15">
        <v>36.3</v>
      </c>
      <c r="BH95" s="5" t="s">
        <v>76</v>
      </c>
      <c r="BI95" s="5">
        <v>71</v>
      </c>
      <c r="BJ95" s="5">
        <v>28</v>
      </c>
      <c r="BK95" s="5">
        <v>125</v>
      </c>
      <c r="BL95" s="5">
        <v>54</v>
      </c>
      <c r="BM95" s="5" t="s">
        <v>77</v>
      </c>
      <c r="BN95" s="5" t="s">
        <v>77</v>
      </c>
      <c r="BO95" s="5" t="e">
        <f t="shared" si="1"/>
        <v>#VALUE!</v>
      </c>
      <c r="BP95" s="5" t="s">
        <v>369</v>
      </c>
      <c r="BQ95" s="5">
        <v>5.9</v>
      </c>
      <c r="BR95" s="5">
        <v>8458</v>
      </c>
    </row>
    <row r="96" s="1" customFormat="1" spans="1:70">
      <c r="A96" s="1">
        <v>3255272</v>
      </c>
      <c r="B96" s="1" t="s">
        <v>399</v>
      </c>
      <c r="C96" s="1">
        <v>1</v>
      </c>
      <c r="D96" s="4">
        <v>44918</v>
      </c>
      <c r="E96" s="4">
        <v>44937</v>
      </c>
      <c r="F96" s="7">
        <v>13424</v>
      </c>
      <c r="G96" s="1">
        <v>44</v>
      </c>
      <c r="H96" s="1">
        <v>10</v>
      </c>
      <c r="I96" s="1">
        <v>47</v>
      </c>
      <c r="J96" s="1">
        <v>10</v>
      </c>
      <c r="K96" s="1">
        <v>54</v>
      </c>
      <c r="N96" s="1">
        <v>8.5</v>
      </c>
      <c r="O96" s="7">
        <v>13424</v>
      </c>
      <c r="P96" s="4">
        <v>44918</v>
      </c>
      <c r="Q96" s="4">
        <v>44937</v>
      </c>
      <c r="R96" s="1" t="s">
        <v>73</v>
      </c>
      <c r="AO96" s="7">
        <v>13424</v>
      </c>
      <c r="AP96" s="5">
        <v>9.6</v>
      </c>
      <c r="AQ96" s="5">
        <v>95</v>
      </c>
      <c r="AR96" s="5">
        <v>59</v>
      </c>
      <c r="AS96" s="5">
        <v>9.4</v>
      </c>
      <c r="AT96" s="5">
        <v>27</v>
      </c>
      <c r="AU96" s="5">
        <v>26</v>
      </c>
      <c r="AV96" s="5">
        <v>39.3</v>
      </c>
      <c r="AW96" s="5">
        <v>27.87</v>
      </c>
      <c r="AX96" s="5">
        <v>162</v>
      </c>
      <c r="AY96" s="5">
        <v>36.79</v>
      </c>
      <c r="AZ96" s="5">
        <v>8.83</v>
      </c>
      <c r="BA96" s="5" t="s">
        <v>76</v>
      </c>
      <c r="BB96" s="12" t="s">
        <v>76</v>
      </c>
      <c r="BC96" s="5">
        <v>4.58</v>
      </c>
      <c r="BD96" s="5">
        <v>95</v>
      </c>
      <c r="BE96" s="5" t="s">
        <v>76</v>
      </c>
      <c r="BF96" s="5" t="s">
        <v>76</v>
      </c>
      <c r="BG96" s="15">
        <v>36.7</v>
      </c>
      <c r="BH96" s="5" t="s">
        <v>76</v>
      </c>
      <c r="BI96" s="5">
        <v>60</v>
      </c>
      <c r="BJ96" s="5">
        <v>24</v>
      </c>
      <c r="BK96" s="5">
        <v>145</v>
      </c>
      <c r="BL96" s="5">
        <v>72</v>
      </c>
      <c r="BM96" s="5">
        <v>80</v>
      </c>
      <c r="BN96" s="5">
        <v>160</v>
      </c>
      <c r="BO96" s="5">
        <f t="shared" si="1"/>
        <v>31.25</v>
      </c>
      <c r="BP96" s="5" t="s">
        <v>168</v>
      </c>
      <c r="BQ96" s="5">
        <v>7.3</v>
      </c>
      <c r="BR96" s="5" t="s">
        <v>118</v>
      </c>
    </row>
    <row r="97" s="1" customFormat="1" spans="1:70">
      <c r="A97" s="1" t="s">
        <v>400</v>
      </c>
      <c r="B97" s="1" t="s">
        <v>401</v>
      </c>
      <c r="D97" s="4">
        <v>44946</v>
      </c>
      <c r="E97" s="4">
        <v>44960</v>
      </c>
      <c r="F97" s="7">
        <v>13433</v>
      </c>
      <c r="G97" s="1">
        <v>50</v>
      </c>
      <c r="H97" s="1">
        <v>9</v>
      </c>
      <c r="I97" s="1">
        <v>49</v>
      </c>
      <c r="J97" s="1">
        <v>9</v>
      </c>
      <c r="K97" s="1">
        <v>60</v>
      </c>
      <c r="L97" s="1">
        <v>32</v>
      </c>
      <c r="N97" s="1">
        <v>14.3</v>
      </c>
      <c r="O97" s="7">
        <v>13433</v>
      </c>
      <c r="P97" s="4">
        <v>44946</v>
      </c>
      <c r="Q97" s="4">
        <v>44960</v>
      </c>
      <c r="R97" s="1" t="s">
        <v>73</v>
      </c>
      <c r="AO97" s="7">
        <v>13433</v>
      </c>
      <c r="AP97" s="5" t="s">
        <v>402</v>
      </c>
      <c r="AQ97" s="5" t="s">
        <v>245</v>
      </c>
      <c r="AR97" s="5" t="s">
        <v>403</v>
      </c>
      <c r="AS97" s="5" t="s">
        <v>404</v>
      </c>
      <c r="AT97" s="5" t="s">
        <v>93</v>
      </c>
      <c r="AU97" s="5" t="s">
        <v>171</v>
      </c>
      <c r="AV97" s="5" t="s">
        <v>405</v>
      </c>
      <c r="AW97" s="5" t="s">
        <v>406</v>
      </c>
      <c r="AX97" s="5" t="s">
        <v>407</v>
      </c>
      <c r="AY97" s="5" t="s">
        <v>408</v>
      </c>
      <c r="AZ97" s="5" t="s">
        <v>409</v>
      </c>
      <c r="BA97" s="5" t="s">
        <v>76</v>
      </c>
      <c r="BB97" s="12" t="s">
        <v>76</v>
      </c>
      <c r="BC97" s="5" t="s">
        <v>410</v>
      </c>
      <c r="BD97" s="5" t="s">
        <v>245</v>
      </c>
      <c r="BE97" s="5" t="s">
        <v>76</v>
      </c>
      <c r="BF97" s="5" t="s">
        <v>76</v>
      </c>
      <c r="BG97" s="15">
        <v>36.5</v>
      </c>
      <c r="BH97" s="5" t="s">
        <v>192</v>
      </c>
      <c r="BI97" s="5" t="s">
        <v>76</v>
      </c>
      <c r="BJ97" s="5" t="s">
        <v>246</v>
      </c>
      <c r="BK97" s="5" t="s">
        <v>411</v>
      </c>
      <c r="BL97" s="5" t="s">
        <v>129</v>
      </c>
      <c r="BM97" s="5">
        <v>65</v>
      </c>
      <c r="BN97" s="5">
        <v>150</v>
      </c>
      <c r="BO97" s="5">
        <f t="shared" si="1"/>
        <v>28.8888888888889</v>
      </c>
      <c r="BP97" s="5" t="s">
        <v>412</v>
      </c>
      <c r="BQ97" s="5" t="s">
        <v>76</v>
      </c>
      <c r="BR97" s="5">
        <v>3562</v>
      </c>
    </row>
    <row r="98" s="1" customFormat="1" spans="1:70">
      <c r="A98" s="1">
        <v>3270008</v>
      </c>
      <c r="B98" s="1" t="s">
        <v>413</v>
      </c>
      <c r="D98" s="4">
        <v>44950</v>
      </c>
      <c r="E98" s="4">
        <v>44957</v>
      </c>
      <c r="F98" s="7">
        <v>13441</v>
      </c>
      <c r="G98" s="1">
        <v>40</v>
      </c>
      <c r="H98" s="1">
        <v>10</v>
      </c>
      <c r="I98" s="1">
        <v>60</v>
      </c>
      <c r="J98" s="1">
        <v>10</v>
      </c>
      <c r="K98" s="1">
        <v>50</v>
      </c>
      <c r="L98" s="1">
        <v>25</v>
      </c>
      <c r="M98" s="1">
        <v>0.4</v>
      </c>
      <c r="N98" s="1">
        <v>12.7</v>
      </c>
      <c r="O98" s="7">
        <v>13441</v>
      </c>
      <c r="P98" s="4">
        <v>44950</v>
      </c>
      <c r="Q98" s="4">
        <v>44957</v>
      </c>
      <c r="R98" s="1" t="s">
        <v>80</v>
      </c>
      <c r="S98" s="1">
        <v>64</v>
      </c>
      <c r="T98" s="1" t="s">
        <v>414</v>
      </c>
      <c r="V98" s="1" t="s">
        <v>155</v>
      </c>
      <c r="Z98" s="1" t="s">
        <v>155</v>
      </c>
      <c r="AA98" s="1" t="s">
        <v>155</v>
      </c>
      <c r="AC98" s="1" t="s">
        <v>155</v>
      </c>
      <c r="AG98" s="1">
        <v>1</v>
      </c>
      <c r="AK98" s="1">
        <v>1</v>
      </c>
      <c r="AM98" s="1">
        <v>1</v>
      </c>
      <c r="AN98" s="1">
        <v>1</v>
      </c>
      <c r="AO98" s="7">
        <v>13441</v>
      </c>
      <c r="AP98" s="5">
        <v>6.6</v>
      </c>
      <c r="AQ98" s="5">
        <v>144</v>
      </c>
      <c r="AR98" s="5">
        <v>45.6</v>
      </c>
      <c r="AS98" s="5">
        <v>5.1</v>
      </c>
      <c r="AT98" s="5">
        <v>24</v>
      </c>
      <c r="AU98" s="5">
        <v>16</v>
      </c>
      <c r="AV98" s="5">
        <v>39.2</v>
      </c>
      <c r="AW98" s="5">
        <v>23.62</v>
      </c>
      <c r="AX98" s="5">
        <v>479</v>
      </c>
      <c r="AY98" s="5">
        <v>18.82</v>
      </c>
      <c r="AZ98" s="5" t="s">
        <v>75</v>
      </c>
      <c r="BA98" s="5">
        <v>3.48</v>
      </c>
      <c r="BB98" s="12" t="s">
        <v>76</v>
      </c>
      <c r="BC98" s="5" t="s">
        <v>4</v>
      </c>
      <c r="BD98" s="5">
        <v>144</v>
      </c>
      <c r="BE98" s="5">
        <v>0.84</v>
      </c>
      <c r="BF98" s="5">
        <v>1.99</v>
      </c>
      <c r="BG98" s="15">
        <v>36.5</v>
      </c>
      <c r="BH98" s="5" t="s">
        <v>76</v>
      </c>
      <c r="BI98" s="5">
        <v>66</v>
      </c>
      <c r="BJ98" s="5" t="s">
        <v>76</v>
      </c>
      <c r="BK98" s="5">
        <v>105</v>
      </c>
      <c r="BL98" s="5">
        <v>63</v>
      </c>
      <c r="BM98" s="5" t="s">
        <v>77</v>
      </c>
      <c r="BN98" s="5" t="s">
        <v>77</v>
      </c>
      <c r="BO98" s="5" t="e">
        <f t="shared" si="1"/>
        <v>#VALUE!</v>
      </c>
      <c r="BP98" s="5" t="s">
        <v>415</v>
      </c>
      <c r="BQ98" s="5">
        <v>6.3</v>
      </c>
      <c r="BR98" s="5">
        <v>1841</v>
      </c>
    </row>
    <row r="99" s="1" customFormat="1" spans="1:70">
      <c r="A99" s="1">
        <v>3302038</v>
      </c>
      <c r="B99" s="1" t="s">
        <v>416</v>
      </c>
      <c r="D99" s="4">
        <v>44993</v>
      </c>
      <c r="E99" s="4">
        <v>45008</v>
      </c>
      <c r="F99" s="7">
        <v>13459</v>
      </c>
      <c r="G99" s="1">
        <v>37</v>
      </c>
      <c r="H99" s="1">
        <v>8</v>
      </c>
      <c r="I99" s="1">
        <v>48</v>
      </c>
      <c r="J99" s="1">
        <v>8</v>
      </c>
      <c r="K99" s="1">
        <v>59</v>
      </c>
      <c r="L99" s="1">
        <v>31</v>
      </c>
      <c r="M99" s="1">
        <v>0.51</v>
      </c>
      <c r="N99" s="1">
        <v>6.9</v>
      </c>
      <c r="O99" s="7">
        <v>13459</v>
      </c>
      <c r="P99" s="4">
        <v>44993</v>
      </c>
      <c r="Q99" s="4">
        <v>45008</v>
      </c>
      <c r="R99" s="1" t="s">
        <v>80</v>
      </c>
      <c r="AO99" s="7">
        <v>13459</v>
      </c>
      <c r="AP99" s="5">
        <v>6.6</v>
      </c>
      <c r="AQ99" s="5">
        <v>116</v>
      </c>
      <c r="AR99" s="5">
        <v>36.3</v>
      </c>
      <c r="AS99" s="5">
        <v>85.8</v>
      </c>
      <c r="AT99" s="5">
        <v>41</v>
      </c>
      <c r="AU99" s="5">
        <v>27</v>
      </c>
      <c r="AV99" s="5">
        <v>34</v>
      </c>
      <c r="AW99" s="5">
        <v>6.87</v>
      </c>
      <c r="AX99" s="5">
        <v>55</v>
      </c>
      <c r="AY99" s="5" t="s">
        <v>125</v>
      </c>
      <c r="AZ99" s="5" t="s">
        <v>76</v>
      </c>
      <c r="BA99" s="5" t="s">
        <v>76</v>
      </c>
      <c r="BB99" s="12" t="s">
        <v>76</v>
      </c>
      <c r="BC99" s="5">
        <v>4.16</v>
      </c>
      <c r="BD99" s="5">
        <v>116</v>
      </c>
      <c r="BE99" s="5" t="s">
        <v>76</v>
      </c>
      <c r="BF99" s="5" t="s">
        <v>76</v>
      </c>
      <c r="BG99" s="15">
        <v>36.6</v>
      </c>
      <c r="BH99" s="5">
        <v>75</v>
      </c>
      <c r="BI99" s="5">
        <v>75</v>
      </c>
      <c r="BJ99" s="5">
        <v>18</v>
      </c>
      <c r="BK99" s="5">
        <v>138</v>
      </c>
      <c r="BL99" s="5">
        <v>85</v>
      </c>
      <c r="BM99" s="5" t="s">
        <v>274</v>
      </c>
      <c r="BN99" s="5" t="s">
        <v>274</v>
      </c>
      <c r="BO99" s="5" t="e">
        <f t="shared" si="1"/>
        <v>#VALUE!</v>
      </c>
      <c r="BP99" s="5" t="s">
        <v>109</v>
      </c>
      <c r="BQ99" s="5" t="s">
        <v>76</v>
      </c>
      <c r="BR99" s="5">
        <v>10718</v>
      </c>
    </row>
    <row r="100" s="1" customFormat="1" spans="1:70">
      <c r="A100" s="1" t="s">
        <v>417</v>
      </c>
      <c r="B100" s="1" t="s">
        <v>418</v>
      </c>
      <c r="D100" s="4">
        <v>44938</v>
      </c>
      <c r="E100" s="4">
        <v>44965</v>
      </c>
      <c r="F100" s="7">
        <v>13469</v>
      </c>
      <c r="G100" s="1">
        <v>39</v>
      </c>
      <c r="H100" s="1">
        <v>13</v>
      </c>
      <c r="I100" s="1">
        <v>40</v>
      </c>
      <c r="J100" s="1">
        <v>13</v>
      </c>
      <c r="K100" s="1">
        <v>61</v>
      </c>
      <c r="L100" s="1">
        <v>32</v>
      </c>
      <c r="M100" s="1">
        <v>0.7</v>
      </c>
      <c r="N100" s="1">
        <v>21.4</v>
      </c>
      <c r="O100" s="7">
        <v>13469</v>
      </c>
      <c r="P100" s="4">
        <v>44938</v>
      </c>
      <c r="Q100" s="4">
        <v>44965</v>
      </c>
      <c r="R100" s="1" t="s">
        <v>73</v>
      </c>
      <c r="AO100" s="7">
        <v>13469</v>
      </c>
      <c r="AP100" s="5" t="s">
        <v>221</v>
      </c>
      <c r="AQ100" s="5" t="s">
        <v>419</v>
      </c>
      <c r="AR100" s="5" t="s">
        <v>420</v>
      </c>
      <c r="AS100" s="5" t="s">
        <v>421</v>
      </c>
      <c r="AT100" s="5" t="s">
        <v>422</v>
      </c>
      <c r="AU100" s="5" t="s">
        <v>225</v>
      </c>
      <c r="AV100" s="5" t="s">
        <v>423</v>
      </c>
      <c r="AW100" s="5" t="s">
        <v>424</v>
      </c>
      <c r="AX100" s="5" t="s">
        <v>425</v>
      </c>
      <c r="AY100" s="5" t="s">
        <v>426</v>
      </c>
      <c r="AZ100" s="5" t="s">
        <v>427</v>
      </c>
      <c r="BA100" s="5" t="s">
        <v>76</v>
      </c>
      <c r="BB100" s="12" t="s">
        <v>76</v>
      </c>
      <c r="BC100" s="5" t="s">
        <v>428</v>
      </c>
      <c r="BD100" s="5" t="s">
        <v>419</v>
      </c>
      <c r="BE100" s="5" t="s">
        <v>76</v>
      </c>
      <c r="BF100" s="5" t="s">
        <v>76</v>
      </c>
      <c r="BG100" s="15">
        <v>36.6</v>
      </c>
      <c r="BH100" s="5" t="s">
        <v>212</v>
      </c>
      <c r="BI100" s="5" t="s">
        <v>76</v>
      </c>
      <c r="BJ100" s="5" t="s">
        <v>101</v>
      </c>
      <c r="BK100" s="5" t="s">
        <v>429</v>
      </c>
      <c r="BL100" s="5" t="s">
        <v>215</v>
      </c>
      <c r="BM100" s="5" t="s">
        <v>195</v>
      </c>
      <c r="BN100" s="5">
        <v>155</v>
      </c>
      <c r="BO100" s="5">
        <f t="shared" si="1"/>
        <v>20.8116545265349</v>
      </c>
      <c r="BP100" s="5" t="s">
        <v>105</v>
      </c>
      <c r="BQ100" s="5" t="s">
        <v>76</v>
      </c>
      <c r="BR100" s="5">
        <v>4809</v>
      </c>
    </row>
    <row r="101" s="1" customFormat="1" spans="1:70">
      <c r="A101" s="1">
        <v>3289825</v>
      </c>
      <c r="B101" s="1" t="s">
        <v>430</v>
      </c>
      <c r="D101" s="4">
        <v>44977</v>
      </c>
      <c r="E101" s="4">
        <v>44981</v>
      </c>
      <c r="F101" s="7">
        <v>13496</v>
      </c>
      <c r="G101" s="1">
        <v>42</v>
      </c>
      <c r="H101" s="1">
        <v>9</v>
      </c>
      <c r="I101" s="1">
        <v>51</v>
      </c>
      <c r="J101" s="1">
        <v>9</v>
      </c>
      <c r="K101" s="1">
        <v>60</v>
      </c>
      <c r="L101" s="1">
        <v>32</v>
      </c>
      <c r="M101" s="1">
        <v>0.67</v>
      </c>
      <c r="N101" s="1">
        <v>16.3</v>
      </c>
      <c r="O101" s="7">
        <v>13496</v>
      </c>
      <c r="P101" s="4">
        <v>44977</v>
      </c>
      <c r="Q101" s="4">
        <v>44981</v>
      </c>
      <c r="R101" s="1" t="s">
        <v>80</v>
      </c>
      <c r="AO101" s="7">
        <v>13496</v>
      </c>
      <c r="AP101" s="5">
        <v>4.4</v>
      </c>
      <c r="AQ101" s="5">
        <v>88</v>
      </c>
      <c r="AR101" s="5">
        <v>28.4</v>
      </c>
      <c r="AS101" s="5">
        <v>3</v>
      </c>
      <c r="AT101" s="5">
        <v>35</v>
      </c>
      <c r="AU101" s="5">
        <v>34</v>
      </c>
      <c r="AV101" s="5">
        <v>36.4</v>
      </c>
      <c r="AW101" s="5">
        <v>21.52</v>
      </c>
      <c r="AX101" s="5">
        <v>252</v>
      </c>
      <c r="AY101" s="5">
        <v>22.48</v>
      </c>
      <c r="AZ101" s="5" t="s">
        <v>198</v>
      </c>
      <c r="BA101" s="5" t="s">
        <v>76</v>
      </c>
      <c r="BB101" s="12" t="s">
        <v>76</v>
      </c>
      <c r="BC101" s="5">
        <v>3.98</v>
      </c>
      <c r="BD101" s="5">
        <v>88</v>
      </c>
      <c r="BE101" s="5" t="s">
        <v>76</v>
      </c>
      <c r="BF101" s="5" t="s">
        <v>76</v>
      </c>
      <c r="BG101" s="15">
        <v>36.3</v>
      </c>
      <c r="BH101" s="5">
        <v>80</v>
      </c>
      <c r="BI101" s="5" t="s">
        <v>76</v>
      </c>
      <c r="BJ101" s="5">
        <v>17</v>
      </c>
      <c r="BK101" s="5">
        <v>205</v>
      </c>
      <c r="BL101" s="5">
        <v>90</v>
      </c>
      <c r="BM101" s="5">
        <v>65</v>
      </c>
      <c r="BN101" s="5">
        <v>172</v>
      </c>
      <c r="BO101" s="5">
        <f t="shared" si="1"/>
        <v>21.9713358572201</v>
      </c>
      <c r="BP101" s="5" t="s">
        <v>300</v>
      </c>
      <c r="BQ101" s="5" t="s">
        <v>76</v>
      </c>
      <c r="BR101" s="5">
        <v>19450</v>
      </c>
    </row>
    <row r="102" s="1" customFormat="1" spans="1:70">
      <c r="A102" s="1">
        <v>3268496</v>
      </c>
      <c r="B102" s="1" t="s">
        <v>431</v>
      </c>
      <c r="D102" s="4">
        <v>44944</v>
      </c>
      <c r="E102" s="4">
        <v>44959</v>
      </c>
      <c r="F102" s="7">
        <v>13496</v>
      </c>
      <c r="G102" s="1">
        <v>45</v>
      </c>
      <c r="H102" s="1">
        <v>8</v>
      </c>
      <c r="I102" s="1">
        <v>38</v>
      </c>
      <c r="J102" s="1">
        <v>8</v>
      </c>
      <c r="K102" s="1">
        <v>65</v>
      </c>
      <c r="L102" s="1">
        <v>35</v>
      </c>
      <c r="M102" s="1">
        <v>1.8</v>
      </c>
      <c r="N102" s="1">
        <v>26.7</v>
      </c>
      <c r="O102" s="7">
        <v>13496</v>
      </c>
      <c r="P102" s="4">
        <v>44944</v>
      </c>
      <c r="Q102" s="4">
        <v>44959</v>
      </c>
      <c r="R102" s="1" t="s">
        <v>73</v>
      </c>
      <c r="S102" s="1">
        <v>86</v>
      </c>
      <c r="T102" s="1" t="s">
        <v>432</v>
      </c>
      <c r="V102" s="1">
        <v>1</v>
      </c>
      <c r="Y102" s="1">
        <v>1</v>
      </c>
      <c r="AB102" s="1">
        <v>1</v>
      </c>
      <c r="AC102" s="1">
        <v>1</v>
      </c>
      <c r="AG102" s="1">
        <v>1</v>
      </c>
      <c r="AH102" s="1">
        <v>1</v>
      </c>
      <c r="AI102" s="1">
        <v>1</v>
      </c>
      <c r="AM102" s="1">
        <v>1</v>
      </c>
      <c r="AN102" s="1">
        <v>1</v>
      </c>
      <c r="AO102" s="7">
        <v>13496</v>
      </c>
      <c r="AP102" s="5">
        <v>9.3</v>
      </c>
      <c r="AQ102" s="5">
        <v>95</v>
      </c>
      <c r="AR102" s="5">
        <v>44.2</v>
      </c>
      <c r="AS102" s="5">
        <v>67.5</v>
      </c>
      <c r="AT102" s="5">
        <v>64</v>
      </c>
      <c r="AU102" s="5">
        <v>25</v>
      </c>
      <c r="AV102" s="5">
        <v>35.6</v>
      </c>
      <c r="AW102" s="5">
        <v>4.15</v>
      </c>
      <c r="AX102" s="5">
        <v>69</v>
      </c>
      <c r="AY102" s="5" t="s">
        <v>125</v>
      </c>
      <c r="AZ102" s="5">
        <v>5.88</v>
      </c>
      <c r="BA102" s="5">
        <v>4.88</v>
      </c>
      <c r="BB102" s="12" t="s">
        <v>76</v>
      </c>
      <c r="BC102" s="5">
        <v>3.04</v>
      </c>
      <c r="BD102" s="5">
        <v>95</v>
      </c>
      <c r="BE102" s="5">
        <v>1.42</v>
      </c>
      <c r="BF102" s="5">
        <v>2.74</v>
      </c>
      <c r="BG102" s="15">
        <v>36.7</v>
      </c>
      <c r="BH102" s="5">
        <v>128</v>
      </c>
      <c r="BI102" s="5">
        <v>137</v>
      </c>
      <c r="BJ102" s="5">
        <v>28</v>
      </c>
      <c r="BK102" s="5">
        <v>193</v>
      </c>
      <c r="BL102" s="5">
        <v>124</v>
      </c>
      <c r="BM102" s="5">
        <v>50</v>
      </c>
      <c r="BN102" s="5">
        <v>155</v>
      </c>
      <c r="BO102" s="5">
        <f t="shared" si="1"/>
        <v>20.8116545265349</v>
      </c>
      <c r="BP102" s="5" t="s">
        <v>144</v>
      </c>
      <c r="BQ102" s="5" t="s">
        <v>76</v>
      </c>
      <c r="BR102" s="5">
        <v>7341</v>
      </c>
    </row>
    <row r="103" s="1" customFormat="1" spans="1:70">
      <c r="A103" s="1">
        <v>3499259</v>
      </c>
      <c r="B103" s="1" t="s">
        <v>433</v>
      </c>
      <c r="D103" s="4">
        <v>45265</v>
      </c>
      <c r="E103" s="4">
        <v>45268</v>
      </c>
      <c r="F103" s="7">
        <v>13506</v>
      </c>
      <c r="G103" s="1">
        <v>42</v>
      </c>
      <c r="H103" s="1">
        <v>9</v>
      </c>
      <c r="I103" s="1">
        <v>60</v>
      </c>
      <c r="J103" s="1">
        <v>9</v>
      </c>
      <c r="K103" s="1">
        <v>30</v>
      </c>
      <c r="L103" s="1">
        <v>14</v>
      </c>
      <c r="M103" s="1">
        <v>0.59</v>
      </c>
      <c r="O103" s="7">
        <v>13506</v>
      </c>
      <c r="P103" s="4">
        <v>45265</v>
      </c>
      <c r="Q103" s="4">
        <v>45268</v>
      </c>
      <c r="R103" s="1" t="s">
        <v>80</v>
      </c>
      <c r="AO103" s="7">
        <v>13506</v>
      </c>
      <c r="AP103" s="5">
        <v>9.1</v>
      </c>
      <c r="AQ103" s="5">
        <v>120</v>
      </c>
      <c r="AR103" s="5">
        <v>38.5</v>
      </c>
      <c r="AS103" s="5">
        <v>72</v>
      </c>
      <c r="AT103" s="5">
        <v>673</v>
      </c>
      <c r="AU103" s="5">
        <v>884</v>
      </c>
      <c r="AV103" s="5">
        <v>34.8</v>
      </c>
      <c r="AW103" s="5">
        <v>41.5</v>
      </c>
      <c r="AX103" s="5">
        <v>287</v>
      </c>
      <c r="AY103" s="5">
        <v>42.21</v>
      </c>
      <c r="AZ103" s="5" t="s">
        <v>75</v>
      </c>
      <c r="BA103" s="5" t="s">
        <v>76</v>
      </c>
      <c r="BB103" s="12" t="s">
        <v>76</v>
      </c>
      <c r="BC103" s="5">
        <v>5.41</v>
      </c>
      <c r="BD103" s="5">
        <v>120</v>
      </c>
      <c r="BE103" s="5" t="s">
        <v>76</v>
      </c>
      <c r="BF103" s="5" t="s">
        <v>76</v>
      </c>
      <c r="BG103" s="5" t="s">
        <v>76</v>
      </c>
      <c r="BH103" s="5" t="s">
        <v>76</v>
      </c>
      <c r="BI103" s="5" t="s">
        <v>76</v>
      </c>
      <c r="BJ103" s="5" t="s">
        <v>76</v>
      </c>
      <c r="BK103" s="5" t="s">
        <v>76</v>
      </c>
      <c r="BL103" s="5" t="s">
        <v>76</v>
      </c>
      <c r="BM103" s="5" t="s">
        <v>76</v>
      </c>
      <c r="BN103" s="5" t="s">
        <v>76</v>
      </c>
      <c r="BO103" s="5" t="e">
        <f t="shared" si="1"/>
        <v>#VALUE!</v>
      </c>
      <c r="BP103" s="5" t="s">
        <v>117</v>
      </c>
      <c r="BQ103" s="5" t="s">
        <v>76</v>
      </c>
      <c r="BR103" s="5" t="s">
        <v>118</v>
      </c>
    </row>
    <row r="104" s="1" customFormat="1" spans="1:70">
      <c r="A104" s="1">
        <v>3279197</v>
      </c>
      <c r="B104" s="1" t="s">
        <v>434</v>
      </c>
      <c r="D104" s="4">
        <v>44964</v>
      </c>
      <c r="E104" s="4">
        <v>44971</v>
      </c>
      <c r="F104" s="7">
        <v>13526</v>
      </c>
      <c r="G104" s="1">
        <v>47</v>
      </c>
      <c r="H104" s="1">
        <v>10</v>
      </c>
      <c r="I104" s="1">
        <v>49</v>
      </c>
      <c r="J104" s="1">
        <v>10</v>
      </c>
      <c r="K104" s="1">
        <v>56</v>
      </c>
      <c r="L104" s="1">
        <v>30</v>
      </c>
      <c r="N104" s="1">
        <v>19.5</v>
      </c>
      <c r="O104" s="7">
        <v>13526</v>
      </c>
      <c r="P104" s="4">
        <v>44964</v>
      </c>
      <c r="Q104" s="4">
        <v>44971</v>
      </c>
      <c r="R104" s="1" t="s">
        <v>73</v>
      </c>
      <c r="S104" s="1">
        <v>86</v>
      </c>
      <c r="T104" s="1" t="s">
        <v>435</v>
      </c>
      <c r="AG104" s="1">
        <v>1</v>
      </c>
      <c r="AH104" s="1">
        <v>1</v>
      </c>
      <c r="AK104" s="1">
        <v>1</v>
      </c>
      <c r="AM104" s="1">
        <v>1</v>
      </c>
      <c r="AO104" s="7">
        <v>13526</v>
      </c>
      <c r="AP104" s="5">
        <v>9</v>
      </c>
      <c r="AQ104" s="5">
        <v>113</v>
      </c>
      <c r="AR104" s="5">
        <v>35.8</v>
      </c>
      <c r="AS104" s="5">
        <v>91.6</v>
      </c>
      <c r="AT104" s="5">
        <v>11</v>
      </c>
      <c r="AU104" s="5">
        <v>12</v>
      </c>
      <c r="AV104" s="5">
        <v>33.3</v>
      </c>
      <c r="AW104" s="5">
        <v>6.8</v>
      </c>
      <c r="AX104" s="5">
        <v>68</v>
      </c>
      <c r="AY104" s="5">
        <v>75.64</v>
      </c>
      <c r="AZ104" s="5" t="s">
        <v>75</v>
      </c>
      <c r="BA104" s="5">
        <v>4.83</v>
      </c>
      <c r="BB104" s="12" t="s">
        <v>76</v>
      </c>
      <c r="BC104" s="5">
        <v>4.87</v>
      </c>
      <c r="BD104" s="5">
        <v>113</v>
      </c>
      <c r="BE104" s="5">
        <v>0.99</v>
      </c>
      <c r="BF104" s="5">
        <v>3.25</v>
      </c>
      <c r="BG104" s="15">
        <v>36.6</v>
      </c>
      <c r="BH104" s="5" t="s">
        <v>76</v>
      </c>
      <c r="BI104" s="5">
        <v>60</v>
      </c>
      <c r="BJ104" s="5">
        <v>18</v>
      </c>
      <c r="BK104" s="5">
        <v>149</v>
      </c>
      <c r="BL104" s="5">
        <v>75</v>
      </c>
      <c r="BM104" s="5">
        <v>70</v>
      </c>
      <c r="BN104" s="5">
        <v>162</v>
      </c>
      <c r="BO104" s="5">
        <f t="shared" si="1"/>
        <v>26.6727632982777</v>
      </c>
      <c r="BP104" s="5" t="s">
        <v>156</v>
      </c>
      <c r="BQ104" s="5">
        <v>9.4</v>
      </c>
      <c r="BR104" s="5">
        <v>3694</v>
      </c>
    </row>
    <row r="105" s="1" customFormat="1" spans="1:70">
      <c r="A105" s="1">
        <v>3502302</v>
      </c>
      <c r="B105" s="1" t="s">
        <v>436</v>
      </c>
      <c r="D105" s="4">
        <v>45270</v>
      </c>
      <c r="E105" s="4">
        <v>45286</v>
      </c>
      <c r="F105" s="7">
        <v>13554</v>
      </c>
      <c r="G105" s="1">
        <v>46</v>
      </c>
      <c r="H105" s="1">
        <v>10</v>
      </c>
      <c r="I105" s="1">
        <v>44</v>
      </c>
      <c r="J105" s="1">
        <v>10</v>
      </c>
      <c r="K105" s="1">
        <v>64</v>
      </c>
      <c r="L105" s="1">
        <v>35</v>
      </c>
      <c r="M105" s="1">
        <v>0.86</v>
      </c>
      <c r="O105" s="7">
        <v>13554</v>
      </c>
      <c r="P105" s="4">
        <v>45270</v>
      </c>
      <c r="Q105" s="4">
        <v>45286</v>
      </c>
      <c r="R105" s="1" t="s">
        <v>73</v>
      </c>
      <c r="AO105" s="7">
        <v>13554</v>
      </c>
      <c r="AP105" s="5">
        <v>8.3</v>
      </c>
      <c r="AQ105" s="5">
        <v>96</v>
      </c>
      <c r="AR105" s="5">
        <v>35.1</v>
      </c>
      <c r="AS105" s="5">
        <v>95.3</v>
      </c>
      <c r="AT105" s="5">
        <v>75</v>
      </c>
      <c r="AU105" s="5">
        <v>9</v>
      </c>
      <c r="AV105" s="5" t="s">
        <v>303</v>
      </c>
      <c r="AW105" s="5">
        <v>33.67</v>
      </c>
      <c r="AX105" s="5">
        <v>99</v>
      </c>
      <c r="AY105" s="5">
        <v>89.11</v>
      </c>
      <c r="AZ105" s="5">
        <v>9.7</v>
      </c>
      <c r="BA105" s="5" t="s">
        <v>76</v>
      </c>
      <c r="BB105" s="12" t="s">
        <v>76</v>
      </c>
      <c r="BC105" s="5">
        <v>5.04</v>
      </c>
      <c r="BD105" s="5">
        <v>96</v>
      </c>
      <c r="BE105" s="5" t="s">
        <v>76</v>
      </c>
      <c r="BF105" s="5" t="s">
        <v>76</v>
      </c>
      <c r="BG105" s="5" t="s">
        <v>76</v>
      </c>
      <c r="BH105" s="5" t="s">
        <v>76</v>
      </c>
      <c r="BI105" s="5" t="s">
        <v>76</v>
      </c>
      <c r="BJ105" s="5" t="s">
        <v>76</v>
      </c>
      <c r="BK105" s="5" t="s">
        <v>76</v>
      </c>
      <c r="BL105" s="5" t="s">
        <v>76</v>
      </c>
      <c r="BM105" s="5" t="s">
        <v>76</v>
      </c>
      <c r="BN105" s="5" t="s">
        <v>76</v>
      </c>
      <c r="BO105" s="5" t="e">
        <f t="shared" si="1"/>
        <v>#VALUE!</v>
      </c>
      <c r="BP105" s="5" t="s">
        <v>117</v>
      </c>
      <c r="BQ105" s="5" t="s">
        <v>76</v>
      </c>
      <c r="BR105" s="5">
        <v>5332.55</v>
      </c>
    </row>
    <row r="106" s="1" customFormat="1" spans="1:70">
      <c r="A106" s="1">
        <v>3293440</v>
      </c>
      <c r="B106" s="1" t="s">
        <v>437</v>
      </c>
      <c r="D106" s="4">
        <v>44981</v>
      </c>
      <c r="E106" s="4">
        <v>44994</v>
      </c>
      <c r="F106" s="7">
        <v>13567</v>
      </c>
      <c r="G106" s="1">
        <v>55</v>
      </c>
      <c r="H106" s="1">
        <v>8</v>
      </c>
      <c r="I106" s="1">
        <v>57</v>
      </c>
      <c r="J106" s="1">
        <v>8</v>
      </c>
      <c r="K106" s="1">
        <v>54</v>
      </c>
      <c r="L106" s="1">
        <v>28</v>
      </c>
      <c r="N106" s="1">
        <v>9.1</v>
      </c>
      <c r="O106" s="7">
        <v>13567</v>
      </c>
      <c r="P106" s="4">
        <v>44981</v>
      </c>
      <c r="Q106" s="4">
        <v>44994</v>
      </c>
      <c r="R106" s="1" t="s">
        <v>80</v>
      </c>
      <c r="AO106" s="7">
        <v>13567</v>
      </c>
      <c r="AP106" s="5">
        <v>4.2</v>
      </c>
      <c r="AQ106" s="5">
        <v>107</v>
      </c>
      <c r="AR106" s="5">
        <v>34.3</v>
      </c>
      <c r="AS106" s="5">
        <v>11.3</v>
      </c>
      <c r="AT106" s="5">
        <v>16</v>
      </c>
      <c r="AU106" s="5" t="s">
        <v>171</v>
      </c>
      <c r="AV106" s="5">
        <v>34.7</v>
      </c>
      <c r="AW106" s="5">
        <v>6.12</v>
      </c>
      <c r="AX106" s="5">
        <v>64</v>
      </c>
      <c r="AY106" s="5">
        <v>109.33</v>
      </c>
      <c r="AZ106" s="5" t="s">
        <v>75</v>
      </c>
      <c r="BA106" s="5">
        <v>4.57</v>
      </c>
      <c r="BB106" s="12" t="s">
        <v>76</v>
      </c>
      <c r="BC106" s="5">
        <v>3.75</v>
      </c>
      <c r="BD106" s="5">
        <v>107</v>
      </c>
      <c r="BE106" s="5">
        <v>1.22</v>
      </c>
      <c r="BF106" s="5">
        <v>2.9</v>
      </c>
      <c r="BG106" s="15">
        <v>36.5</v>
      </c>
      <c r="BH106" s="5">
        <v>58</v>
      </c>
      <c r="BI106" s="5" t="s">
        <v>76</v>
      </c>
      <c r="BJ106" s="5">
        <v>18</v>
      </c>
      <c r="BK106" s="5">
        <v>143</v>
      </c>
      <c r="BL106" s="5">
        <v>67</v>
      </c>
      <c r="BM106" s="5">
        <v>55</v>
      </c>
      <c r="BN106" s="5">
        <v>170</v>
      </c>
      <c r="BO106" s="5">
        <f t="shared" si="1"/>
        <v>19.0311418685121</v>
      </c>
      <c r="BP106" s="5" t="s">
        <v>438</v>
      </c>
      <c r="BQ106" s="5" t="s">
        <v>76</v>
      </c>
      <c r="BR106" s="5">
        <v>2756</v>
      </c>
    </row>
    <row r="107" s="1" customFormat="1" spans="1:70">
      <c r="A107" s="1">
        <v>3501938</v>
      </c>
      <c r="B107" s="1" t="s">
        <v>439</v>
      </c>
      <c r="D107" s="4">
        <v>45269</v>
      </c>
      <c r="E107" s="4">
        <v>45279</v>
      </c>
      <c r="F107" s="7">
        <v>13585</v>
      </c>
      <c r="G107" s="1">
        <v>53</v>
      </c>
      <c r="H107" s="1">
        <v>9</v>
      </c>
      <c r="I107" s="1">
        <v>55</v>
      </c>
      <c r="J107" s="1">
        <v>9</v>
      </c>
      <c r="K107" s="1">
        <v>40</v>
      </c>
      <c r="L107" s="1">
        <v>20</v>
      </c>
      <c r="N107" s="10">
        <v>9</v>
      </c>
      <c r="O107" s="7">
        <v>13585</v>
      </c>
      <c r="P107" s="4">
        <v>45269</v>
      </c>
      <c r="Q107" s="4">
        <v>45279</v>
      </c>
      <c r="R107" s="1" t="s">
        <v>80</v>
      </c>
      <c r="AO107" s="7">
        <v>13585</v>
      </c>
      <c r="AP107" s="5">
        <v>9.3</v>
      </c>
      <c r="AQ107" s="5">
        <v>144</v>
      </c>
      <c r="AR107" s="5">
        <v>45.2</v>
      </c>
      <c r="AS107" s="5" t="s">
        <v>374</v>
      </c>
      <c r="AT107" s="5">
        <v>734</v>
      </c>
      <c r="AU107" s="5">
        <v>850</v>
      </c>
      <c r="AV107" s="5">
        <v>36.3</v>
      </c>
      <c r="AW107" s="5">
        <v>7.9</v>
      </c>
      <c r="AX107" s="5">
        <v>97</v>
      </c>
      <c r="AY107" s="5">
        <v>69.31</v>
      </c>
      <c r="AZ107" s="5" t="s">
        <v>75</v>
      </c>
      <c r="BA107" s="5">
        <v>3.49</v>
      </c>
      <c r="BB107" s="12" t="s">
        <v>76</v>
      </c>
      <c r="BC107" s="5">
        <v>4.17</v>
      </c>
      <c r="BD107" s="5">
        <v>144</v>
      </c>
      <c r="BE107" s="5">
        <v>0.76</v>
      </c>
      <c r="BF107" s="5">
        <v>2.26</v>
      </c>
      <c r="BG107" s="5" t="s">
        <v>76</v>
      </c>
      <c r="BH107" s="5" t="s">
        <v>76</v>
      </c>
      <c r="BI107" s="5" t="s">
        <v>76</v>
      </c>
      <c r="BJ107" s="5" t="s">
        <v>76</v>
      </c>
      <c r="BK107" s="5" t="s">
        <v>76</v>
      </c>
      <c r="BL107" s="5" t="s">
        <v>76</v>
      </c>
      <c r="BM107" s="5" t="s">
        <v>76</v>
      </c>
      <c r="BN107" s="5" t="s">
        <v>76</v>
      </c>
      <c r="BO107" s="5" t="e">
        <f t="shared" si="1"/>
        <v>#VALUE!</v>
      </c>
      <c r="BP107" s="5" t="s">
        <v>78</v>
      </c>
      <c r="BQ107" s="5">
        <v>6.9</v>
      </c>
      <c r="BR107" s="5">
        <v>9512</v>
      </c>
    </row>
    <row r="108" s="1" customFormat="1" spans="1:70">
      <c r="A108" s="1" t="s">
        <v>440</v>
      </c>
      <c r="B108" s="1" t="s">
        <v>441</v>
      </c>
      <c r="D108" s="4">
        <v>45274</v>
      </c>
      <c r="E108" s="4">
        <v>45285</v>
      </c>
      <c r="F108" s="7">
        <v>13615</v>
      </c>
      <c r="G108" s="1">
        <v>42</v>
      </c>
      <c r="H108" s="1">
        <v>10</v>
      </c>
      <c r="I108" s="1">
        <v>49</v>
      </c>
      <c r="J108" s="1">
        <v>9</v>
      </c>
      <c r="K108" s="1">
        <v>51</v>
      </c>
      <c r="L108" s="1">
        <v>26</v>
      </c>
      <c r="M108" s="1">
        <v>1.12</v>
      </c>
      <c r="N108" s="1">
        <v>18.5</v>
      </c>
      <c r="O108" s="7">
        <v>13615</v>
      </c>
      <c r="P108" s="4">
        <v>45274</v>
      </c>
      <c r="Q108" s="4">
        <v>45285</v>
      </c>
      <c r="R108" s="1" t="s">
        <v>73</v>
      </c>
      <c r="AO108" s="7">
        <v>13615</v>
      </c>
      <c r="AP108" s="5" t="s">
        <v>442</v>
      </c>
      <c r="AQ108" s="5" t="s">
        <v>222</v>
      </c>
      <c r="AR108" s="5" t="s">
        <v>443</v>
      </c>
      <c r="AS108" s="5" t="s">
        <v>444</v>
      </c>
      <c r="AT108" s="5" t="s">
        <v>445</v>
      </c>
      <c r="AU108" s="5" t="s">
        <v>93</v>
      </c>
      <c r="AV108" s="5" t="s">
        <v>446</v>
      </c>
      <c r="AW108" s="5" t="s">
        <v>447</v>
      </c>
      <c r="AX108" s="5" t="s">
        <v>352</v>
      </c>
      <c r="AY108" s="5" t="s">
        <v>125</v>
      </c>
      <c r="AZ108" s="5" t="s">
        <v>448</v>
      </c>
      <c r="BA108" s="5" t="s">
        <v>76</v>
      </c>
      <c r="BB108" s="12" t="s">
        <v>76</v>
      </c>
      <c r="BC108" s="5" t="s">
        <v>449</v>
      </c>
      <c r="BD108" s="5" t="s">
        <v>222</v>
      </c>
      <c r="BE108" s="5" t="s">
        <v>76</v>
      </c>
      <c r="BF108" s="5" t="s">
        <v>76</v>
      </c>
      <c r="BG108" s="15">
        <v>36.5</v>
      </c>
      <c r="BH108" s="5" t="s">
        <v>186</v>
      </c>
      <c r="BI108" s="5" t="s">
        <v>186</v>
      </c>
      <c r="BJ108" s="5" t="s">
        <v>101</v>
      </c>
      <c r="BK108" s="5" t="s">
        <v>450</v>
      </c>
      <c r="BL108" s="5" t="s">
        <v>425</v>
      </c>
      <c r="BM108" s="5" t="s">
        <v>352</v>
      </c>
      <c r="BN108" s="5">
        <v>162</v>
      </c>
      <c r="BO108" s="5">
        <f t="shared" si="1"/>
        <v>20.9571711629325</v>
      </c>
      <c r="BP108" s="5" t="s">
        <v>105</v>
      </c>
      <c r="BQ108" s="5" t="s">
        <v>76</v>
      </c>
      <c r="BR108" s="5">
        <v>3330</v>
      </c>
    </row>
    <row r="109" s="1" customFormat="1" spans="1:70">
      <c r="A109" s="1">
        <v>3263744</v>
      </c>
      <c r="B109" s="1" t="s">
        <v>451</v>
      </c>
      <c r="D109" s="4">
        <v>44935</v>
      </c>
      <c r="E109" s="4">
        <v>44946</v>
      </c>
      <c r="F109" s="7">
        <v>13625</v>
      </c>
      <c r="G109" s="1">
        <v>41</v>
      </c>
      <c r="H109" s="1">
        <v>9</v>
      </c>
      <c r="I109" s="1">
        <v>54</v>
      </c>
      <c r="J109" s="1">
        <v>9</v>
      </c>
      <c r="K109" s="1">
        <v>33</v>
      </c>
      <c r="M109" s="1">
        <v>0.87</v>
      </c>
      <c r="N109" s="1">
        <v>4.9</v>
      </c>
      <c r="O109" s="7">
        <v>13625</v>
      </c>
      <c r="P109" s="4">
        <v>44935</v>
      </c>
      <c r="Q109" s="4">
        <v>44946</v>
      </c>
      <c r="R109" s="1" t="s">
        <v>80</v>
      </c>
      <c r="AO109" s="7">
        <v>13625</v>
      </c>
      <c r="AP109" s="5">
        <v>5.5</v>
      </c>
      <c r="AQ109" s="5">
        <v>96</v>
      </c>
      <c r="AR109" s="5">
        <v>44</v>
      </c>
      <c r="AS109" s="5">
        <v>3.8</v>
      </c>
      <c r="AT109" s="5">
        <v>25</v>
      </c>
      <c r="AU109" s="5">
        <v>16</v>
      </c>
      <c r="AV109" s="5">
        <v>32.1</v>
      </c>
      <c r="AW109" s="5">
        <v>5.75</v>
      </c>
      <c r="AX109" s="5">
        <v>39</v>
      </c>
      <c r="AY109" s="5" t="s">
        <v>125</v>
      </c>
      <c r="AZ109" s="5" t="s">
        <v>75</v>
      </c>
      <c r="BA109" s="5">
        <v>5.21</v>
      </c>
      <c r="BB109" s="12" t="s">
        <v>76</v>
      </c>
      <c r="BC109" s="5">
        <v>4.22</v>
      </c>
      <c r="BD109" s="5">
        <v>96</v>
      </c>
      <c r="BE109" s="5">
        <v>1.2</v>
      </c>
      <c r="BF109" s="5">
        <v>3.09</v>
      </c>
      <c r="BG109" s="15">
        <v>36.6</v>
      </c>
      <c r="BH109" s="5" t="s">
        <v>76</v>
      </c>
      <c r="BI109" s="5">
        <v>75</v>
      </c>
      <c r="BJ109" s="5">
        <v>14</v>
      </c>
      <c r="BK109" s="5">
        <v>124</v>
      </c>
      <c r="BL109" s="5">
        <v>58</v>
      </c>
      <c r="BM109" s="5" t="s">
        <v>77</v>
      </c>
      <c r="BN109" s="5" t="s">
        <v>77</v>
      </c>
      <c r="BO109" s="5" t="e">
        <f t="shared" si="1"/>
        <v>#VALUE!</v>
      </c>
      <c r="BP109" s="5" t="s">
        <v>144</v>
      </c>
      <c r="BQ109" s="5">
        <v>6.3</v>
      </c>
      <c r="BR109" s="5">
        <v>4547</v>
      </c>
    </row>
    <row r="110" s="1" customFormat="1" spans="1:70">
      <c r="A110" s="1">
        <v>3515959</v>
      </c>
      <c r="B110" s="1" t="s">
        <v>452</v>
      </c>
      <c r="D110" s="4">
        <v>45288</v>
      </c>
      <c r="E110" s="4">
        <v>45294</v>
      </c>
      <c r="F110" s="7">
        <v>13633</v>
      </c>
      <c r="G110" s="1">
        <v>42</v>
      </c>
      <c r="H110" s="1">
        <v>9</v>
      </c>
      <c r="I110" s="1">
        <v>45</v>
      </c>
      <c r="J110" s="1">
        <v>9</v>
      </c>
      <c r="K110" s="1">
        <v>60</v>
      </c>
      <c r="L110" s="1">
        <v>32</v>
      </c>
      <c r="M110" s="1">
        <v>2.22</v>
      </c>
      <c r="N110" s="1">
        <v>11.8</v>
      </c>
      <c r="O110" s="7">
        <v>13633</v>
      </c>
      <c r="P110" s="4">
        <v>45288</v>
      </c>
      <c r="Q110" s="4">
        <v>45294</v>
      </c>
      <c r="R110" s="1" t="s">
        <v>80</v>
      </c>
      <c r="AO110" s="7">
        <v>13633</v>
      </c>
      <c r="AP110" s="5">
        <v>8.5</v>
      </c>
      <c r="AQ110" s="5">
        <v>152</v>
      </c>
      <c r="AR110" s="5">
        <v>44.5</v>
      </c>
      <c r="AS110" s="5">
        <v>30.9</v>
      </c>
      <c r="AT110" s="5">
        <v>21</v>
      </c>
      <c r="AU110" s="5">
        <v>16</v>
      </c>
      <c r="AV110" s="5">
        <v>34.1</v>
      </c>
      <c r="AW110" s="5">
        <v>28.34</v>
      </c>
      <c r="AX110" s="5">
        <v>211</v>
      </c>
      <c r="AY110" s="5">
        <v>35.9</v>
      </c>
      <c r="AZ110" s="5">
        <v>9.5</v>
      </c>
      <c r="BA110" s="5" t="s">
        <v>76</v>
      </c>
      <c r="BB110" s="12" t="s">
        <v>76</v>
      </c>
      <c r="BC110" s="5" t="s">
        <v>4</v>
      </c>
      <c r="BD110" s="5">
        <v>152</v>
      </c>
      <c r="BE110" s="5" t="s">
        <v>76</v>
      </c>
      <c r="BF110" s="5" t="s">
        <v>76</v>
      </c>
      <c r="BG110" s="5" t="s">
        <v>76</v>
      </c>
      <c r="BH110" s="5" t="s">
        <v>76</v>
      </c>
      <c r="BI110" s="5" t="s">
        <v>76</v>
      </c>
      <c r="BJ110" s="5" t="s">
        <v>76</v>
      </c>
      <c r="BK110" s="5" t="s">
        <v>76</v>
      </c>
      <c r="BL110" s="5" t="s">
        <v>76</v>
      </c>
      <c r="BM110" s="5" t="s">
        <v>76</v>
      </c>
      <c r="BN110" s="5" t="s">
        <v>76</v>
      </c>
      <c r="BO110" s="5" t="e">
        <f t="shared" si="1"/>
        <v>#VALUE!</v>
      </c>
      <c r="BP110" s="5" t="s">
        <v>453</v>
      </c>
      <c r="BQ110" s="5" t="s">
        <v>76</v>
      </c>
      <c r="BR110" s="5">
        <v>5949</v>
      </c>
    </row>
    <row r="111" s="1" customFormat="1" spans="1:70">
      <c r="A111" s="1">
        <v>3498249</v>
      </c>
      <c r="B111" s="1" t="s">
        <v>454</v>
      </c>
      <c r="D111" s="4">
        <v>45264</v>
      </c>
      <c r="E111" s="4">
        <v>45272</v>
      </c>
      <c r="F111" s="7">
        <v>13637</v>
      </c>
      <c r="G111" s="1">
        <v>37</v>
      </c>
      <c r="H111" s="1">
        <v>10</v>
      </c>
      <c r="I111" s="1">
        <v>46</v>
      </c>
      <c r="J111" s="1">
        <v>9</v>
      </c>
      <c r="K111" s="1">
        <v>57</v>
      </c>
      <c r="L111" s="1">
        <v>30</v>
      </c>
      <c r="M111" s="1">
        <v>0.76</v>
      </c>
      <c r="N111" s="1">
        <v>25.5</v>
      </c>
      <c r="O111" s="7">
        <v>13637</v>
      </c>
      <c r="P111" s="4">
        <v>45264</v>
      </c>
      <c r="Q111" s="4">
        <v>45272</v>
      </c>
      <c r="R111" s="1" t="s">
        <v>73</v>
      </c>
      <c r="S111" s="1">
        <v>86</v>
      </c>
      <c r="T111" s="1">
        <v>15665382922</v>
      </c>
      <c r="X111" s="1">
        <v>1</v>
      </c>
      <c r="AC111" s="1">
        <v>1</v>
      </c>
      <c r="AG111" s="1">
        <v>1</v>
      </c>
      <c r="AH111" s="1">
        <v>1</v>
      </c>
      <c r="AI111" s="1">
        <v>1</v>
      </c>
      <c r="AL111" s="1">
        <v>1</v>
      </c>
      <c r="AM111" s="1">
        <v>1</v>
      </c>
      <c r="AO111" s="7">
        <v>13637</v>
      </c>
      <c r="AP111" s="5">
        <v>4.1</v>
      </c>
      <c r="AQ111" s="5">
        <v>110</v>
      </c>
      <c r="AR111" s="5">
        <v>49</v>
      </c>
      <c r="AS111" s="5">
        <v>3</v>
      </c>
      <c r="AT111" s="5">
        <v>20</v>
      </c>
      <c r="AU111" s="5">
        <v>6</v>
      </c>
      <c r="AV111" s="5">
        <v>39.4</v>
      </c>
      <c r="AW111" s="5">
        <v>6.79</v>
      </c>
      <c r="AX111" s="5">
        <v>109</v>
      </c>
      <c r="AY111" s="5">
        <v>44.83</v>
      </c>
      <c r="AZ111" s="5">
        <v>7.65</v>
      </c>
      <c r="BA111" s="5">
        <v>3.88</v>
      </c>
      <c r="BB111" s="12" t="s">
        <v>76</v>
      </c>
      <c r="BC111" s="5">
        <v>4.32</v>
      </c>
      <c r="BD111" s="5">
        <v>110</v>
      </c>
      <c r="BE111" s="5">
        <v>0.9</v>
      </c>
      <c r="BF111" s="5">
        <v>2.09</v>
      </c>
      <c r="BG111" s="15">
        <v>36.5</v>
      </c>
      <c r="BH111" s="5">
        <v>98</v>
      </c>
      <c r="BI111" s="5">
        <v>98</v>
      </c>
      <c r="BJ111" s="5">
        <v>18</v>
      </c>
      <c r="BK111" s="5">
        <v>120</v>
      </c>
      <c r="BL111" s="5">
        <v>68</v>
      </c>
      <c r="BM111" s="5">
        <v>0</v>
      </c>
      <c r="BN111" s="5">
        <v>0</v>
      </c>
      <c r="BO111" s="5" t="e">
        <f t="shared" si="1"/>
        <v>#DIV/0!</v>
      </c>
      <c r="BP111" s="5" t="s">
        <v>83</v>
      </c>
      <c r="BQ111" s="5">
        <v>6.7</v>
      </c>
      <c r="BR111" s="5">
        <v>7302</v>
      </c>
    </row>
    <row r="112" s="1" customFormat="1" spans="1:70">
      <c r="A112" s="1">
        <v>3261398</v>
      </c>
      <c r="B112" s="1" t="s">
        <v>455</v>
      </c>
      <c r="D112" s="4">
        <v>44930</v>
      </c>
      <c r="E112" s="4">
        <v>44956</v>
      </c>
      <c r="F112" s="7">
        <v>13735</v>
      </c>
      <c r="G112" s="1">
        <v>52</v>
      </c>
      <c r="H112" s="1">
        <v>9</v>
      </c>
      <c r="I112" s="1">
        <v>47</v>
      </c>
      <c r="J112" s="1">
        <v>9</v>
      </c>
      <c r="K112" s="1">
        <v>43</v>
      </c>
      <c r="L112" s="1">
        <v>21</v>
      </c>
      <c r="N112" s="1">
        <v>13.9</v>
      </c>
      <c r="O112" s="7">
        <v>13735</v>
      </c>
      <c r="P112" s="4">
        <v>44930</v>
      </c>
      <c r="Q112" s="4">
        <v>44956</v>
      </c>
      <c r="R112" s="1" t="s">
        <v>80</v>
      </c>
      <c r="AO112" s="7">
        <v>13735</v>
      </c>
      <c r="AP112" s="5">
        <v>6.9</v>
      </c>
      <c r="AQ112" s="5">
        <v>138</v>
      </c>
      <c r="AR112" s="5">
        <v>52</v>
      </c>
      <c r="AS112" s="5" t="s">
        <v>81</v>
      </c>
      <c r="AT112" s="5">
        <v>40</v>
      </c>
      <c r="AU112" s="5">
        <v>40</v>
      </c>
      <c r="AV112" s="5">
        <v>36.6</v>
      </c>
      <c r="AW112" s="5">
        <v>9.69</v>
      </c>
      <c r="AX112" s="5">
        <v>66</v>
      </c>
      <c r="AY112" s="5" t="s">
        <v>76</v>
      </c>
      <c r="AZ112" s="5" t="s">
        <v>75</v>
      </c>
      <c r="BA112" s="5">
        <v>2.48</v>
      </c>
      <c r="BB112" s="12" t="s">
        <v>76</v>
      </c>
      <c r="BC112" s="5">
        <v>4.56</v>
      </c>
      <c r="BD112" s="5">
        <v>138</v>
      </c>
      <c r="BE112" s="5">
        <v>0.92</v>
      </c>
      <c r="BF112" s="5">
        <v>1.14</v>
      </c>
      <c r="BG112" s="15">
        <v>36.3</v>
      </c>
      <c r="BH112" s="5">
        <v>102</v>
      </c>
      <c r="BI112" s="5" t="s">
        <v>76</v>
      </c>
      <c r="BJ112" s="5">
        <v>24</v>
      </c>
      <c r="BK112" s="5">
        <v>128</v>
      </c>
      <c r="BL112" s="5">
        <v>81</v>
      </c>
      <c r="BM112" s="5">
        <v>60</v>
      </c>
      <c r="BN112" s="5">
        <v>161</v>
      </c>
      <c r="BO112" s="5">
        <f t="shared" si="1"/>
        <v>23.1472551213302</v>
      </c>
      <c r="BP112" s="5" t="s">
        <v>168</v>
      </c>
      <c r="BQ112" s="5" t="s">
        <v>76</v>
      </c>
      <c r="BR112" s="5">
        <v>4459</v>
      </c>
    </row>
    <row r="113" s="1" customFormat="1" spans="1:70">
      <c r="A113" s="1">
        <v>3255089</v>
      </c>
      <c r="B113" s="1" t="s">
        <v>456</v>
      </c>
      <c r="D113" s="4">
        <v>44917</v>
      </c>
      <c r="E113" s="4">
        <v>44928</v>
      </c>
      <c r="F113" s="7">
        <v>13738</v>
      </c>
      <c r="G113" s="1">
        <v>34</v>
      </c>
      <c r="H113" s="1">
        <v>9</v>
      </c>
      <c r="I113" s="1">
        <v>49</v>
      </c>
      <c r="J113" s="1">
        <v>9</v>
      </c>
      <c r="K113" s="1">
        <v>61</v>
      </c>
      <c r="L113" s="1">
        <v>33</v>
      </c>
      <c r="M113" s="1">
        <v>0.66</v>
      </c>
      <c r="N113" s="1">
        <v>9.8</v>
      </c>
      <c r="O113" s="7">
        <v>13738</v>
      </c>
      <c r="P113" s="4">
        <v>44917</v>
      </c>
      <c r="Q113" s="4">
        <v>44928</v>
      </c>
      <c r="R113" s="1" t="s">
        <v>73</v>
      </c>
      <c r="AO113" s="7">
        <v>13738</v>
      </c>
      <c r="AP113" s="5">
        <v>6.6</v>
      </c>
      <c r="AQ113" s="5">
        <v>99</v>
      </c>
      <c r="AR113" s="5">
        <v>30.8</v>
      </c>
      <c r="AS113" s="5">
        <v>4.2</v>
      </c>
      <c r="AT113" s="5">
        <v>99</v>
      </c>
      <c r="AU113" s="5">
        <v>57</v>
      </c>
      <c r="AV113" s="5">
        <v>36.7</v>
      </c>
      <c r="AW113" s="5">
        <v>8.22</v>
      </c>
      <c r="AX113" s="5">
        <v>57</v>
      </c>
      <c r="AY113" s="5" t="s">
        <v>76</v>
      </c>
      <c r="AZ113" s="5" t="s">
        <v>75</v>
      </c>
      <c r="BA113" s="5">
        <v>5.95</v>
      </c>
      <c r="BB113" s="12" t="s">
        <v>76</v>
      </c>
      <c r="BC113" s="5">
        <v>4.7</v>
      </c>
      <c r="BD113" s="5">
        <v>99</v>
      </c>
      <c r="BE113" s="5">
        <v>1.62</v>
      </c>
      <c r="BF113" s="5">
        <v>3.68</v>
      </c>
      <c r="BG113" s="15">
        <v>36.4</v>
      </c>
      <c r="BH113" s="5">
        <v>68</v>
      </c>
      <c r="BI113" s="5" t="s">
        <v>76</v>
      </c>
      <c r="BJ113" s="5">
        <v>20</v>
      </c>
      <c r="BK113" s="5">
        <v>146</v>
      </c>
      <c r="BL113" s="5">
        <v>86</v>
      </c>
      <c r="BM113" s="5">
        <v>60</v>
      </c>
      <c r="BN113" s="5">
        <v>160</v>
      </c>
      <c r="BO113" s="5">
        <f t="shared" si="1"/>
        <v>23.4375</v>
      </c>
      <c r="BP113" s="5" t="s">
        <v>457</v>
      </c>
      <c r="BQ113" s="5">
        <v>6.1</v>
      </c>
      <c r="BR113" s="5">
        <v>3045</v>
      </c>
    </row>
    <row r="114" s="1" customFormat="1" spans="1:70">
      <c r="A114" s="1">
        <v>3312006</v>
      </c>
      <c r="B114" s="1" t="s">
        <v>458</v>
      </c>
      <c r="D114" s="4">
        <v>45006</v>
      </c>
      <c r="E114" s="4">
        <v>45023</v>
      </c>
      <c r="F114" s="7">
        <v>13760</v>
      </c>
      <c r="G114" s="1">
        <v>48</v>
      </c>
      <c r="H114" s="1">
        <v>8</v>
      </c>
      <c r="I114" s="1">
        <v>52</v>
      </c>
      <c r="J114" s="1">
        <v>8</v>
      </c>
      <c r="K114" s="1">
        <v>65</v>
      </c>
      <c r="L114" s="1">
        <v>36</v>
      </c>
      <c r="M114" s="1">
        <v>2.36</v>
      </c>
      <c r="N114" s="1">
        <v>14.1</v>
      </c>
      <c r="O114" s="7">
        <v>13760</v>
      </c>
      <c r="P114" s="4">
        <v>45006</v>
      </c>
      <c r="Q114" s="4">
        <v>45023</v>
      </c>
      <c r="R114" s="1" t="s">
        <v>73</v>
      </c>
      <c r="AO114" s="7">
        <v>13760</v>
      </c>
      <c r="AP114" s="5">
        <v>9.7</v>
      </c>
      <c r="AQ114" s="5">
        <v>122</v>
      </c>
      <c r="AR114" s="5">
        <v>37</v>
      </c>
      <c r="AS114" s="5">
        <v>2.5</v>
      </c>
      <c r="AT114" s="5">
        <v>28</v>
      </c>
      <c r="AU114" s="5">
        <v>13</v>
      </c>
      <c r="AV114" s="5">
        <v>35.8</v>
      </c>
      <c r="AW114" s="5">
        <v>14.6</v>
      </c>
      <c r="AX114" s="5">
        <v>75</v>
      </c>
      <c r="AY114" s="5" t="s">
        <v>76</v>
      </c>
      <c r="AZ114" s="5">
        <v>5.17</v>
      </c>
      <c r="BA114" s="5">
        <v>3.36</v>
      </c>
      <c r="BB114" s="12" t="s">
        <v>76</v>
      </c>
      <c r="BC114" s="5">
        <v>4.26</v>
      </c>
      <c r="BD114" s="5">
        <v>122</v>
      </c>
      <c r="BE114" s="5" t="s">
        <v>76</v>
      </c>
      <c r="BF114" s="5" t="s">
        <v>76</v>
      </c>
      <c r="BG114" s="15">
        <v>36.6</v>
      </c>
      <c r="BH114" s="5">
        <v>85</v>
      </c>
      <c r="BI114" s="5">
        <v>93</v>
      </c>
      <c r="BJ114" s="5" t="s">
        <v>76</v>
      </c>
      <c r="BK114" s="5">
        <v>150</v>
      </c>
      <c r="BL114" s="5">
        <v>95</v>
      </c>
      <c r="BM114" s="5">
        <v>45</v>
      </c>
      <c r="BN114" s="5">
        <v>156</v>
      </c>
      <c r="BO114" s="5">
        <f t="shared" si="1"/>
        <v>18.491124260355</v>
      </c>
      <c r="BP114" s="5" t="s">
        <v>164</v>
      </c>
      <c r="BQ114" s="5">
        <v>5.9</v>
      </c>
      <c r="BR114" s="5">
        <v>2599</v>
      </c>
    </row>
    <row r="115" s="1" customFormat="1" spans="1:70">
      <c r="A115" s="1" t="s">
        <v>459</v>
      </c>
      <c r="B115" s="1" t="s">
        <v>460</v>
      </c>
      <c r="D115" s="4">
        <v>44928</v>
      </c>
      <c r="E115" s="4">
        <v>44942</v>
      </c>
      <c r="F115" s="7">
        <v>13767</v>
      </c>
      <c r="G115" s="1">
        <v>49</v>
      </c>
      <c r="H115" s="1">
        <v>8</v>
      </c>
      <c r="I115" s="1">
        <v>50</v>
      </c>
      <c r="J115" s="1">
        <v>8</v>
      </c>
      <c r="K115" s="1">
        <v>65</v>
      </c>
      <c r="L115" s="1">
        <v>36</v>
      </c>
      <c r="M115" s="1">
        <v>1.97</v>
      </c>
      <c r="N115" s="1">
        <v>10.6</v>
      </c>
      <c r="O115" s="7">
        <v>13767</v>
      </c>
      <c r="P115" s="4">
        <v>44928</v>
      </c>
      <c r="Q115" s="4">
        <v>44942</v>
      </c>
      <c r="R115" s="1" t="s">
        <v>80</v>
      </c>
      <c r="AO115" s="7">
        <v>13767</v>
      </c>
      <c r="AP115" s="5" t="s">
        <v>461</v>
      </c>
      <c r="AQ115" s="5" t="s">
        <v>89</v>
      </c>
      <c r="AR115" s="5" t="s">
        <v>462</v>
      </c>
      <c r="AS115" s="5" t="s">
        <v>463</v>
      </c>
      <c r="AT115" s="5" t="s">
        <v>225</v>
      </c>
      <c r="AU115" s="5" t="s">
        <v>171</v>
      </c>
      <c r="AV115" s="5" t="s">
        <v>464</v>
      </c>
      <c r="AW115" s="5" t="s">
        <v>313</v>
      </c>
      <c r="AX115" s="5" t="s">
        <v>347</v>
      </c>
      <c r="AY115" s="5" t="s">
        <v>76</v>
      </c>
      <c r="AZ115" s="5" t="s">
        <v>75</v>
      </c>
      <c r="BA115" s="5" t="s">
        <v>465</v>
      </c>
      <c r="BB115" s="12" t="s">
        <v>76</v>
      </c>
      <c r="BC115" s="5" t="s">
        <v>466</v>
      </c>
      <c r="BD115" s="5" t="s">
        <v>89</v>
      </c>
      <c r="BE115" s="5" t="s">
        <v>76</v>
      </c>
      <c r="BF115" s="5" t="s">
        <v>76</v>
      </c>
      <c r="BG115" s="15">
        <v>36.4</v>
      </c>
      <c r="BH115" s="5" t="s">
        <v>192</v>
      </c>
      <c r="BI115" s="5" t="s">
        <v>76</v>
      </c>
      <c r="BJ115" s="5" t="s">
        <v>293</v>
      </c>
      <c r="BK115" s="5" t="s">
        <v>467</v>
      </c>
      <c r="BL115" s="5" t="s">
        <v>140</v>
      </c>
      <c r="BM115" s="5" t="s">
        <v>468</v>
      </c>
      <c r="BN115" s="5">
        <v>176</v>
      </c>
      <c r="BO115" s="5">
        <f t="shared" si="1"/>
        <v>20.9839876033058</v>
      </c>
      <c r="BP115" s="5" t="s">
        <v>469</v>
      </c>
      <c r="BQ115" s="5" t="s">
        <v>470</v>
      </c>
      <c r="BR115" s="5">
        <v>3878</v>
      </c>
    </row>
    <row r="116" s="1" customFormat="1" spans="1:70">
      <c r="A116" s="1" t="s">
        <v>471</v>
      </c>
      <c r="B116" s="1" t="s">
        <v>460</v>
      </c>
      <c r="D116" s="4">
        <v>45268</v>
      </c>
      <c r="E116" s="4">
        <v>45271</v>
      </c>
      <c r="F116" s="7">
        <v>13767</v>
      </c>
      <c r="G116" s="1">
        <v>46</v>
      </c>
      <c r="H116" s="1">
        <v>9</v>
      </c>
      <c r="I116" s="1">
        <v>44</v>
      </c>
      <c r="J116" s="1">
        <v>9</v>
      </c>
      <c r="K116" s="1">
        <v>66</v>
      </c>
      <c r="L116" s="1">
        <v>36</v>
      </c>
      <c r="N116" s="1">
        <v>6.3</v>
      </c>
      <c r="O116" s="7">
        <v>13767</v>
      </c>
      <c r="P116" s="4">
        <v>45268</v>
      </c>
      <c r="Q116" s="4">
        <v>45271</v>
      </c>
      <c r="R116" s="1" t="s">
        <v>80</v>
      </c>
      <c r="AO116" s="7">
        <v>13767</v>
      </c>
      <c r="AP116" s="5" t="s">
        <v>472</v>
      </c>
      <c r="AQ116" s="5" t="s">
        <v>473</v>
      </c>
      <c r="AR116" s="5" t="s">
        <v>474</v>
      </c>
      <c r="AS116" s="5" t="s">
        <v>76</v>
      </c>
      <c r="AT116" s="5" t="s">
        <v>475</v>
      </c>
      <c r="AU116" s="5" t="s">
        <v>476</v>
      </c>
      <c r="AV116" s="5" t="s">
        <v>477</v>
      </c>
      <c r="AW116" s="5" t="s">
        <v>478</v>
      </c>
      <c r="AX116" s="5" t="s">
        <v>137</v>
      </c>
      <c r="AY116" s="5" t="s">
        <v>76</v>
      </c>
      <c r="AZ116" s="5" t="s">
        <v>479</v>
      </c>
      <c r="BA116" s="5" t="s">
        <v>334</v>
      </c>
      <c r="BB116" s="12" t="s">
        <v>76</v>
      </c>
      <c r="BC116" s="5" t="s">
        <v>480</v>
      </c>
      <c r="BD116" s="5" t="s">
        <v>473</v>
      </c>
      <c r="BE116" s="5" t="s">
        <v>76</v>
      </c>
      <c r="BF116" s="5" t="s">
        <v>76</v>
      </c>
      <c r="BG116" s="15">
        <v>36.3</v>
      </c>
      <c r="BH116" s="5" t="s">
        <v>204</v>
      </c>
      <c r="BI116" s="5" t="s">
        <v>215</v>
      </c>
      <c r="BJ116" s="5" t="s">
        <v>293</v>
      </c>
      <c r="BK116" s="5" t="s">
        <v>481</v>
      </c>
      <c r="BL116" s="5" t="s">
        <v>482</v>
      </c>
      <c r="BM116" s="5" t="s">
        <v>483</v>
      </c>
      <c r="BN116" s="5">
        <v>177</v>
      </c>
      <c r="BO116" s="5">
        <f t="shared" si="1"/>
        <v>19.7899709534297</v>
      </c>
      <c r="BP116" s="5" t="s">
        <v>469</v>
      </c>
      <c r="BQ116" s="5" t="s">
        <v>484</v>
      </c>
      <c r="BR116" s="5">
        <v>2233</v>
      </c>
    </row>
    <row r="117" s="1" customFormat="1" spans="1:70">
      <c r="A117" s="1">
        <v>3269180</v>
      </c>
      <c r="B117" s="1" t="s">
        <v>485</v>
      </c>
      <c r="D117" s="4">
        <v>44947</v>
      </c>
      <c r="E117" s="4">
        <v>44960</v>
      </c>
      <c r="F117" s="7">
        <v>13769</v>
      </c>
      <c r="G117" s="1">
        <v>40</v>
      </c>
      <c r="H117" s="1">
        <v>9</v>
      </c>
      <c r="I117" s="1">
        <v>50</v>
      </c>
      <c r="J117" s="1">
        <v>8</v>
      </c>
      <c r="K117" s="1">
        <v>51</v>
      </c>
      <c r="L117" s="1">
        <v>26</v>
      </c>
      <c r="M117" s="1">
        <v>0.67</v>
      </c>
      <c r="N117" s="1">
        <v>23.5</v>
      </c>
      <c r="O117" s="7">
        <v>13769</v>
      </c>
      <c r="P117" s="4">
        <v>44947</v>
      </c>
      <c r="Q117" s="4">
        <v>44960</v>
      </c>
      <c r="R117" s="1" t="s">
        <v>73</v>
      </c>
      <c r="AO117" s="7">
        <v>13769</v>
      </c>
      <c r="AP117" s="5">
        <v>9.5</v>
      </c>
      <c r="AQ117" s="5">
        <v>91</v>
      </c>
      <c r="AR117" s="5">
        <v>28.7</v>
      </c>
      <c r="AS117" s="5">
        <v>77.2</v>
      </c>
      <c r="AT117" s="5">
        <v>69</v>
      </c>
      <c r="AU117" s="5">
        <v>56</v>
      </c>
      <c r="AV117" s="5">
        <v>34.8</v>
      </c>
      <c r="AW117" s="5">
        <v>7.53</v>
      </c>
      <c r="AX117" s="5">
        <v>88</v>
      </c>
      <c r="AY117" s="5" t="s">
        <v>125</v>
      </c>
      <c r="AZ117" s="5" t="s">
        <v>75</v>
      </c>
      <c r="BA117" s="5">
        <v>3.45</v>
      </c>
      <c r="BB117" s="12" t="s">
        <v>76</v>
      </c>
      <c r="BC117" s="5">
        <v>4.62</v>
      </c>
      <c r="BD117" s="5">
        <v>91</v>
      </c>
      <c r="BE117" s="5">
        <v>0.86</v>
      </c>
      <c r="BF117" s="5">
        <v>2.05</v>
      </c>
      <c r="BG117" s="15">
        <v>36</v>
      </c>
      <c r="BH117" s="5">
        <v>80</v>
      </c>
      <c r="BI117" s="5">
        <v>80</v>
      </c>
      <c r="BJ117" s="5">
        <v>18</v>
      </c>
      <c r="BK117" s="5">
        <v>70</v>
      </c>
      <c r="BL117" s="5">
        <v>41</v>
      </c>
      <c r="BM117" s="5">
        <v>55</v>
      </c>
      <c r="BN117" s="5">
        <v>160</v>
      </c>
      <c r="BO117" s="5">
        <f t="shared" si="1"/>
        <v>21.484375</v>
      </c>
      <c r="BP117" s="5" t="s">
        <v>323</v>
      </c>
      <c r="BQ117" s="5">
        <v>5.8</v>
      </c>
      <c r="BR117" s="5">
        <v>7106</v>
      </c>
    </row>
    <row r="118" s="1" customFormat="1" spans="1:70">
      <c r="A118" s="1">
        <v>3516049</v>
      </c>
      <c r="B118" s="1" t="s">
        <v>486</v>
      </c>
      <c r="D118" s="4">
        <v>45290</v>
      </c>
      <c r="E118" s="4">
        <v>45296</v>
      </c>
      <c r="F118" s="7">
        <v>13781</v>
      </c>
      <c r="G118" s="1">
        <v>53</v>
      </c>
      <c r="H118" s="1">
        <v>9</v>
      </c>
      <c r="I118" s="1">
        <v>58</v>
      </c>
      <c r="J118" s="1">
        <v>9</v>
      </c>
      <c r="K118" s="1">
        <v>41</v>
      </c>
      <c r="L118" s="1">
        <v>21</v>
      </c>
      <c r="M118" s="1">
        <v>3.33</v>
      </c>
      <c r="N118" s="1">
        <v>24.4</v>
      </c>
      <c r="O118" s="7">
        <v>13781</v>
      </c>
      <c r="P118" s="4">
        <v>45290</v>
      </c>
      <c r="Q118" s="4">
        <v>45296</v>
      </c>
      <c r="R118" s="1" t="s">
        <v>80</v>
      </c>
      <c r="AO118" s="7">
        <v>13781</v>
      </c>
      <c r="AP118" s="5">
        <v>5.8</v>
      </c>
      <c r="AQ118" s="5">
        <v>129</v>
      </c>
      <c r="AR118" s="5">
        <v>39.6</v>
      </c>
      <c r="AS118" s="5" t="s">
        <v>76</v>
      </c>
      <c r="AT118" s="5">
        <v>33</v>
      </c>
      <c r="AU118" s="5">
        <v>39</v>
      </c>
      <c r="AV118" s="5">
        <v>40.5</v>
      </c>
      <c r="AW118" s="5">
        <v>7.4</v>
      </c>
      <c r="AX118" s="5">
        <v>82</v>
      </c>
      <c r="AY118" s="5">
        <v>82.14</v>
      </c>
      <c r="AZ118" s="5" t="s">
        <v>75</v>
      </c>
      <c r="BA118" s="5">
        <v>3.78</v>
      </c>
      <c r="BB118" s="12" t="s">
        <v>76</v>
      </c>
      <c r="BC118" s="5">
        <v>3.95</v>
      </c>
      <c r="BD118" s="5">
        <v>129</v>
      </c>
      <c r="BE118" s="5">
        <v>0.62</v>
      </c>
      <c r="BF118" s="5">
        <v>2.56</v>
      </c>
      <c r="BG118" s="15">
        <v>36.6</v>
      </c>
      <c r="BH118" s="5">
        <v>70</v>
      </c>
      <c r="BI118" s="5">
        <v>70</v>
      </c>
      <c r="BJ118" s="5">
        <v>18</v>
      </c>
      <c r="BK118" s="5">
        <v>140</v>
      </c>
      <c r="BL118" s="5">
        <v>70</v>
      </c>
      <c r="BM118" s="5">
        <v>70</v>
      </c>
      <c r="BN118" s="5">
        <v>172</v>
      </c>
      <c r="BO118" s="5">
        <f t="shared" si="1"/>
        <v>23.6614386154678</v>
      </c>
      <c r="BP118" s="5" t="s">
        <v>156</v>
      </c>
      <c r="BQ118" s="5" t="s">
        <v>76</v>
      </c>
      <c r="BR118" s="5">
        <v>6266</v>
      </c>
    </row>
    <row r="119" s="1" customFormat="1" spans="1:70">
      <c r="A119" s="1" t="s">
        <v>487</v>
      </c>
      <c r="B119" s="1" t="s">
        <v>488</v>
      </c>
      <c r="D119" s="4">
        <v>44926</v>
      </c>
      <c r="E119" s="4">
        <v>44934</v>
      </c>
      <c r="F119" s="7">
        <v>13793</v>
      </c>
      <c r="G119" s="1">
        <v>48</v>
      </c>
      <c r="H119" s="1">
        <v>10</v>
      </c>
      <c r="I119" s="1">
        <v>55</v>
      </c>
      <c r="J119" s="1">
        <v>10</v>
      </c>
      <c r="K119" s="1">
        <v>34</v>
      </c>
      <c r="L119" s="1">
        <v>16</v>
      </c>
      <c r="N119" s="1">
        <v>11.3</v>
      </c>
      <c r="O119" s="7">
        <v>13793</v>
      </c>
      <c r="P119" s="4">
        <v>44926</v>
      </c>
      <c r="Q119" s="4">
        <v>44934</v>
      </c>
      <c r="R119" s="1" t="s">
        <v>73</v>
      </c>
      <c r="AO119" s="7">
        <v>13793</v>
      </c>
      <c r="AP119" s="5" t="s">
        <v>489</v>
      </c>
      <c r="AQ119" s="5" t="s">
        <v>481</v>
      </c>
      <c r="AR119" s="5" t="s">
        <v>490</v>
      </c>
      <c r="AS119" s="5" t="s">
        <v>491</v>
      </c>
      <c r="AT119" s="5" t="s">
        <v>382</v>
      </c>
      <c r="AU119" s="5" t="s">
        <v>131</v>
      </c>
      <c r="AV119" s="5" t="s">
        <v>462</v>
      </c>
      <c r="AW119" s="5" t="s">
        <v>492</v>
      </c>
      <c r="AX119" s="5" t="s">
        <v>493</v>
      </c>
      <c r="AY119" s="5" t="s">
        <v>494</v>
      </c>
      <c r="AZ119" s="5" t="s">
        <v>75</v>
      </c>
      <c r="BA119" s="5" t="s">
        <v>495</v>
      </c>
      <c r="BB119" s="12" t="s">
        <v>76</v>
      </c>
      <c r="BC119" s="5" t="s">
        <v>496</v>
      </c>
      <c r="BD119" s="5" t="s">
        <v>481</v>
      </c>
      <c r="BE119" s="5" t="s">
        <v>497</v>
      </c>
      <c r="BF119" s="5" t="s">
        <v>498</v>
      </c>
      <c r="BG119" s="15">
        <v>36</v>
      </c>
      <c r="BH119" s="5" t="s">
        <v>499</v>
      </c>
      <c r="BI119" s="5" t="s">
        <v>499</v>
      </c>
      <c r="BJ119" s="5" t="s">
        <v>101</v>
      </c>
      <c r="BK119" s="5" t="s">
        <v>500</v>
      </c>
      <c r="BL119" s="5" t="s">
        <v>482</v>
      </c>
      <c r="BM119" s="5" t="s">
        <v>336</v>
      </c>
      <c r="BN119" s="5">
        <v>164</v>
      </c>
      <c r="BO119" s="5">
        <f t="shared" si="1"/>
        <v>27.8851873884593</v>
      </c>
      <c r="BP119" s="5" t="s">
        <v>501</v>
      </c>
      <c r="BQ119" s="5" t="s">
        <v>76</v>
      </c>
      <c r="BR119" s="5">
        <v>8114</v>
      </c>
    </row>
    <row r="120" s="1" customFormat="1" spans="1:70">
      <c r="A120" s="1">
        <v>3261712</v>
      </c>
      <c r="B120" s="1" t="s">
        <v>502</v>
      </c>
      <c r="D120" s="4">
        <v>44931</v>
      </c>
      <c r="E120" s="4">
        <v>44933</v>
      </c>
      <c r="F120" s="7">
        <v>13796</v>
      </c>
      <c r="G120" s="1">
        <v>36</v>
      </c>
      <c r="H120" s="1">
        <v>10</v>
      </c>
      <c r="I120" s="1">
        <v>48</v>
      </c>
      <c r="J120" s="1">
        <v>10</v>
      </c>
      <c r="K120" s="1">
        <v>48</v>
      </c>
      <c r="L120" s="1">
        <v>24</v>
      </c>
      <c r="M120" s="1">
        <v>2.51</v>
      </c>
      <c r="N120" s="1">
        <v>9.2</v>
      </c>
      <c r="O120" s="7">
        <v>13796</v>
      </c>
      <c r="P120" s="4">
        <v>44931</v>
      </c>
      <c r="Q120" s="4">
        <v>44933</v>
      </c>
      <c r="R120" s="1" t="s">
        <v>80</v>
      </c>
      <c r="AO120" s="7">
        <v>13796</v>
      </c>
      <c r="AP120" s="5">
        <v>9.8</v>
      </c>
      <c r="AQ120" s="5">
        <v>150</v>
      </c>
      <c r="AR120" s="5">
        <v>50</v>
      </c>
      <c r="AS120" s="5">
        <v>57.5</v>
      </c>
      <c r="AT120" s="5">
        <v>23</v>
      </c>
      <c r="AU120" s="5">
        <v>16</v>
      </c>
      <c r="AV120" s="5">
        <v>36.6</v>
      </c>
      <c r="AW120" s="5">
        <v>22.76</v>
      </c>
      <c r="AX120" s="5">
        <v>177</v>
      </c>
      <c r="AY120" s="5">
        <v>33.88</v>
      </c>
      <c r="AZ120" s="5" t="s">
        <v>75</v>
      </c>
      <c r="BA120" s="5">
        <v>5.85</v>
      </c>
      <c r="BB120" s="12" t="s">
        <v>76</v>
      </c>
      <c r="BC120" s="5">
        <v>4.64</v>
      </c>
      <c r="BD120" s="5">
        <v>150</v>
      </c>
      <c r="BE120" s="5">
        <v>0.98</v>
      </c>
      <c r="BF120" s="5">
        <v>3.51</v>
      </c>
      <c r="BG120" s="15">
        <v>37</v>
      </c>
      <c r="BH120" s="5" t="s">
        <v>76</v>
      </c>
      <c r="BI120" s="5">
        <v>111</v>
      </c>
      <c r="BJ120" s="5">
        <v>20</v>
      </c>
      <c r="BK120" s="5">
        <v>169</v>
      </c>
      <c r="BL120" s="5">
        <v>97</v>
      </c>
      <c r="BM120" s="5" t="s">
        <v>371</v>
      </c>
      <c r="BN120" s="5" t="s">
        <v>371</v>
      </c>
      <c r="BO120" s="5" t="e">
        <f t="shared" si="1"/>
        <v>#VALUE!</v>
      </c>
      <c r="BP120" s="5" t="s">
        <v>78</v>
      </c>
      <c r="BQ120" s="5">
        <v>6.9</v>
      </c>
      <c r="BR120" s="5" t="s">
        <v>118</v>
      </c>
    </row>
    <row r="121" s="1" customFormat="1" spans="1:70">
      <c r="A121" s="1">
        <v>3259836</v>
      </c>
      <c r="B121" s="1" t="s">
        <v>503</v>
      </c>
      <c r="D121" s="4">
        <v>44928</v>
      </c>
      <c r="E121" s="4">
        <v>44939</v>
      </c>
      <c r="F121" s="7">
        <v>13798</v>
      </c>
      <c r="G121" s="1">
        <v>33</v>
      </c>
      <c r="H121" s="1">
        <v>10</v>
      </c>
      <c r="I121" s="1">
        <v>46</v>
      </c>
      <c r="J121" s="1">
        <v>9</v>
      </c>
      <c r="K121" s="1">
        <v>41</v>
      </c>
      <c r="L121" s="1">
        <v>21</v>
      </c>
      <c r="M121" s="1">
        <v>0.56</v>
      </c>
      <c r="O121" s="7">
        <v>13798</v>
      </c>
      <c r="P121" s="4">
        <v>44928</v>
      </c>
      <c r="Q121" s="4">
        <v>44939</v>
      </c>
      <c r="R121" s="1" t="s">
        <v>80</v>
      </c>
      <c r="AO121" s="7">
        <v>13798</v>
      </c>
      <c r="AP121" s="5">
        <v>9.1</v>
      </c>
      <c r="AQ121" s="5">
        <v>134</v>
      </c>
      <c r="AR121" s="5">
        <v>41.4</v>
      </c>
      <c r="AS121" s="5">
        <v>8.6</v>
      </c>
      <c r="AT121" s="5">
        <v>28</v>
      </c>
      <c r="AU121" s="5">
        <v>20</v>
      </c>
      <c r="AV121" s="5">
        <v>33.4</v>
      </c>
      <c r="AW121" s="5">
        <v>9</v>
      </c>
      <c r="AX121" s="5">
        <v>44</v>
      </c>
      <c r="AY121" s="5" t="s">
        <v>125</v>
      </c>
      <c r="AZ121" s="5">
        <v>6.6</v>
      </c>
      <c r="BA121" s="5" t="s">
        <v>76</v>
      </c>
      <c r="BB121" s="12" t="s">
        <v>76</v>
      </c>
      <c r="BC121" s="5">
        <v>3.92</v>
      </c>
      <c r="BD121" s="5">
        <v>134</v>
      </c>
      <c r="BE121" s="5" t="s">
        <v>76</v>
      </c>
      <c r="BF121" s="5" t="s">
        <v>76</v>
      </c>
      <c r="BG121" s="15">
        <v>37.3</v>
      </c>
      <c r="BH121" s="5" t="s">
        <v>76</v>
      </c>
      <c r="BI121" s="5">
        <v>111</v>
      </c>
      <c r="BJ121" s="5">
        <v>18</v>
      </c>
      <c r="BK121" s="5">
        <v>143</v>
      </c>
      <c r="BL121" s="5">
        <v>89</v>
      </c>
      <c r="BM121" s="5" t="s">
        <v>274</v>
      </c>
      <c r="BN121" s="5" t="s">
        <v>274</v>
      </c>
      <c r="BO121" s="5" t="e">
        <f t="shared" si="1"/>
        <v>#VALUE!</v>
      </c>
      <c r="BP121" s="5" t="s">
        <v>109</v>
      </c>
      <c r="BQ121" s="5" t="s">
        <v>76</v>
      </c>
      <c r="BR121" s="5">
        <v>3080</v>
      </c>
    </row>
    <row r="122" s="1" customFormat="1" spans="1:70">
      <c r="A122" s="1">
        <v>3501991</v>
      </c>
      <c r="B122" s="1" t="s">
        <v>504</v>
      </c>
      <c r="D122" s="4">
        <v>45269</v>
      </c>
      <c r="E122" s="4">
        <v>45283</v>
      </c>
      <c r="F122" s="7">
        <v>13798</v>
      </c>
      <c r="G122" s="1">
        <v>32</v>
      </c>
      <c r="H122" s="1">
        <v>8</v>
      </c>
      <c r="I122" s="1">
        <v>40</v>
      </c>
      <c r="J122" s="1">
        <v>8</v>
      </c>
      <c r="K122" s="1">
        <v>68</v>
      </c>
      <c r="L122" s="1">
        <v>38</v>
      </c>
      <c r="M122" s="1">
        <v>1.42</v>
      </c>
      <c r="N122" s="1">
        <v>13.6</v>
      </c>
      <c r="O122" s="7">
        <v>13798</v>
      </c>
      <c r="P122" s="4">
        <v>45269</v>
      </c>
      <c r="Q122" s="4">
        <v>45283</v>
      </c>
      <c r="R122" s="1" t="s">
        <v>80</v>
      </c>
      <c r="AO122" s="7">
        <v>13798</v>
      </c>
      <c r="AP122" s="5">
        <v>8.2</v>
      </c>
      <c r="AQ122" s="5">
        <v>152</v>
      </c>
      <c r="AR122" s="5">
        <v>49</v>
      </c>
      <c r="AS122" s="5">
        <v>66.9</v>
      </c>
      <c r="AT122" s="5">
        <v>22</v>
      </c>
      <c r="AU122" s="5">
        <v>31</v>
      </c>
      <c r="AV122" s="5">
        <v>33.3</v>
      </c>
      <c r="AW122" s="5">
        <v>9.6</v>
      </c>
      <c r="AX122" s="5">
        <v>92</v>
      </c>
      <c r="AY122" s="5" t="s">
        <v>76</v>
      </c>
      <c r="AZ122" s="5">
        <v>8.8</v>
      </c>
      <c r="BA122" s="5">
        <v>5.65</v>
      </c>
      <c r="BB122" s="12" t="s">
        <v>76</v>
      </c>
      <c r="BC122" s="5">
        <v>4.6</v>
      </c>
      <c r="BD122" s="5">
        <v>152</v>
      </c>
      <c r="BE122" s="5" t="s">
        <v>76</v>
      </c>
      <c r="BF122" s="5" t="s">
        <v>76</v>
      </c>
      <c r="BG122" s="15">
        <v>36.7</v>
      </c>
      <c r="BH122" s="5">
        <v>82</v>
      </c>
      <c r="BI122" s="5">
        <v>82</v>
      </c>
      <c r="BJ122" s="5">
        <v>19</v>
      </c>
      <c r="BK122" s="5">
        <v>164</v>
      </c>
      <c r="BL122" s="5">
        <v>54</v>
      </c>
      <c r="BM122" s="5">
        <v>60</v>
      </c>
      <c r="BN122" s="5">
        <v>165</v>
      </c>
      <c r="BO122" s="5">
        <f t="shared" si="1"/>
        <v>22.038567493113</v>
      </c>
      <c r="BP122" s="5" t="s">
        <v>164</v>
      </c>
      <c r="BQ122" s="5" t="s">
        <v>76</v>
      </c>
      <c r="BR122" s="5">
        <v>4708</v>
      </c>
    </row>
    <row r="123" s="1" customFormat="1" spans="1:70">
      <c r="A123" s="1" t="s">
        <v>505</v>
      </c>
      <c r="B123" s="1" t="s">
        <v>506</v>
      </c>
      <c r="D123" s="4">
        <v>44897</v>
      </c>
      <c r="E123" s="4">
        <v>44909</v>
      </c>
      <c r="F123" s="7">
        <v>13809</v>
      </c>
      <c r="G123" s="1">
        <v>46</v>
      </c>
      <c r="H123" s="1">
        <v>10</v>
      </c>
      <c r="I123" s="1">
        <v>54</v>
      </c>
      <c r="J123" s="1">
        <v>10</v>
      </c>
      <c r="K123" s="1">
        <v>51</v>
      </c>
      <c r="L123" s="1">
        <v>26</v>
      </c>
      <c r="M123" s="1">
        <v>1.32</v>
      </c>
      <c r="N123" s="1">
        <v>26.4</v>
      </c>
      <c r="O123" s="7">
        <v>13809</v>
      </c>
      <c r="P123" s="4">
        <v>44897</v>
      </c>
      <c r="Q123" s="4">
        <v>44909</v>
      </c>
      <c r="R123" s="1" t="s">
        <v>73</v>
      </c>
      <c r="S123" s="1">
        <v>85</v>
      </c>
      <c r="T123" s="1">
        <v>13952188708</v>
      </c>
      <c r="V123" s="1">
        <v>1</v>
      </c>
      <c r="Z123" s="1">
        <v>1</v>
      </c>
      <c r="AC123" s="1">
        <v>1</v>
      </c>
      <c r="AG123" s="1">
        <v>1</v>
      </c>
      <c r="AH123" s="1">
        <v>1</v>
      </c>
      <c r="AM123" s="1">
        <v>1</v>
      </c>
      <c r="AO123" s="7">
        <v>13809</v>
      </c>
      <c r="AP123" s="5" t="s">
        <v>507</v>
      </c>
      <c r="AQ123" s="5" t="s">
        <v>508</v>
      </c>
      <c r="AR123" s="5" t="s">
        <v>509</v>
      </c>
      <c r="AS123" s="5" t="s">
        <v>510</v>
      </c>
      <c r="AT123" s="5" t="s">
        <v>511</v>
      </c>
      <c r="AU123" s="5" t="s">
        <v>512</v>
      </c>
      <c r="AV123" s="5" t="s">
        <v>513</v>
      </c>
      <c r="AW123" s="5" t="s">
        <v>514</v>
      </c>
      <c r="AX123" s="5" t="s">
        <v>290</v>
      </c>
      <c r="AY123" s="5" t="s">
        <v>515</v>
      </c>
      <c r="AZ123" s="5" t="s">
        <v>75</v>
      </c>
      <c r="BA123" s="5" t="s">
        <v>76</v>
      </c>
      <c r="BB123" s="12" t="s">
        <v>76</v>
      </c>
      <c r="BC123" s="5" t="s">
        <v>292</v>
      </c>
      <c r="BD123" s="5" t="s">
        <v>508</v>
      </c>
      <c r="BE123" s="5" t="s">
        <v>76</v>
      </c>
      <c r="BF123" s="5" t="s">
        <v>76</v>
      </c>
      <c r="BG123" s="15">
        <v>36.5</v>
      </c>
      <c r="BH123" s="5" t="s">
        <v>425</v>
      </c>
      <c r="BI123" s="5" t="s">
        <v>76</v>
      </c>
      <c r="BJ123" s="5" t="s">
        <v>193</v>
      </c>
      <c r="BK123" s="5" t="s">
        <v>516</v>
      </c>
      <c r="BL123" s="5" t="s">
        <v>425</v>
      </c>
      <c r="BM123" s="5" t="s">
        <v>468</v>
      </c>
      <c r="BN123" s="5">
        <v>155</v>
      </c>
      <c r="BO123" s="5">
        <f t="shared" si="1"/>
        <v>27.0551508844953</v>
      </c>
      <c r="BP123" s="5" t="s">
        <v>234</v>
      </c>
      <c r="BQ123" s="5" t="s">
        <v>517</v>
      </c>
      <c r="BR123" s="5">
        <v>4639</v>
      </c>
    </row>
    <row r="124" s="1" customFormat="1" spans="1:70">
      <c r="A124" s="1">
        <v>3280804</v>
      </c>
      <c r="B124" s="1" t="s">
        <v>518</v>
      </c>
      <c r="D124" s="4">
        <v>44964</v>
      </c>
      <c r="E124" s="4">
        <v>44973</v>
      </c>
      <c r="F124" s="7">
        <v>13820</v>
      </c>
      <c r="G124" s="1">
        <v>37</v>
      </c>
      <c r="H124" s="1">
        <v>10</v>
      </c>
      <c r="I124" s="1">
        <v>54</v>
      </c>
      <c r="J124" s="1">
        <v>10</v>
      </c>
      <c r="K124" s="1">
        <v>40</v>
      </c>
      <c r="L124" s="1">
        <v>20</v>
      </c>
      <c r="M124" s="1">
        <v>0.44</v>
      </c>
      <c r="N124" s="1">
        <v>9.7</v>
      </c>
      <c r="O124" s="7">
        <v>13820</v>
      </c>
      <c r="P124" s="4">
        <v>44964</v>
      </c>
      <c r="Q124" s="4">
        <v>44973</v>
      </c>
      <c r="R124" s="1" t="s">
        <v>80</v>
      </c>
      <c r="AO124" s="7">
        <v>13820</v>
      </c>
      <c r="AP124" s="5">
        <v>9</v>
      </c>
      <c r="AQ124" s="5">
        <v>131</v>
      </c>
      <c r="AR124" s="5">
        <v>41.8</v>
      </c>
      <c r="AS124" s="5">
        <v>0.3</v>
      </c>
      <c r="AT124" s="5">
        <v>16</v>
      </c>
      <c r="AU124" s="5">
        <v>15</v>
      </c>
      <c r="AV124" s="5">
        <v>33.7</v>
      </c>
      <c r="AW124" s="5">
        <v>7.68</v>
      </c>
      <c r="AX124" s="5">
        <v>84</v>
      </c>
      <c r="AY124" s="5">
        <v>98.82</v>
      </c>
      <c r="AZ124" s="5" t="s">
        <v>75</v>
      </c>
      <c r="BA124" s="5">
        <v>2.59</v>
      </c>
      <c r="BB124" s="12" t="s">
        <v>76</v>
      </c>
      <c r="BC124" s="5">
        <v>3.65</v>
      </c>
      <c r="BD124" s="5">
        <v>131</v>
      </c>
      <c r="BE124" s="5">
        <v>1.06</v>
      </c>
      <c r="BF124" s="5">
        <v>1.09</v>
      </c>
      <c r="BG124" s="15">
        <v>36.1</v>
      </c>
      <c r="BH124" s="5">
        <v>98</v>
      </c>
      <c r="BI124" s="5" t="s">
        <v>76</v>
      </c>
      <c r="BJ124" s="5">
        <v>18</v>
      </c>
      <c r="BK124" s="5">
        <v>126</v>
      </c>
      <c r="BL124" s="5">
        <v>74</v>
      </c>
      <c r="BM124" s="5">
        <v>70</v>
      </c>
      <c r="BN124" s="5">
        <v>176</v>
      </c>
      <c r="BO124" s="5">
        <f t="shared" si="1"/>
        <v>22.5981404958678</v>
      </c>
      <c r="BP124" s="5" t="s">
        <v>83</v>
      </c>
      <c r="BQ124" s="5">
        <v>5.5</v>
      </c>
      <c r="BR124" s="5">
        <v>9200</v>
      </c>
    </row>
    <row r="125" s="1" customFormat="1" spans="1:70">
      <c r="A125" s="1">
        <v>3329612</v>
      </c>
      <c r="B125" s="1" t="s">
        <v>519</v>
      </c>
      <c r="D125" s="4">
        <v>45032</v>
      </c>
      <c r="E125" s="4">
        <v>45037</v>
      </c>
      <c r="F125" s="7">
        <v>13881</v>
      </c>
      <c r="G125" s="1">
        <v>48</v>
      </c>
      <c r="H125" s="1">
        <v>10</v>
      </c>
      <c r="I125" s="1">
        <v>49</v>
      </c>
      <c r="J125" s="1">
        <v>9</v>
      </c>
      <c r="K125" s="1">
        <v>53</v>
      </c>
      <c r="L125" s="1">
        <v>28</v>
      </c>
      <c r="N125" s="1">
        <v>23.6</v>
      </c>
      <c r="O125" s="7">
        <v>13881</v>
      </c>
      <c r="P125" s="4">
        <v>45032</v>
      </c>
      <c r="Q125" s="4">
        <v>45037</v>
      </c>
      <c r="R125" s="1" t="s">
        <v>73</v>
      </c>
      <c r="AO125" s="7">
        <v>13881</v>
      </c>
      <c r="AP125" s="5">
        <v>5.2</v>
      </c>
      <c r="AQ125" s="5">
        <v>133</v>
      </c>
      <c r="AR125" s="5">
        <v>42.1</v>
      </c>
      <c r="AS125" s="5" t="s">
        <v>76</v>
      </c>
      <c r="AT125" s="5">
        <v>23</v>
      </c>
      <c r="AU125" s="5">
        <v>26</v>
      </c>
      <c r="AV125" s="5">
        <v>40.5</v>
      </c>
      <c r="AW125" s="5">
        <v>6.09</v>
      </c>
      <c r="AX125" s="5">
        <v>74</v>
      </c>
      <c r="AY125" s="5">
        <v>68.77</v>
      </c>
      <c r="AZ125" s="5" t="s">
        <v>75</v>
      </c>
      <c r="BA125" s="5">
        <v>3.39</v>
      </c>
      <c r="BB125" s="12" t="s">
        <v>76</v>
      </c>
      <c r="BC125" s="5">
        <v>4.02</v>
      </c>
      <c r="BD125" s="5">
        <v>133</v>
      </c>
      <c r="BE125" s="5">
        <v>1.28</v>
      </c>
      <c r="BF125" s="5">
        <v>1.41</v>
      </c>
      <c r="BG125" s="15">
        <v>36.3</v>
      </c>
      <c r="BH125" s="5">
        <v>85</v>
      </c>
      <c r="BI125" s="5">
        <v>85</v>
      </c>
      <c r="BJ125" s="5">
        <v>16</v>
      </c>
      <c r="BK125" s="5">
        <v>130</v>
      </c>
      <c r="BL125" s="5">
        <v>75</v>
      </c>
      <c r="BM125" s="5">
        <v>51</v>
      </c>
      <c r="BN125" s="5">
        <v>154</v>
      </c>
      <c r="BO125" s="5">
        <f t="shared" si="1"/>
        <v>21.5044695564176</v>
      </c>
      <c r="BP125" s="5" t="s">
        <v>121</v>
      </c>
      <c r="BQ125" s="5" t="s">
        <v>76</v>
      </c>
      <c r="BR125" s="5">
        <v>2313</v>
      </c>
    </row>
    <row r="126" s="1" customFormat="1" spans="1:70">
      <c r="A126" s="1" t="s">
        <v>520</v>
      </c>
      <c r="B126" s="1" t="s">
        <v>521</v>
      </c>
      <c r="C126" s="1" t="s">
        <v>273</v>
      </c>
      <c r="D126" s="4">
        <v>44886</v>
      </c>
      <c r="E126" s="4">
        <v>44890</v>
      </c>
      <c r="F126" s="7">
        <v>13881</v>
      </c>
      <c r="G126" s="1">
        <v>41</v>
      </c>
      <c r="H126" s="1">
        <v>12</v>
      </c>
      <c r="I126" s="1">
        <v>52</v>
      </c>
      <c r="J126" s="1">
        <v>12</v>
      </c>
      <c r="K126" s="1">
        <v>60</v>
      </c>
      <c r="L126" s="1">
        <v>32</v>
      </c>
      <c r="M126" s="9">
        <v>0.6</v>
      </c>
      <c r="O126" s="7">
        <v>13881</v>
      </c>
      <c r="P126" s="4">
        <v>44886</v>
      </c>
      <c r="Q126" s="4">
        <v>44890</v>
      </c>
      <c r="R126" s="1" t="s">
        <v>80</v>
      </c>
      <c r="AO126" s="7">
        <v>13881</v>
      </c>
      <c r="AP126" s="5" t="s">
        <v>522</v>
      </c>
      <c r="AQ126" s="5" t="s">
        <v>318</v>
      </c>
      <c r="AR126" s="5" t="s">
        <v>523</v>
      </c>
      <c r="AS126" s="5" t="s">
        <v>524</v>
      </c>
      <c r="AT126" s="5" t="s">
        <v>101</v>
      </c>
      <c r="AU126" s="5" t="s">
        <v>525</v>
      </c>
      <c r="AV126" s="5" t="s">
        <v>526</v>
      </c>
      <c r="AW126" s="5" t="s">
        <v>527</v>
      </c>
      <c r="AX126" s="5" t="s">
        <v>528</v>
      </c>
      <c r="AY126" s="5" t="s">
        <v>529</v>
      </c>
      <c r="AZ126" s="5" t="s">
        <v>530</v>
      </c>
      <c r="BA126" s="5" t="s">
        <v>76</v>
      </c>
      <c r="BB126" s="12" t="s">
        <v>76</v>
      </c>
      <c r="BC126" s="5" t="s">
        <v>531</v>
      </c>
      <c r="BD126" s="5" t="s">
        <v>318</v>
      </c>
      <c r="BE126" s="5" t="s">
        <v>76</v>
      </c>
      <c r="BF126" s="5" t="s">
        <v>76</v>
      </c>
      <c r="BG126" s="15">
        <v>36.6</v>
      </c>
      <c r="BH126" s="5" t="s">
        <v>207</v>
      </c>
      <c r="BI126" s="5" t="s">
        <v>207</v>
      </c>
      <c r="BJ126" s="5" t="s">
        <v>101</v>
      </c>
      <c r="BK126" s="5" t="s">
        <v>532</v>
      </c>
      <c r="BL126" s="5" t="s">
        <v>533</v>
      </c>
      <c r="BM126" s="5" t="s">
        <v>131</v>
      </c>
      <c r="BN126" s="5">
        <v>175</v>
      </c>
      <c r="BO126" s="5">
        <f t="shared" si="1"/>
        <v>16.9795918367347</v>
      </c>
      <c r="BP126" s="5" t="s">
        <v>105</v>
      </c>
      <c r="BQ126" s="5" t="s">
        <v>76</v>
      </c>
      <c r="BR126" s="5" t="s">
        <v>118</v>
      </c>
    </row>
    <row r="127" s="1" customFormat="1" spans="1:70">
      <c r="A127" s="1" t="s">
        <v>534</v>
      </c>
      <c r="B127" s="1" t="s">
        <v>535</v>
      </c>
      <c r="D127" s="4">
        <v>44967</v>
      </c>
      <c r="E127" s="4">
        <v>44979</v>
      </c>
      <c r="F127" s="7">
        <v>13921</v>
      </c>
      <c r="G127" s="1">
        <v>40</v>
      </c>
      <c r="H127" s="1">
        <v>9</v>
      </c>
      <c r="I127" s="1">
        <v>41</v>
      </c>
      <c r="J127" s="1">
        <v>9</v>
      </c>
      <c r="K127" s="1">
        <v>64</v>
      </c>
      <c r="L127" s="1">
        <v>35</v>
      </c>
      <c r="M127" s="1">
        <v>1.53</v>
      </c>
      <c r="N127" s="1">
        <v>13.9</v>
      </c>
      <c r="O127" s="7">
        <v>13921</v>
      </c>
      <c r="P127" s="4">
        <v>44967</v>
      </c>
      <c r="Q127" s="4">
        <v>44979</v>
      </c>
      <c r="R127" s="1" t="s">
        <v>73</v>
      </c>
      <c r="AO127" s="7">
        <v>13921</v>
      </c>
      <c r="AP127" s="5" t="s">
        <v>536</v>
      </c>
      <c r="AQ127" s="5" t="s">
        <v>89</v>
      </c>
      <c r="AR127" s="5" t="s">
        <v>537</v>
      </c>
      <c r="AS127" s="5" t="s">
        <v>341</v>
      </c>
      <c r="AT127" s="5" t="s">
        <v>538</v>
      </c>
      <c r="AU127" s="5" t="s">
        <v>171</v>
      </c>
      <c r="AV127" s="5" t="s">
        <v>328</v>
      </c>
      <c r="AW127" s="5" t="s">
        <v>539</v>
      </c>
      <c r="AX127" s="5" t="s">
        <v>207</v>
      </c>
      <c r="AY127" s="5" t="s">
        <v>540</v>
      </c>
      <c r="AZ127" s="5" t="s">
        <v>480</v>
      </c>
      <c r="BA127" s="5" t="s">
        <v>76</v>
      </c>
      <c r="BB127" s="12" t="s">
        <v>76</v>
      </c>
      <c r="BC127" s="5" t="s">
        <v>541</v>
      </c>
      <c r="BD127" s="5" t="s">
        <v>89</v>
      </c>
      <c r="BE127" s="5" t="s">
        <v>76</v>
      </c>
      <c r="BF127" s="5" t="s">
        <v>76</v>
      </c>
      <c r="BG127" s="15">
        <v>37</v>
      </c>
      <c r="BH127" s="5" t="s">
        <v>139</v>
      </c>
      <c r="BI127" s="5" t="s">
        <v>173</v>
      </c>
      <c r="BJ127" s="5" t="s">
        <v>183</v>
      </c>
      <c r="BK127" s="5" t="s">
        <v>516</v>
      </c>
      <c r="BL127" s="5" t="s">
        <v>207</v>
      </c>
      <c r="BM127" s="5" t="s">
        <v>344</v>
      </c>
      <c r="BN127" s="5">
        <v>160</v>
      </c>
      <c r="BO127" s="5">
        <f t="shared" si="1"/>
        <v>21.09375</v>
      </c>
      <c r="BP127" s="5" t="s">
        <v>542</v>
      </c>
      <c r="BQ127" s="5" t="s">
        <v>76</v>
      </c>
      <c r="BR127" s="5">
        <v>3936</v>
      </c>
    </row>
    <row r="128" s="1" customFormat="1" spans="1:70">
      <c r="A128" s="1">
        <v>3318182</v>
      </c>
      <c r="B128" s="1" t="s">
        <v>543</v>
      </c>
      <c r="D128" s="4">
        <v>45015</v>
      </c>
      <c r="E128" s="4">
        <v>45017</v>
      </c>
      <c r="F128" s="7">
        <v>13921</v>
      </c>
      <c r="G128" s="1">
        <v>46</v>
      </c>
      <c r="H128" s="1">
        <v>10</v>
      </c>
      <c r="I128" s="1">
        <v>47</v>
      </c>
      <c r="J128" s="1">
        <v>10</v>
      </c>
      <c r="K128" s="1">
        <v>68</v>
      </c>
      <c r="L128" s="1">
        <v>39</v>
      </c>
      <c r="N128" s="1">
        <v>10.1</v>
      </c>
      <c r="O128" s="7">
        <v>13921</v>
      </c>
      <c r="P128" s="4">
        <v>45015</v>
      </c>
      <c r="Q128" s="4">
        <v>45017</v>
      </c>
      <c r="R128" s="1" t="s">
        <v>73</v>
      </c>
      <c r="AO128" s="7">
        <v>13921</v>
      </c>
      <c r="AP128" s="5">
        <v>4.5</v>
      </c>
      <c r="AQ128" s="5">
        <v>120</v>
      </c>
      <c r="AR128" s="5">
        <v>36.6</v>
      </c>
      <c r="AS128" s="5">
        <v>1.2</v>
      </c>
      <c r="AT128" s="5">
        <v>17</v>
      </c>
      <c r="AU128" s="5">
        <v>11</v>
      </c>
      <c r="AV128" s="5">
        <v>42.7</v>
      </c>
      <c r="AW128" s="5">
        <v>11.4</v>
      </c>
      <c r="AX128" s="5">
        <v>104</v>
      </c>
      <c r="AY128" s="5">
        <v>46.44</v>
      </c>
      <c r="AZ128" s="5">
        <v>5.05</v>
      </c>
      <c r="BA128" s="5">
        <v>5.07</v>
      </c>
      <c r="BB128" s="12" t="s">
        <v>76</v>
      </c>
      <c r="BC128" s="5">
        <v>3.86</v>
      </c>
      <c r="BD128" s="5">
        <v>120</v>
      </c>
      <c r="BE128" s="5">
        <v>1.93</v>
      </c>
      <c r="BF128" s="5">
        <v>2.91</v>
      </c>
      <c r="BG128" s="15">
        <v>36.5</v>
      </c>
      <c r="BH128" s="5">
        <v>81</v>
      </c>
      <c r="BI128" s="5">
        <v>99</v>
      </c>
      <c r="BJ128" s="5">
        <v>18</v>
      </c>
      <c r="BK128" s="5">
        <v>168</v>
      </c>
      <c r="BL128" s="5">
        <v>86</v>
      </c>
      <c r="BM128" s="5">
        <v>55</v>
      </c>
      <c r="BN128" s="5">
        <v>158</v>
      </c>
      <c r="BO128" s="5">
        <f t="shared" si="1"/>
        <v>22.0317256849864</v>
      </c>
      <c r="BP128" s="5" t="s">
        <v>156</v>
      </c>
      <c r="BQ128" s="5">
        <v>6</v>
      </c>
      <c r="BR128" s="5">
        <v>3589</v>
      </c>
    </row>
    <row r="129" s="1" customFormat="1" spans="1:70">
      <c r="A129" s="1">
        <v>3257407</v>
      </c>
      <c r="B129" s="1" t="s">
        <v>544</v>
      </c>
      <c r="D129" s="4">
        <v>44923</v>
      </c>
      <c r="E129" s="4">
        <v>44940</v>
      </c>
      <c r="F129" s="7">
        <v>13931</v>
      </c>
      <c r="G129" s="1">
        <v>37</v>
      </c>
      <c r="H129" s="1">
        <v>10</v>
      </c>
      <c r="I129" s="1">
        <v>51</v>
      </c>
      <c r="J129" s="1">
        <v>10</v>
      </c>
      <c r="K129" s="1">
        <v>63</v>
      </c>
      <c r="L129" s="1">
        <v>35</v>
      </c>
      <c r="M129" s="1">
        <v>0.55</v>
      </c>
      <c r="N129" s="1">
        <v>7.1</v>
      </c>
      <c r="O129" s="7">
        <v>13931</v>
      </c>
      <c r="P129" s="4">
        <v>44923</v>
      </c>
      <c r="Q129" s="4">
        <v>44940</v>
      </c>
      <c r="R129" s="1" t="s">
        <v>80</v>
      </c>
      <c r="S129" s="1">
        <v>84</v>
      </c>
      <c r="T129" s="1" t="s">
        <v>545</v>
      </c>
      <c r="AM129" s="1">
        <v>1</v>
      </c>
      <c r="AO129" s="7">
        <v>13931</v>
      </c>
      <c r="AP129" s="5">
        <v>5.1</v>
      </c>
      <c r="AQ129" s="5">
        <v>97</v>
      </c>
      <c r="AR129" s="5">
        <v>34.3</v>
      </c>
      <c r="AS129" s="5">
        <v>8.8</v>
      </c>
      <c r="AT129" s="5">
        <v>44</v>
      </c>
      <c r="AU129" s="5">
        <v>47</v>
      </c>
      <c r="AV129" s="5">
        <v>33.3</v>
      </c>
      <c r="AW129" s="5">
        <v>9.9</v>
      </c>
      <c r="AX129" s="5">
        <v>145</v>
      </c>
      <c r="AY129" s="5">
        <v>61.37</v>
      </c>
      <c r="AZ129" s="5" t="s">
        <v>75</v>
      </c>
      <c r="BA129" s="5">
        <v>3.59</v>
      </c>
      <c r="BB129" s="12" t="s">
        <v>76</v>
      </c>
      <c r="BC129" s="5">
        <v>4.14</v>
      </c>
      <c r="BD129" s="5">
        <v>97</v>
      </c>
      <c r="BE129" s="5">
        <v>1.38</v>
      </c>
      <c r="BF129" s="5">
        <v>2.37</v>
      </c>
      <c r="BG129" s="15">
        <v>39.3</v>
      </c>
      <c r="BH129" s="5">
        <v>91</v>
      </c>
      <c r="BI129" s="5">
        <v>91</v>
      </c>
      <c r="BJ129" s="5">
        <v>16</v>
      </c>
      <c r="BK129" s="5">
        <v>149</v>
      </c>
      <c r="BL129" s="5">
        <v>78</v>
      </c>
      <c r="BM129" s="5">
        <v>70</v>
      </c>
      <c r="BN129" s="5">
        <v>175</v>
      </c>
      <c r="BO129" s="5">
        <f t="shared" si="1"/>
        <v>22.8571428571429</v>
      </c>
      <c r="BP129" s="5" t="s">
        <v>164</v>
      </c>
      <c r="BQ129" s="5" t="s">
        <v>76</v>
      </c>
      <c r="BR129" s="5">
        <v>3660</v>
      </c>
    </row>
    <row r="130" s="1" customFormat="1" spans="1:70">
      <c r="A130" s="1" t="s">
        <v>546</v>
      </c>
      <c r="B130" s="1" t="s">
        <v>547</v>
      </c>
      <c r="D130" s="4">
        <v>44888</v>
      </c>
      <c r="E130" s="4">
        <v>44945</v>
      </c>
      <c r="F130" s="7">
        <v>13937</v>
      </c>
      <c r="G130" s="1">
        <v>48</v>
      </c>
      <c r="H130" s="1">
        <v>10</v>
      </c>
      <c r="I130" s="1">
        <v>53</v>
      </c>
      <c r="J130" s="1">
        <v>10</v>
      </c>
      <c r="K130" s="1">
        <v>58</v>
      </c>
      <c r="L130" s="1">
        <v>31</v>
      </c>
      <c r="O130" s="7">
        <v>13937</v>
      </c>
      <c r="P130" s="4">
        <v>44888</v>
      </c>
      <c r="Q130" s="4">
        <v>44945</v>
      </c>
      <c r="R130" s="1" t="s">
        <v>80</v>
      </c>
      <c r="AO130" s="7">
        <v>13937</v>
      </c>
      <c r="AP130" s="5" t="s">
        <v>381</v>
      </c>
      <c r="AQ130" s="5" t="s">
        <v>548</v>
      </c>
      <c r="AR130" s="5" t="s">
        <v>549</v>
      </c>
      <c r="AS130" s="5" t="s">
        <v>550</v>
      </c>
      <c r="AT130" s="5" t="s">
        <v>551</v>
      </c>
      <c r="AU130" s="5" t="s">
        <v>93</v>
      </c>
      <c r="AV130" s="5" t="s">
        <v>552</v>
      </c>
      <c r="AW130" s="5" t="s">
        <v>553</v>
      </c>
      <c r="AX130" s="5" t="s">
        <v>243</v>
      </c>
      <c r="AY130" s="5" t="s">
        <v>76</v>
      </c>
      <c r="AZ130" s="5" t="s">
        <v>75</v>
      </c>
      <c r="BA130" s="5" t="s">
        <v>554</v>
      </c>
      <c r="BB130" s="12" t="s">
        <v>76</v>
      </c>
      <c r="BC130" s="5" t="s">
        <v>555</v>
      </c>
      <c r="BD130" s="5" t="s">
        <v>548</v>
      </c>
      <c r="BE130" s="5" t="s">
        <v>556</v>
      </c>
      <c r="BF130" s="5" t="s">
        <v>557</v>
      </c>
      <c r="BG130" s="15">
        <v>36.2</v>
      </c>
      <c r="BH130" s="5" t="s">
        <v>140</v>
      </c>
      <c r="BI130" s="5" t="s">
        <v>140</v>
      </c>
      <c r="BJ130" s="5" t="s">
        <v>293</v>
      </c>
      <c r="BK130" s="5" t="s">
        <v>558</v>
      </c>
      <c r="BL130" s="5" t="s">
        <v>232</v>
      </c>
      <c r="BM130" s="5" t="s">
        <v>215</v>
      </c>
      <c r="BN130" s="5">
        <v>175</v>
      </c>
      <c r="BO130" s="5">
        <f t="shared" si="1"/>
        <v>19.5918367346939</v>
      </c>
      <c r="BP130" s="5" t="s">
        <v>559</v>
      </c>
      <c r="BQ130" s="5" t="s">
        <v>76</v>
      </c>
      <c r="BR130" s="5">
        <v>5784</v>
      </c>
    </row>
    <row r="131" s="1" customFormat="1" spans="1:70">
      <c r="A131" s="1">
        <v>3257133</v>
      </c>
      <c r="B131" s="1" t="s">
        <v>560</v>
      </c>
      <c r="D131" s="4">
        <v>44923</v>
      </c>
      <c r="E131" s="4">
        <v>44935</v>
      </c>
      <c r="F131" s="7">
        <v>13949</v>
      </c>
      <c r="G131" s="1">
        <v>37</v>
      </c>
      <c r="H131" s="1">
        <v>9</v>
      </c>
      <c r="I131" s="1">
        <v>45</v>
      </c>
      <c r="J131" s="1">
        <v>9</v>
      </c>
      <c r="K131" s="1">
        <v>56</v>
      </c>
      <c r="L131" s="1">
        <v>30</v>
      </c>
      <c r="M131" s="1">
        <v>0.84</v>
      </c>
      <c r="N131" s="1">
        <v>15.6</v>
      </c>
      <c r="O131" s="7">
        <v>13949</v>
      </c>
      <c r="P131" s="4">
        <v>44923</v>
      </c>
      <c r="Q131" s="4">
        <v>44935</v>
      </c>
      <c r="R131" s="1" t="s">
        <v>80</v>
      </c>
      <c r="S131" s="1">
        <v>84</v>
      </c>
      <c r="T131" s="1" t="s">
        <v>561</v>
      </c>
      <c r="Z131" s="1">
        <v>1</v>
      </c>
      <c r="AI131" s="1">
        <v>1</v>
      </c>
      <c r="AK131" s="1">
        <v>1</v>
      </c>
      <c r="AM131" s="1">
        <v>1</v>
      </c>
      <c r="AO131" s="7">
        <v>13949</v>
      </c>
      <c r="AP131" s="5">
        <v>5.6</v>
      </c>
      <c r="AQ131" s="5">
        <v>90</v>
      </c>
      <c r="AR131" s="5">
        <v>27.7</v>
      </c>
      <c r="AS131" s="5">
        <v>119.3</v>
      </c>
      <c r="AT131" s="5">
        <v>20</v>
      </c>
      <c r="AU131" s="5">
        <v>9</v>
      </c>
      <c r="AV131" s="5">
        <v>35.8</v>
      </c>
      <c r="AW131" s="5">
        <v>3.75</v>
      </c>
      <c r="AX131" s="5">
        <v>73</v>
      </c>
      <c r="AY131" s="5">
        <v>94.38</v>
      </c>
      <c r="AZ131" s="5" t="s">
        <v>75</v>
      </c>
      <c r="BA131" s="5">
        <v>3.53</v>
      </c>
      <c r="BB131" s="12" t="s">
        <v>76</v>
      </c>
      <c r="BC131" s="5">
        <v>3.56</v>
      </c>
      <c r="BD131" s="5">
        <v>90</v>
      </c>
      <c r="BE131" s="5">
        <v>1.02</v>
      </c>
      <c r="BF131" s="5">
        <v>1.82</v>
      </c>
      <c r="BG131" s="15">
        <v>36.4</v>
      </c>
      <c r="BH131" s="5">
        <v>70</v>
      </c>
      <c r="BI131" s="5">
        <v>70</v>
      </c>
      <c r="BJ131" s="5">
        <v>16</v>
      </c>
      <c r="BK131" s="5">
        <v>138</v>
      </c>
      <c r="BL131" s="5">
        <v>75</v>
      </c>
      <c r="BM131" s="5">
        <v>65</v>
      </c>
      <c r="BN131" s="5">
        <v>168</v>
      </c>
      <c r="BO131" s="5">
        <f t="shared" ref="BO131:BO194" si="2">BM131/(BN131/100)^2</f>
        <v>23.0300453514739</v>
      </c>
      <c r="BP131" s="5" t="s">
        <v>121</v>
      </c>
      <c r="BQ131" s="5" t="s">
        <v>76</v>
      </c>
      <c r="BR131" s="5">
        <v>6609</v>
      </c>
    </row>
    <row r="132" s="1" customFormat="1" spans="1:70">
      <c r="A132" s="1">
        <v>3506753</v>
      </c>
      <c r="B132" s="1" t="s">
        <v>562</v>
      </c>
      <c r="D132" s="4">
        <v>45275</v>
      </c>
      <c r="E132" s="4">
        <v>45287</v>
      </c>
      <c r="F132" s="7">
        <v>13956</v>
      </c>
      <c r="G132" s="1">
        <v>30</v>
      </c>
      <c r="H132" s="1">
        <v>9</v>
      </c>
      <c r="I132" s="1">
        <v>50</v>
      </c>
      <c r="J132" s="1">
        <v>9</v>
      </c>
      <c r="K132" s="1">
        <v>61</v>
      </c>
      <c r="L132" s="1">
        <v>33</v>
      </c>
      <c r="M132" s="1">
        <v>0.42</v>
      </c>
      <c r="N132" s="1">
        <v>5.8</v>
      </c>
      <c r="O132" s="7">
        <v>13956</v>
      </c>
      <c r="P132" s="4">
        <v>45275</v>
      </c>
      <c r="Q132" s="4">
        <v>45287</v>
      </c>
      <c r="R132" s="1" t="s">
        <v>73</v>
      </c>
      <c r="AO132" s="7">
        <v>13956</v>
      </c>
      <c r="AP132" s="5">
        <v>87.5</v>
      </c>
      <c r="AQ132" s="5">
        <v>117</v>
      </c>
      <c r="AR132" s="5">
        <v>36.3</v>
      </c>
      <c r="AS132" s="5">
        <v>5.8</v>
      </c>
      <c r="AT132" s="5">
        <v>25</v>
      </c>
      <c r="AU132" s="5">
        <v>8</v>
      </c>
      <c r="AV132" s="5">
        <v>40.6</v>
      </c>
      <c r="AW132" s="5">
        <v>6.57</v>
      </c>
      <c r="AX132" s="5">
        <v>84</v>
      </c>
      <c r="AY132" s="5">
        <v>73.33</v>
      </c>
      <c r="AZ132" s="5" t="s">
        <v>75</v>
      </c>
      <c r="BA132" s="5">
        <v>3.86</v>
      </c>
      <c r="BB132" s="12" t="s">
        <v>76</v>
      </c>
      <c r="BC132" s="5">
        <v>3.87</v>
      </c>
      <c r="BD132" s="5">
        <v>117</v>
      </c>
      <c r="BE132" s="5">
        <v>0.95</v>
      </c>
      <c r="BF132" s="5">
        <v>2.06</v>
      </c>
      <c r="BG132" s="15">
        <v>36.2</v>
      </c>
      <c r="BH132" s="5">
        <v>76</v>
      </c>
      <c r="BI132" s="5">
        <v>76</v>
      </c>
      <c r="BJ132" s="5">
        <v>17</v>
      </c>
      <c r="BK132" s="5">
        <v>140</v>
      </c>
      <c r="BL132" s="5">
        <v>72</v>
      </c>
      <c r="BM132" s="5">
        <v>55</v>
      </c>
      <c r="BN132" s="5">
        <v>160</v>
      </c>
      <c r="BO132" s="5">
        <f t="shared" si="2"/>
        <v>21.484375</v>
      </c>
      <c r="BP132" s="5" t="s">
        <v>83</v>
      </c>
      <c r="BQ132" s="5" t="s">
        <v>76</v>
      </c>
      <c r="BR132" s="5">
        <v>5189</v>
      </c>
    </row>
    <row r="133" s="1" customFormat="1" spans="1:70">
      <c r="A133" s="1">
        <v>3271582</v>
      </c>
      <c r="B133" s="1" t="s">
        <v>563</v>
      </c>
      <c r="D133" s="4">
        <v>44953</v>
      </c>
      <c r="E133" s="4">
        <v>44964</v>
      </c>
      <c r="F133" s="7">
        <v>13958</v>
      </c>
      <c r="G133" s="1">
        <v>43</v>
      </c>
      <c r="H133" s="1">
        <v>10</v>
      </c>
      <c r="I133" s="1">
        <v>50</v>
      </c>
      <c r="J133" s="1">
        <v>9</v>
      </c>
      <c r="K133" s="1">
        <v>56</v>
      </c>
      <c r="L133" s="1">
        <v>29</v>
      </c>
      <c r="M133" s="1">
        <v>0.78</v>
      </c>
      <c r="N133" s="1">
        <v>13.3</v>
      </c>
      <c r="O133" s="7">
        <v>13958</v>
      </c>
      <c r="P133" s="4">
        <v>44953</v>
      </c>
      <c r="Q133" s="4">
        <v>44964</v>
      </c>
      <c r="R133" s="1" t="s">
        <v>80</v>
      </c>
      <c r="AO133" s="7">
        <v>13958</v>
      </c>
      <c r="AP133" s="5">
        <v>7.2</v>
      </c>
      <c r="AQ133" s="5">
        <v>96</v>
      </c>
      <c r="AR133" s="5">
        <v>30.5</v>
      </c>
      <c r="AS133" s="5">
        <v>80.2</v>
      </c>
      <c r="AT133" s="5">
        <v>49</v>
      </c>
      <c r="AU133" s="5">
        <v>74</v>
      </c>
      <c r="AV133" s="5">
        <v>26.9</v>
      </c>
      <c r="AW133" s="5">
        <v>8.24</v>
      </c>
      <c r="AX133" s="5">
        <v>82</v>
      </c>
      <c r="AY133" s="5" t="s">
        <v>125</v>
      </c>
      <c r="AZ133" s="5" t="s">
        <v>75</v>
      </c>
      <c r="BA133" s="5" t="s">
        <v>76</v>
      </c>
      <c r="BB133" s="12" t="s">
        <v>76</v>
      </c>
      <c r="BC133" s="5">
        <v>3.66</v>
      </c>
      <c r="BD133" s="5">
        <v>96</v>
      </c>
      <c r="BE133" s="5" t="s">
        <v>76</v>
      </c>
      <c r="BF133" s="5" t="s">
        <v>76</v>
      </c>
      <c r="BG133" s="15">
        <v>36.7</v>
      </c>
      <c r="BH133" s="5" t="s">
        <v>76</v>
      </c>
      <c r="BI133" s="5">
        <v>78</v>
      </c>
      <c r="BJ133" s="5">
        <v>15</v>
      </c>
      <c r="BK133" s="5">
        <v>120</v>
      </c>
      <c r="BL133" s="5">
        <v>67</v>
      </c>
      <c r="BM133" s="5" t="s">
        <v>77</v>
      </c>
      <c r="BN133" s="5" t="s">
        <v>77</v>
      </c>
      <c r="BO133" s="5" t="e">
        <f t="shared" si="2"/>
        <v>#VALUE!</v>
      </c>
      <c r="BP133" s="5" t="s">
        <v>109</v>
      </c>
      <c r="BQ133" s="5">
        <v>6.5</v>
      </c>
      <c r="BR133" s="5">
        <v>2245</v>
      </c>
    </row>
    <row r="134" s="1" customFormat="1" spans="1:70">
      <c r="A134" s="1">
        <v>3305451</v>
      </c>
      <c r="B134" s="1" t="s">
        <v>564</v>
      </c>
      <c r="D134" s="4">
        <v>44998</v>
      </c>
      <c r="E134" s="4">
        <v>45005</v>
      </c>
      <c r="F134" s="7">
        <v>13980</v>
      </c>
      <c r="G134" s="1">
        <v>35</v>
      </c>
      <c r="H134" s="1">
        <v>10</v>
      </c>
      <c r="I134" s="1">
        <v>49</v>
      </c>
      <c r="J134" s="1">
        <v>10</v>
      </c>
      <c r="K134" s="1">
        <v>57</v>
      </c>
      <c r="L134" s="1">
        <v>30</v>
      </c>
      <c r="M134" s="1">
        <v>0.58</v>
      </c>
      <c r="N134" s="1">
        <v>11.1</v>
      </c>
      <c r="O134" s="7">
        <v>13980</v>
      </c>
      <c r="P134" s="4">
        <v>44998</v>
      </c>
      <c r="Q134" s="4">
        <v>45005</v>
      </c>
      <c r="R134" s="1" t="s">
        <v>80</v>
      </c>
      <c r="AO134" s="7">
        <v>13980</v>
      </c>
      <c r="AP134" s="5">
        <v>13.2</v>
      </c>
      <c r="AQ134" s="5">
        <v>118</v>
      </c>
      <c r="AR134" s="5">
        <v>36.9</v>
      </c>
      <c r="AS134" s="5">
        <v>29.7</v>
      </c>
      <c r="AT134" s="5">
        <v>39</v>
      </c>
      <c r="AU134" s="5">
        <v>63</v>
      </c>
      <c r="AV134" s="5">
        <v>23.1</v>
      </c>
      <c r="AW134" s="5">
        <v>28.49</v>
      </c>
      <c r="AX134" s="5">
        <v>153</v>
      </c>
      <c r="AY134" s="5">
        <v>61.37</v>
      </c>
      <c r="AZ134" s="5">
        <v>7.53</v>
      </c>
      <c r="BA134" s="5">
        <v>5.96</v>
      </c>
      <c r="BB134" s="12" t="s">
        <v>76</v>
      </c>
      <c r="BC134" s="5" t="s">
        <v>4</v>
      </c>
      <c r="BD134" s="5">
        <v>118</v>
      </c>
      <c r="BE134" s="5" t="s">
        <v>76</v>
      </c>
      <c r="BF134" s="5" t="s">
        <v>76</v>
      </c>
      <c r="BG134" s="15">
        <v>36.5</v>
      </c>
      <c r="BH134" s="5">
        <v>110</v>
      </c>
      <c r="BI134" s="5">
        <v>110</v>
      </c>
      <c r="BJ134" s="5">
        <v>18</v>
      </c>
      <c r="BK134" s="5">
        <v>180</v>
      </c>
      <c r="BL134" s="5">
        <v>105</v>
      </c>
      <c r="BM134" s="5">
        <v>55</v>
      </c>
      <c r="BN134" s="5">
        <v>170</v>
      </c>
      <c r="BO134" s="5">
        <f t="shared" si="2"/>
        <v>19.0311418685121</v>
      </c>
      <c r="BP134" s="5" t="s">
        <v>415</v>
      </c>
      <c r="BQ134" s="5">
        <v>5.8</v>
      </c>
      <c r="BR134" s="5">
        <v>2955</v>
      </c>
    </row>
    <row r="135" s="1" customFormat="1" spans="1:70">
      <c r="A135" s="1" t="s">
        <v>565</v>
      </c>
      <c r="B135" s="1" t="s">
        <v>566</v>
      </c>
      <c r="D135" s="4">
        <v>45023</v>
      </c>
      <c r="E135" s="4">
        <v>45037</v>
      </c>
      <c r="F135" s="7">
        <v>13980</v>
      </c>
      <c r="G135" s="1">
        <v>46</v>
      </c>
      <c r="H135" s="1">
        <v>9</v>
      </c>
      <c r="I135" s="1">
        <v>43</v>
      </c>
      <c r="J135" s="1">
        <v>9</v>
      </c>
      <c r="K135" s="1">
        <v>65</v>
      </c>
      <c r="L135" s="1">
        <v>35</v>
      </c>
      <c r="M135" s="1">
        <v>3.63</v>
      </c>
      <c r="N135" s="1">
        <v>13.6</v>
      </c>
      <c r="O135" s="7">
        <v>13980</v>
      </c>
      <c r="P135" s="4">
        <v>45023</v>
      </c>
      <c r="Q135" s="4">
        <v>45037</v>
      </c>
      <c r="R135" s="1" t="s">
        <v>73</v>
      </c>
      <c r="AO135" s="7">
        <v>13980</v>
      </c>
      <c r="AP135" s="5" t="s">
        <v>88</v>
      </c>
      <c r="AQ135" s="5" t="s">
        <v>201</v>
      </c>
      <c r="AR135" s="5" t="s">
        <v>567</v>
      </c>
      <c r="AS135" s="5" t="s">
        <v>568</v>
      </c>
      <c r="AT135" s="5" t="s">
        <v>193</v>
      </c>
      <c r="AU135" s="5" t="s">
        <v>93</v>
      </c>
      <c r="AV135" s="5" t="s">
        <v>526</v>
      </c>
      <c r="AW135" s="5" t="s">
        <v>569</v>
      </c>
      <c r="AX135" s="5" t="s">
        <v>468</v>
      </c>
      <c r="AY135" s="5" t="s">
        <v>76</v>
      </c>
      <c r="AZ135" s="5" t="s">
        <v>570</v>
      </c>
      <c r="BA135" s="5" t="s">
        <v>76</v>
      </c>
      <c r="BB135" s="12" t="s">
        <v>76</v>
      </c>
      <c r="BC135" s="5" t="s">
        <v>571</v>
      </c>
      <c r="BD135" s="5" t="s">
        <v>201</v>
      </c>
      <c r="BE135" s="5" t="s">
        <v>76</v>
      </c>
      <c r="BF135" s="5" t="s">
        <v>76</v>
      </c>
      <c r="BG135" s="15">
        <v>36.2</v>
      </c>
      <c r="BH135" s="5" t="s">
        <v>482</v>
      </c>
      <c r="BI135" s="5" t="s">
        <v>482</v>
      </c>
      <c r="BJ135" s="5" t="s">
        <v>246</v>
      </c>
      <c r="BK135" s="5" t="s">
        <v>572</v>
      </c>
      <c r="BL135" s="5" t="s">
        <v>425</v>
      </c>
      <c r="BM135" s="5" t="s">
        <v>228</v>
      </c>
      <c r="BN135" s="5">
        <v>155</v>
      </c>
      <c r="BO135" s="5">
        <f t="shared" si="2"/>
        <v>23.309053069719</v>
      </c>
      <c r="BP135" s="5" t="s">
        <v>573</v>
      </c>
      <c r="BQ135" s="5" t="s">
        <v>76</v>
      </c>
      <c r="BR135" s="5">
        <v>2364</v>
      </c>
    </row>
    <row r="136" s="1" customFormat="1" spans="1:70">
      <c r="A136" s="1">
        <v>3265311</v>
      </c>
      <c r="B136" s="1" t="s">
        <v>574</v>
      </c>
      <c r="D136" s="4">
        <v>44937</v>
      </c>
      <c r="E136" s="4">
        <v>44946</v>
      </c>
      <c r="F136" s="7">
        <v>13982</v>
      </c>
      <c r="G136" s="1">
        <v>39</v>
      </c>
      <c r="H136" s="1">
        <v>10</v>
      </c>
      <c r="I136" s="1">
        <v>50</v>
      </c>
      <c r="J136" s="1">
        <v>10</v>
      </c>
      <c r="K136" s="1">
        <v>43</v>
      </c>
      <c r="L136" s="1">
        <v>21</v>
      </c>
      <c r="M136" s="1">
        <v>0.44</v>
      </c>
      <c r="N136" s="1">
        <v>15.3</v>
      </c>
      <c r="O136" s="7">
        <v>13982</v>
      </c>
      <c r="P136" s="4">
        <v>44937</v>
      </c>
      <c r="Q136" s="4">
        <v>44946</v>
      </c>
      <c r="R136" s="1" t="s">
        <v>80</v>
      </c>
      <c r="AO136" s="7">
        <v>13982</v>
      </c>
      <c r="AP136" s="5">
        <v>9.8</v>
      </c>
      <c r="AQ136" s="5">
        <v>97</v>
      </c>
      <c r="AR136" s="5">
        <v>46</v>
      </c>
      <c r="AS136" s="5">
        <v>6.8</v>
      </c>
      <c r="AT136" s="5">
        <v>35</v>
      </c>
      <c r="AU136" s="5">
        <v>58</v>
      </c>
      <c r="AV136" s="5">
        <v>31.6</v>
      </c>
      <c r="AW136" s="5">
        <v>7.55</v>
      </c>
      <c r="AX136" s="5">
        <v>52</v>
      </c>
      <c r="AY136" s="5" t="s">
        <v>125</v>
      </c>
      <c r="AZ136" s="5">
        <v>8.3</v>
      </c>
      <c r="BA136" s="5" t="s">
        <v>76</v>
      </c>
      <c r="BB136" s="12" t="s">
        <v>76</v>
      </c>
      <c r="BC136" s="5">
        <v>4.44</v>
      </c>
      <c r="BD136" s="5">
        <v>97</v>
      </c>
      <c r="BE136" s="5" t="s">
        <v>76</v>
      </c>
      <c r="BF136" s="5" t="s">
        <v>76</v>
      </c>
      <c r="BG136" s="15">
        <v>36.5</v>
      </c>
      <c r="BH136" s="5" t="s">
        <v>76</v>
      </c>
      <c r="BI136" s="5">
        <v>78</v>
      </c>
      <c r="BJ136" s="5">
        <v>20</v>
      </c>
      <c r="BK136" s="5">
        <v>101</v>
      </c>
      <c r="BL136" s="5">
        <v>52</v>
      </c>
      <c r="BM136" s="5">
        <v>79</v>
      </c>
      <c r="BN136" s="5">
        <v>175</v>
      </c>
      <c r="BO136" s="5">
        <f t="shared" si="2"/>
        <v>25.7959183673469</v>
      </c>
      <c r="BP136" s="5" t="s">
        <v>168</v>
      </c>
      <c r="BQ136" s="5" t="s">
        <v>76</v>
      </c>
      <c r="BR136" s="5">
        <v>4780</v>
      </c>
    </row>
    <row r="137" s="1" customFormat="1" spans="1:70">
      <c r="A137" s="1" t="s">
        <v>575</v>
      </c>
      <c r="B137" s="1" t="s">
        <v>576</v>
      </c>
      <c r="D137" s="4">
        <v>44955</v>
      </c>
      <c r="E137" s="4">
        <v>44974</v>
      </c>
      <c r="F137" s="7">
        <v>14005</v>
      </c>
      <c r="G137" s="1">
        <v>38</v>
      </c>
      <c r="H137" s="1">
        <v>9</v>
      </c>
      <c r="I137" s="1">
        <v>44</v>
      </c>
      <c r="J137" s="1">
        <v>9</v>
      </c>
      <c r="K137" s="1">
        <v>63</v>
      </c>
      <c r="L137" s="1">
        <v>34</v>
      </c>
      <c r="N137" s="1">
        <v>9.6</v>
      </c>
      <c r="O137" s="7">
        <v>14005</v>
      </c>
      <c r="P137" s="4">
        <v>44955</v>
      </c>
      <c r="Q137" s="4">
        <v>44974</v>
      </c>
      <c r="R137" s="1" t="s">
        <v>80</v>
      </c>
      <c r="AO137" s="7">
        <v>14005</v>
      </c>
      <c r="AP137" s="5" t="s">
        <v>577</v>
      </c>
      <c r="AQ137" s="5" t="s">
        <v>89</v>
      </c>
      <c r="AR137" s="5" t="s">
        <v>509</v>
      </c>
      <c r="AS137" s="5" t="s">
        <v>578</v>
      </c>
      <c r="AT137" s="5" t="s">
        <v>579</v>
      </c>
      <c r="AU137" s="5" t="s">
        <v>580</v>
      </c>
      <c r="AV137" s="5" t="s">
        <v>581</v>
      </c>
      <c r="AW137" s="5" t="s">
        <v>582</v>
      </c>
      <c r="AX137" s="5" t="s">
        <v>318</v>
      </c>
      <c r="AY137" s="5" t="s">
        <v>125</v>
      </c>
      <c r="AZ137" s="5" t="s">
        <v>75</v>
      </c>
      <c r="BA137" s="5" t="s">
        <v>583</v>
      </c>
      <c r="BB137" s="12" t="s">
        <v>76</v>
      </c>
      <c r="BC137" s="5" t="s">
        <v>244</v>
      </c>
      <c r="BD137" s="5" t="s">
        <v>89</v>
      </c>
      <c r="BE137" s="5" t="s">
        <v>76</v>
      </c>
      <c r="BF137" s="5" t="s">
        <v>76</v>
      </c>
      <c r="BG137" s="15">
        <v>36.2</v>
      </c>
      <c r="BH137" s="5" t="s">
        <v>137</v>
      </c>
      <c r="BI137" s="5" t="s">
        <v>243</v>
      </c>
      <c r="BJ137" s="5" t="s">
        <v>293</v>
      </c>
      <c r="BK137" s="5" t="s">
        <v>584</v>
      </c>
      <c r="BL137" s="5" t="s">
        <v>295</v>
      </c>
      <c r="BM137" s="5" t="s">
        <v>352</v>
      </c>
      <c r="BN137" s="5">
        <v>167</v>
      </c>
      <c r="BO137" s="5">
        <f t="shared" si="2"/>
        <v>19.7210369679802</v>
      </c>
      <c r="BP137" s="5" t="s">
        <v>585</v>
      </c>
      <c r="BQ137" s="5" t="s">
        <v>76</v>
      </c>
      <c r="BR137" s="5">
        <v>3207</v>
      </c>
    </row>
    <row r="138" s="1" customFormat="1" spans="1:70">
      <c r="A138" s="1">
        <v>3257334</v>
      </c>
      <c r="B138" s="1" t="s">
        <v>586</v>
      </c>
      <c r="D138" s="4">
        <v>44923</v>
      </c>
      <c r="E138" s="4">
        <v>44935</v>
      </c>
      <c r="F138" s="7">
        <v>14008</v>
      </c>
      <c r="G138" s="1">
        <v>39</v>
      </c>
      <c r="H138" s="1">
        <v>12</v>
      </c>
      <c r="I138" s="1">
        <v>52</v>
      </c>
      <c r="J138" s="1">
        <v>9</v>
      </c>
      <c r="K138" s="1">
        <v>68</v>
      </c>
      <c r="L138" s="1">
        <v>38</v>
      </c>
      <c r="M138" s="1">
        <v>0.56</v>
      </c>
      <c r="N138" s="1">
        <v>9.8</v>
      </c>
      <c r="O138" s="7">
        <v>14008</v>
      </c>
      <c r="P138" s="4">
        <v>44923</v>
      </c>
      <c r="Q138" s="4">
        <v>44935</v>
      </c>
      <c r="R138" s="1" t="s">
        <v>80</v>
      </c>
      <c r="S138" s="1">
        <v>84</v>
      </c>
      <c r="T138" s="1" t="s">
        <v>587</v>
      </c>
      <c r="V138" s="1">
        <v>1</v>
      </c>
      <c r="X138" s="1">
        <v>1</v>
      </c>
      <c r="Z138" s="1">
        <v>1</v>
      </c>
      <c r="AG138" s="1">
        <v>1</v>
      </c>
      <c r="AH138" s="1">
        <v>1</v>
      </c>
      <c r="AO138" s="7">
        <v>14008</v>
      </c>
      <c r="AP138" s="5">
        <v>5.5</v>
      </c>
      <c r="AQ138" s="5">
        <v>97</v>
      </c>
      <c r="AR138" s="5">
        <v>35.6</v>
      </c>
      <c r="AS138" s="5">
        <v>88.4</v>
      </c>
      <c r="AT138" s="5">
        <v>37</v>
      </c>
      <c r="AU138" s="5">
        <v>38</v>
      </c>
      <c r="AV138" s="5">
        <v>32</v>
      </c>
      <c r="AW138" s="5">
        <v>8.12</v>
      </c>
      <c r="AX138" s="5">
        <v>89</v>
      </c>
      <c r="AY138" s="5">
        <v>75.08</v>
      </c>
      <c r="AZ138" s="5">
        <v>8.65</v>
      </c>
      <c r="BA138" s="5">
        <v>1.95</v>
      </c>
      <c r="BB138" s="12" t="s">
        <v>76</v>
      </c>
      <c r="BC138" s="5">
        <v>4.14</v>
      </c>
      <c r="BD138" s="5">
        <v>97</v>
      </c>
      <c r="BE138" s="5">
        <v>0.55</v>
      </c>
      <c r="BF138" s="5">
        <v>0.87</v>
      </c>
      <c r="BG138" s="15">
        <v>36.5</v>
      </c>
      <c r="BH138" s="5">
        <v>88</v>
      </c>
      <c r="BI138" s="5">
        <v>88</v>
      </c>
      <c r="BJ138" s="5">
        <v>20</v>
      </c>
      <c r="BK138" s="5">
        <v>124</v>
      </c>
      <c r="BL138" s="5">
        <v>72</v>
      </c>
      <c r="BM138" s="5">
        <v>66</v>
      </c>
      <c r="BN138" s="5">
        <v>171</v>
      </c>
      <c r="BO138" s="5">
        <f t="shared" si="2"/>
        <v>22.5710475017954</v>
      </c>
      <c r="BP138" s="5" t="s">
        <v>588</v>
      </c>
      <c r="BQ138" s="5">
        <v>8.8</v>
      </c>
      <c r="BR138" s="5">
        <v>2248</v>
      </c>
    </row>
    <row r="139" s="1" customFormat="1" spans="1:70">
      <c r="A139" s="1" t="s">
        <v>589</v>
      </c>
      <c r="B139" s="1" t="s">
        <v>590</v>
      </c>
      <c r="D139" s="4">
        <v>44927</v>
      </c>
      <c r="E139" s="4">
        <v>44950</v>
      </c>
      <c r="F139" s="7">
        <v>14028</v>
      </c>
      <c r="G139" s="1">
        <v>40</v>
      </c>
      <c r="H139" s="1">
        <v>7</v>
      </c>
      <c r="I139" s="1">
        <v>41</v>
      </c>
      <c r="J139" s="1">
        <v>7</v>
      </c>
      <c r="K139" s="1">
        <v>63</v>
      </c>
      <c r="L139" s="1">
        <v>34</v>
      </c>
      <c r="M139" s="1">
        <v>1.82</v>
      </c>
      <c r="N139" s="1">
        <v>7.7</v>
      </c>
      <c r="O139" s="7">
        <v>14028</v>
      </c>
      <c r="P139" s="4">
        <v>44927</v>
      </c>
      <c r="Q139" s="4">
        <v>44950</v>
      </c>
      <c r="R139" s="1" t="s">
        <v>73</v>
      </c>
      <c r="AO139" s="7">
        <v>14028</v>
      </c>
      <c r="AP139" s="5" t="s">
        <v>591</v>
      </c>
      <c r="AQ139" s="5" t="s">
        <v>318</v>
      </c>
      <c r="AR139" s="5" t="s">
        <v>592</v>
      </c>
      <c r="AS139" s="5" t="s">
        <v>593</v>
      </c>
      <c r="AT139" s="5" t="s">
        <v>594</v>
      </c>
      <c r="AU139" s="5" t="s">
        <v>93</v>
      </c>
      <c r="AV139" s="5" t="s">
        <v>595</v>
      </c>
      <c r="AW139" s="5" t="s">
        <v>596</v>
      </c>
      <c r="AX139" s="5" t="s">
        <v>96</v>
      </c>
      <c r="AY139" s="5" t="s">
        <v>125</v>
      </c>
      <c r="AZ139" s="5" t="s">
        <v>75</v>
      </c>
      <c r="BA139" s="5" t="s">
        <v>76</v>
      </c>
      <c r="BB139" s="12" t="s">
        <v>76</v>
      </c>
      <c r="BC139" s="5" t="s">
        <v>597</v>
      </c>
      <c r="BD139" s="5" t="s">
        <v>318</v>
      </c>
      <c r="BE139" s="5" t="s">
        <v>76</v>
      </c>
      <c r="BF139" s="5" t="s">
        <v>76</v>
      </c>
      <c r="BG139" s="15">
        <v>36.6</v>
      </c>
      <c r="BH139" s="5" t="s">
        <v>137</v>
      </c>
      <c r="BI139" s="5" t="s">
        <v>137</v>
      </c>
      <c r="BJ139" s="5" t="s">
        <v>101</v>
      </c>
      <c r="BK139" s="5" t="s">
        <v>598</v>
      </c>
      <c r="BL139" s="5" t="s">
        <v>186</v>
      </c>
      <c r="BM139" s="5" t="s">
        <v>599</v>
      </c>
      <c r="BN139" s="5">
        <v>176</v>
      </c>
      <c r="BO139" s="5">
        <f t="shared" si="2"/>
        <v>14.8502066115702</v>
      </c>
      <c r="BP139" s="5" t="s">
        <v>501</v>
      </c>
      <c r="BQ139" s="5" t="s">
        <v>600</v>
      </c>
      <c r="BR139" s="5">
        <v>5474</v>
      </c>
    </row>
    <row r="140" s="1" customFormat="1" spans="1:70">
      <c r="A140" s="1">
        <v>3251076</v>
      </c>
      <c r="B140" s="1" t="s">
        <v>601</v>
      </c>
      <c r="D140" s="4">
        <v>44902</v>
      </c>
      <c r="E140" s="4">
        <v>44913</v>
      </c>
      <c r="F140" s="7">
        <v>14030</v>
      </c>
      <c r="G140" s="1">
        <v>30</v>
      </c>
      <c r="H140" s="1">
        <v>9</v>
      </c>
      <c r="I140" s="1">
        <v>48</v>
      </c>
      <c r="J140" s="1">
        <v>9</v>
      </c>
      <c r="K140" s="1">
        <v>48</v>
      </c>
      <c r="L140" s="1">
        <v>24</v>
      </c>
      <c r="M140" s="9">
        <v>1.3</v>
      </c>
      <c r="N140" s="1">
        <v>10.7</v>
      </c>
      <c r="O140" s="7">
        <v>14030</v>
      </c>
      <c r="P140" s="4">
        <v>44902</v>
      </c>
      <c r="Q140" s="4">
        <v>44913</v>
      </c>
      <c r="R140" s="1" t="s">
        <v>80</v>
      </c>
      <c r="AO140" s="7">
        <v>14030</v>
      </c>
      <c r="AP140" s="5">
        <v>8.4</v>
      </c>
      <c r="AQ140" s="5">
        <v>99</v>
      </c>
      <c r="AR140" s="5">
        <v>33.1</v>
      </c>
      <c r="AS140" s="5">
        <v>8.2</v>
      </c>
      <c r="AT140" s="5">
        <v>75</v>
      </c>
      <c r="AU140" s="5">
        <v>56</v>
      </c>
      <c r="AV140" s="5">
        <v>36.1</v>
      </c>
      <c r="AW140" s="5">
        <v>9.44</v>
      </c>
      <c r="AX140" s="5">
        <v>91</v>
      </c>
      <c r="AY140" s="5">
        <v>77.08</v>
      </c>
      <c r="AZ140" s="5" t="s">
        <v>75</v>
      </c>
      <c r="BA140" s="5">
        <v>2.73</v>
      </c>
      <c r="BB140" s="12" t="s">
        <v>76</v>
      </c>
      <c r="BC140" s="5">
        <v>5.2</v>
      </c>
      <c r="BD140" s="5">
        <v>99</v>
      </c>
      <c r="BE140" s="5">
        <v>1.23</v>
      </c>
      <c r="BF140" s="5">
        <v>1.27</v>
      </c>
      <c r="BG140" s="15">
        <v>36.7</v>
      </c>
      <c r="BH140" s="5">
        <v>101</v>
      </c>
      <c r="BI140" s="5">
        <v>101</v>
      </c>
      <c r="BJ140" s="5">
        <v>17</v>
      </c>
      <c r="BK140" s="5">
        <v>107</v>
      </c>
      <c r="BL140" s="5">
        <v>59</v>
      </c>
      <c r="BM140" s="5">
        <v>42</v>
      </c>
      <c r="BN140" s="5">
        <v>170</v>
      </c>
      <c r="BO140" s="5">
        <f t="shared" si="2"/>
        <v>14.5328719723183</v>
      </c>
      <c r="BP140" s="5" t="s">
        <v>323</v>
      </c>
      <c r="BQ140" s="5">
        <v>5.4</v>
      </c>
      <c r="BR140" s="5">
        <v>8261</v>
      </c>
    </row>
    <row r="141" s="1" customFormat="1" spans="1:70">
      <c r="A141" s="1" t="s">
        <v>602</v>
      </c>
      <c r="B141" s="1" t="s">
        <v>603</v>
      </c>
      <c r="D141" s="4">
        <v>44988</v>
      </c>
      <c r="E141" s="4">
        <v>45005</v>
      </c>
      <c r="F141" s="7">
        <v>14038</v>
      </c>
      <c r="G141" s="1">
        <v>37</v>
      </c>
      <c r="H141" s="1">
        <v>9</v>
      </c>
      <c r="I141" s="1">
        <v>47</v>
      </c>
      <c r="J141" s="1">
        <v>9</v>
      </c>
      <c r="K141" s="1">
        <v>65</v>
      </c>
      <c r="L141" s="1">
        <v>36</v>
      </c>
      <c r="M141" s="1">
        <v>0.55</v>
      </c>
      <c r="N141" s="1">
        <v>7.8</v>
      </c>
      <c r="O141" s="7">
        <v>14038</v>
      </c>
      <c r="P141" s="4">
        <v>44988</v>
      </c>
      <c r="Q141" s="4">
        <v>45005</v>
      </c>
      <c r="R141" s="1" t="s">
        <v>80</v>
      </c>
      <c r="AO141" s="7">
        <v>14038</v>
      </c>
      <c r="AP141" s="5" t="s">
        <v>306</v>
      </c>
      <c r="AQ141" s="5" t="s">
        <v>533</v>
      </c>
      <c r="AR141" s="5" t="s">
        <v>604</v>
      </c>
      <c r="AS141" s="5" t="s">
        <v>605</v>
      </c>
      <c r="AT141" s="5" t="s">
        <v>606</v>
      </c>
      <c r="AU141" s="5" t="s">
        <v>225</v>
      </c>
      <c r="AV141" s="5" t="s">
        <v>592</v>
      </c>
      <c r="AW141" s="5" t="s">
        <v>607</v>
      </c>
      <c r="AX141" s="5" t="s">
        <v>493</v>
      </c>
      <c r="AY141" s="5" t="s">
        <v>76</v>
      </c>
      <c r="AZ141" s="5" t="s">
        <v>608</v>
      </c>
      <c r="BA141" s="5" t="s">
        <v>609</v>
      </c>
      <c r="BB141" s="12" t="s">
        <v>76</v>
      </c>
      <c r="BC141" s="5" t="s">
        <v>610</v>
      </c>
      <c r="BD141" s="5" t="s">
        <v>533</v>
      </c>
      <c r="BE141" s="5" t="s">
        <v>611</v>
      </c>
      <c r="BF141" s="5" t="s">
        <v>612</v>
      </c>
      <c r="BG141" s="15">
        <v>36.6</v>
      </c>
      <c r="BH141" s="5" t="s">
        <v>192</v>
      </c>
      <c r="BI141" s="5" t="s">
        <v>192</v>
      </c>
      <c r="BJ141" s="5" t="s">
        <v>193</v>
      </c>
      <c r="BK141" s="5" t="s">
        <v>613</v>
      </c>
      <c r="BL141" s="5" t="s">
        <v>614</v>
      </c>
      <c r="BM141" s="5" t="s">
        <v>615</v>
      </c>
      <c r="BN141" s="5">
        <v>158</v>
      </c>
      <c r="BO141" s="5">
        <f t="shared" si="2"/>
        <v>25.0360519147572</v>
      </c>
      <c r="BP141" s="5" t="s">
        <v>616</v>
      </c>
      <c r="BQ141" s="5" t="s">
        <v>76</v>
      </c>
      <c r="BR141" s="5">
        <v>6903</v>
      </c>
    </row>
    <row r="142" s="1" customFormat="1" spans="1:70">
      <c r="A142" s="1">
        <v>3255542</v>
      </c>
      <c r="B142" s="1" t="s">
        <v>617</v>
      </c>
      <c r="D142" s="4">
        <v>44919</v>
      </c>
      <c r="E142" s="4">
        <v>44972</v>
      </c>
      <c r="F142" s="7">
        <v>14046</v>
      </c>
      <c r="G142" s="1">
        <v>39</v>
      </c>
      <c r="H142" s="1">
        <v>10</v>
      </c>
      <c r="I142" s="1">
        <v>45</v>
      </c>
      <c r="J142" s="1">
        <v>10</v>
      </c>
      <c r="K142" s="1">
        <v>58</v>
      </c>
      <c r="L142" s="1">
        <v>31</v>
      </c>
      <c r="M142" s="1">
        <v>0.77</v>
      </c>
      <c r="N142" s="1">
        <v>17.6</v>
      </c>
      <c r="O142" s="7">
        <v>14046</v>
      </c>
      <c r="P142" s="4">
        <v>44919</v>
      </c>
      <c r="Q142" s="4">
        <v>44972</v>
      </c>
      <c r="R142" s="1" t="s">
        <v>80</v>
      </c>
      <c r="AO142" s="7">
        <v>14046</v>
      </c>
      <c r="AP142" s="5">
        <v>9.8</v>
      </c>
      <c r="AQ142" s="5">
        <v>99</v>
      </c>
      <c r="AR142" s="5">
        <v>53.1</v>
      </c>
      <c r="AS142" s="5">
        <v>97.7</v>
      </c>
      <c r="AT142" s="5">
        <v>86</v>
      </c>
      <c r="AU142" s="5">
        <v>91</v>
      </c>
      <c r="AV142" s="5">
        <v>42.8</v>
      </c>
      <c r="AW142" s="5">
        <v>9.66</v>
      </c>
      <c r="AX142" s="5">
        <v>98</v>
      </c>
      <c r="AY142" s="5">
        <v>97.45</v>
      </c>
      <c r="AZ142" s="5">
        <v>9.9</v>
      </c>
      <c r="BA142" s="5" t="s">
        <v>76</v>
      </c>
      <c r="BB142" s="12" t="s">
        <v>76</v>
      </c>
      <c r="BC142" s="5">
        <v>6.31</v>
      </c>
      <c r="BD142" s="5">
        <v>99</v>
      </c>
      <c r="BE142" s="5" t="s">
        <v>76</v>
      </c>
      <c r="BF142" s="5" t="s">
        <v>76</v>
      </c>
      <c r="BG142" s="15">
        <v>36</v>
      </c>
      <c r="BH142" s="5">
        <v>108</v>
      </c>
      <c r="BI142" s="5" t="s">
        <v>76</v>
      </c>
      <c r="BJ142" s="5">
        <v>16</v>
      </c>
      <c r="BK142" s="5">
        <v>155</v>
      </c>
      <c r="BL142" s="5">
        <v>84</v>
      </c>
      <c r="BM142" s="5">
        <v>78</v>
      </c>
      <c r="BN142" s="5">
        <v>176</v>
      </c>
      <c r="BO142" s="5">
        <f t="shared" si="2"/>
        <v>25.1807851239669</v>
      </c>
      <c r="BP142" s="5" t="s">
        <v>618</v>
      </c>
      <c r="BQ142" s="5" t="s">
        <v>76</v>
      </c>
      <c r="BR142" s="5" t="s">
        <v>118</v>
      </c>
    </row>
    <row r="143" s="1" customFormat="1" spans="1:70">
      <c r="A143" s="1">
        <v>3286529</v>
      </c>
      <c r="B143" s="1" t="s">
        <v>619</v>
      </c>
      <c r="D143" s="4">
        <v>44972</v>
      </c>
      <c r="E143" s="4">
        <v>44977</v>
      </c>
      <c r="F143" s="7">
        <v>14051</v>
      </c>
      <c r="G143" s="1">
        <v>43</v>
      </c>
      <c r="H143" s="1">
        <v>10</v>
      </c>
      <c r="I143" s="1">
        <v>53</v>
      </c>
      <c r="J143" s="1">
        <v>27</v>
      </c>
      <c r="K143" s="1">
        <v>63</v>
      </c>
      <c r="L143" s="1">
        <v>34</v>
      </c>
      <c r="M143" s="1">
        <v>0.82</v>
      </c>
      <c r="N143" s="1">
        <v>20.8</v>
      </c>
      <c r="O143" s="7">
        <v>14051</v>
      </c>
      <c r="P143" s="4">
        <v>44972</v>
      </c>
      <c r="Q143" s="4">
        <v>44977</v>
      </c>
      <c r="R143" s="1" t="s">
        <v>80</v>
      </c>
      <c r="AO143" s="7">
        <v>14051</v>
      </c>
      <c r="AP143" s="5">
        <v>8.4</v>
      </c>
      <c r="AQ143" s="5">
        <v>96</v>
      </c>
      <c r="AR143" s="5">
        <v>31.6</v>
      </c>
      <c r="AS143" s="5">
        <v>3.2</v>
      </c>
      <c r="AT143" s="5">
        <v>15</v>
      </c>
      <c r="AU143" s="5">
        <v>8</v>
      </c>
      <c r="AV143" s="5">
        <v>28.1</v>
      </c>
      <c r="AW143" s="5">
        <v>9.61</v>
      </c>
      <c r="AX143" s="5">
        <v>113</v>
      </c>
      <c r="AY143" s="5">
        <v>64.89</v>
      </c>
      <c r="AZ143" s="5" t="s">
        <v>75</v>
      </c>
      <c r="BA143" s="5">
        <v>4.54</v>
      </c>
      <c r="BB143" s="12" t="s">
        <v>76</v>
      </c>
      <c r="BC143" s="5">
        <v>4.48</v>
      </c>
      <c r="BD143" s="5">
        <v>96</v>
      </c>
      <c r="BE143" s="5">
        <v>1.37</v>
      </c>
      <c r="BF143" s="5">
        <v>2.63</v>
      </c>
      <c r="BG143" s="15">
        <v>36.6</v>
      </c>
      <c r="BH143" s="5">
        <v>89</v>
      </c>
      <c r="BI143" s="5" t="s">
        <v>76</v>
      </c>
      <c r="BJ143" s="5">
        <v>16</v>
      </c>
      <c r="BK143" s="5" t="s">
        <v>76</v>
      </c>
      <c r="BL143" s="5" t="s">
        <v>76</v>
      </c>
      <c r="BM143" s="5">
        <v>60</v>
      </c>
      <c r="BN143" s="5">
        <v>170</v>
      </c>
      <c r="BO143" s="5">
        <f t="shared" si="2"/>
        <v>20.7612456747405</v>
      </c>
      <c r="BP143" s="5" t="s">
        <v>300</v>
      </c>
      <c r="BQ143" s="5">
        <v>4.7</v>
      </c>
      <c r="BR143" s="5">
        <v>2367</v>
      </c>
    </row>
    <row r="144" s="1" customFormat="1" spans="1:70">
      <c r="A144" s="1">
        <v>3314822</v>
      </c>
      <c r="B144" s="1" t="s">
        <v>620</v>
      </c>
      <c r="D144" s="4">
        <v>45011</v>
      </c>
      <c r="E144" s="4">
        <v>45014</v>
      </c>
      <c r="F144" s="7">
        <v>14070</v>
      </c>
      <c r="G144" s="1">
        <v>35</v>
      </c>
      <c r="H144" s="1">
        <v>8</v>
      </c>
      <c r="I144" s="1">
        <v>46</v>
      </c>
      <c r="J144" s="1">
        <v>8</v>
      </c>
      <c r="K144" s="1">
        <v>49</v>
      </c>
      <c r="L144" s="1">
        <v>25</v>
      </c>
      <c r="M144" s="9">
        <v>0.8</v>
      </c>
      <c r="O144" s="7">
        <v>14070</v>
      </c>
      <c r="P144" s="4">
        <v>45011</v>
      </c>
      <c r="Q144" s="4">
        <v>45014</v>
      </c>
      <c r="R144" s="1" t="s">
        <v>73</v>
      </c>
      <c r="AO144" s="7">
        <v>14070</v>
      </c>
      <c r="AP144" s="5">
        <v>8.1</v>
      </c>
      <c r="AQ144" s="5">
        <v>136</v>
      </c>
      <c r="AR144" s="5">
        <v>43.1</v>
      </c>
      <c r="AS144" s="5">
        <v>52.5</v>
      </c>
      <c r="AT144" s="5">
        <v>78</v>
      </c>
      <c r="AU144" s="5">
        <v>96</v>
      </c>
      <c r="AV144" s="5">
        <v>36.7</v>
      </c>
      <c r="AW144" s="5">
        <v>22.48</v>
      </c>
      <c r="AX144" s="5">
        <v>93</v>
      </c>
      <c r="AY144" s="5">
        <v>76</v>
      </c>
      <c r="AZ144" s="5" t="s">
        <v>75</v>
      </c>
      <c r="BA144" s="5" t="s">
        <v>76</v>
      </c>
      <c r="BB144" s="12" t="s">
        <v>76</v>
      </c>
      <c r="BC144" s="5">
        <v>3.9</v>
      </c>
      <c r="BD144" s="5">
        <v>136</v>
      </c>
      <c r="BE144" s="5" t="s">
        <v>76</v>
      </c>
      <c r="BF144" s="5" t="s">
        <v>76</v>
      </c>
      <c r="BG144" s="15">
        <v>36.3</v>
      </c>
      <c r="BH144" s="5">
        <v>16</v>
      </c>
      <c r="BI144" s="5">
        <v>106</v>
      </c>
      <c r="BJ144" s="5">
        <v>106</v>
      </c>
      <c r="BK144" s="5">
        <v>143</v>
      </c>
      <c r="BL144" s="5">
        <v>86</v>
      </c>
      <c r="BM144" s="5" t="s">
        <v>77</v>
      </c>
      <c r="BN144" s="5" t="s">
        <v>77</v>
      </c>
      <c r="BO144" s="5" t="e">
        <f t="shared" si="2"/>
        <v>#VALUE!</v>
      </c>
      <c r="BP144" s="5" t="s">
        <v>117</v>
      </c>
      <c r="BQ144" s="5" t="s">
        <v>76</v>
      </c>
      <c r="BR144" s="5" t="s">
        <v>118</v>
      </c>
    </row>
    <row r="145" s="1" customFormat="1" spans="1:70">
      <c r="A145" s="1">
        <v>3337149</v>
      </c>
      <c r="B145" s="1" t="s">
        <v>621</v>
      </c>
      <c r="D145" s="4">
        <v>45041</v>
      </c>
      <c r="E145" s="4">
        <v>45048</v>
      </c>
      <c r="F145" s="7">
        <v>14101</v>
      </c>
      <c r="G145" s="1">
        <v>37</v>
      </c>
      <c r="H145" s="1">
        <v>8</v>
      </c>
      <c r="I145" s="1">
        <v>49</v>
      </c>
      <c r="J145" s="1">
        <v>8</v>
      </c>
      <c r="K145" s="1">
        <v>39</v>
      </c>
      <c r="L145" s="1">
        <v>19</v>
      </c>
      <c r="M145" s="1">
        <v>1.26</v>
      </c>
      <c r="N145" s="10">
        <v>14</v>
      </c>
      <c r="O145" s="7">
        <v>14101</v>
      </c>
      <c r="P145" s="4">
        <v>45041</v>
      </c>
      <c r="Q145" s="4">
        <v>45048</v>
      </c>
      <c r="R145" s="1" t="s">
        <v>73</v>
      </c>
      <c r="AO145" s="7">
        <v>14101</v>
      </c>
      <c r="AP145" s="5">
        <v>8.4</v>
      </c>
      <c r="AQ145" s="5">
        <v>95</v>
      </c>
      <c r="AR145" s="5">
        <v>30.7</v>
      </c>
      <c r="AS145" s="5">
        <v>86.8</v>
      </c>
      <c r="AT145" s="5">
        <v>60</v>
      </c>
      <c r="AU145" s="5">
        <v>7</v>
      </c>
      <c r="AV145" s="5">
        <v>34.3</v>
      </c>
      <c r="AW145" s="5">
        <v>9.5</v>
      </c>
      <c r="AX145" s="5">
        <v>61</v>
      </c>
      <c r="AY145" s="5" t="s">
        <v>76</v>
      </c>
      <c r="AZ145" s="5" t="s">
        <v>75</v>
      </c>
      <c r="BA145" s="5">
        <v>4.09</v>
      </c>
      <c r="BB145" s="12" t="s">
        <v>76</v>
      </c>
      <c r="BC145" s="5">
        <v>4.26</v>
      </c>
      <c r="BD145" s="5">
        <v>95</v>
      </c>
      <c r="BE145" s="5" t="s">
        <v>76</v>
      </c>
      <c r="BF145" s="5" t="s">
        <v>76</v>
      </c>
      <c r="BG145" s="15">
        <v>36.6</v>
      </c>
      <c r="BH145" s="5">
        <v>98</v>
      </c>
      <c r="BI145" s="5">
        <v>98</v>
      </c>
      <c r="BJ145" s="5">
        <v>18</v>
      </c>
      <c r="BK145" s="5">
        <v>114</v>
      </c>
      <c r="BL145" s="5">
        <v>64</v>
      </c>
      <c r="BM145" s="5">
        <v>45</v>
      </c>
      <c r="BN145" s="5">
        <v>155</v>
      </c>
      <c r="BO145" s="5">
        <f t="shared" si="2"/>
        <v>18.7304890738814</v>
      </c>
      <c r="BP145" s="5" t="s">
        <v>622</v>
      </c>
      <c r="BQ145" s="5" t="s">
        <v>76</v>
      </c>
      <c r="BR145" s="5">
        <v>9891</v>
      </c>
    </row>
    <row r="146" s="1" customFormat="1" spans="1:70">
      <c r="A146" s="1">
        <v>3274418</v>
      </c>
      <c r="B146" s="1" t="s">
        <v>623</v>
      </c>
      <c r="D146" s="4">
        <v>44956</v>
      </c>
      <c r="E146" s="4">
        <v>44970</v>
      </c>
      <c r="F146" s="7">
        <v>14104</v>
      </c>
      <c r="G146" s="1">
        <v>35</v>
      </c>
      <c r="H146" s="1">
        <v>9</v>
      </c>
      <c r="I146" s="1">
        <v>47</v>
      </c>
      <c r="J146" s="1">
        <v>9</v>
      </c>
      <c r="K146" s="1">
        <v>57</v>
      </c>
      <c r="L146" s="1">
        <v>30</v>
      </c>
      <c r="M146" s="1">
        <v>0.72</v>
      </c>
      <c r="N146" s="1">
        <v>12.2</v>
      </c>
      <c r="O146" s="7">
        <v>14104</v>
      </c>
      <c r="P146" s="4">
        <v>44956</v>
      </c>
      <c r="Q146" s="4">
        <v>44970</v>
      </c>
      <c r="R146" s="1" t="s">
        <v>80</v>
      </c>
      <c r="AO146" s="7">
        <v>14104</v>
      </c>
      <c r="AP146" s="5">
        <v>9.7</v>
      </c>
      <c r="AQ146" s="5">
        <v>99</v>
      </c>
      <c r="AR146" s="5">
        <v>36</v>
      </c>
      <c r="AS146" s="5">
        <v>9.7</v>
      </c>
      <c r="AT146" s="5">
        <v>9</v>
      </c>
      <c r="AU146" s="5" t="s">
        <v>171</v>
      </c>
      <c r="AV146" s="5">
        <v>36.1</v>
      </c>
      <c r="AW146" s="5">
        <v>8.91</v>
      </c>
      <c r="AX146" s="5">
        <v>89</v>
      </c>
      <c r="AY146" s="5">
        <v>97.45</v>
      </c>
      <c r="AZ146" s="5">
        <v>7.5</v>
      </c>
      <c r="BA146" s="5" t="s">
        <v>76</v>
      </c>
      <c r="BB146" s="12" t="s">
        <v>76</v>
      </c>
      <c r="BC146" s="5">
        <v>5.14</v>
      </c>
      <c r="BD146" s="5">
        <v>99</v>
      </c>
      <c r="BE146" s="5" t="s">
        <v>76</v>
      </c>
      <c r="BF146" s="5" t="s">
        <v>76</v>
      </c>
      <c r="BG146" s="15">
        <v>36.5</v>
      </c>
      <c r="BH146" s="5" t="s">
        <v>76</v>
      </c>
      <c r="BI146" s="5">
        <v>76</v>
      </c>
      <c r="BJ146" s="5">
        <v>20</v>
      </c>
      <c r="BK146" s="5">
        <v>145</v>
      </c>
      <c r="BL146" s="5">
        <v>70</v>
      </c>
      <c r="BM146" s="5">
        <v>70</v>
      </c>
      <c r="BN146" s="5">
        <v>170</v>
      </c>
      <c r="BO146" s="5">
        <f t="shared" si="2"/>
        <v>24.2214532871972</v>
      </c>
      <c r="BP146" s="5" t="s">
        <v>168</v>
      </c>
      <c r="BQ146" s="5" t="s">
        <v>76</v>
      </c>
      <c r="BR146" s="5">
        <v>4619</v>
      </c>
    </row>
    <row r="147" s="1" customFormat="1" spans="1:70">
      <c r="A147" s="1">
        <v>3476270</v>
      </c>
      <c r="B147" s="1" t="s">
        <v>624</v>
      </c>
      <c r="D147" s="4">
        <v>45235</v>
      </c>
      <c r="E147" s="4">
        <v>45264</v>
      </c>
      <c r="F147" s="7">
        <v>14110</v>
      </c>
      <c r="G147" s="1">
        <v>43</v>
      </c>
      <c r="H147" s="1">
        <v>9</v>
      </c>
      <c r="I147" s="1">
        <v>48</v>
      </c>
      <c r="J147" s="1">
        <v>9</v>
      </c>
      <c r="K147" s="1">
        <v>44</v>
      </c>
      <c r="L147" s="1">
        <v>22</v>
      </c>
      <c r="N147" s="1">
        <v>10.9</v>
      </c>
      <c r="O147" s="7">
        <v>14110</v>
      </c>
      <c r="P147" s="4">
        <v>45235</v>
      </c>
      <c r="Q147" s="4">
        <v>45264</v>
      </c>
      <c r="R147" s="1" t="s">
        <v>80</v>
      </c>
      <c r="AO147" s="7">
        <v>14110</v>
      </c>
      <c r="AP147" s="5">
        <v>7.9</v>
      </c>
      <c r="AQ147" s="5">
        <v>158</v>
      </c>
      <c r="AR147" s="5">
        <v>47.3</v>
      </c>
      <c r="AS147" s="5">
        <v>3.2</v>
      </c>
      <c r="AT147" s="5">
        <v>38</v>
      </c>
      <c r="AU147" s="5">
        <v>17</v>
      </c>
      <c r="AV147" s="5">
        <v>35.9</v>
      </c>
      <c r="AW147" s="5">
        <v>6.48</v>
      </c>
      <c r="AX147" s="5">
        <v>75</v>
      </c>
      <c r="AY147" s="5" t="s">
        <v>125</v>
      </c>
      <c r="AZ147" s="5">
        <v>7.77</v>
      </c>
      <c r="BA147" s="5">
        <v>3.11</v>
      </c>
      <c r="BB147" s="12" t="s">
        <v>76</v>
      </c>
      <c r="BC147" s="5">
        <v>4.16</v>
      </c>
      <c r="BD147" s="5">
        <v>158</v>
      </c>
      <c r="BE147" s="5">
        <v>0.79</v>
      </c>
      <c r="BF147" s="5">
        <v>1.82</v>
      </c>
      <c r="BG147" s="15">
        <v>36.4</v>
      </c>
      <c r="BH147" s="5">
        <v>68</v>
      </c>
      <c r="BI147" s="5">
        <v>75</v>
      </c>
      <c r="BJ147" s="5">
        <v>17</v>
      </c>
      <c r="BK147" s="5">
        <v>189</v>
      </c>
      <c r="BL147" s="5">
        <v>96</v>
      </c>
      <c r="BM147" s="5">
        <v>55</v>
      </c>
      <c r="BN147" s="5">
        <v>160</v>
      </c>
      <c r="BO147" s="5">
        <f t="shared" si="2"/>
        <v>21.484375</v>
      </c>
      <c r="BP147" s="5" t="s">
        <v>438</v>
      </c>
      <c r="BQ147" s="5">
        <v>7.9</v>
      </c>
      <c r="BR147" s="5">
        <v>5845</v>
      </c>
    </row>
    <row r="148" s="1" customFormat="1" spans="1:70">
      <c r="A148" s="1">
        <v>3239861</v>
      </c>
      <c r="B148" s="1" t="s">
        <v>625</v>
      </c>
      <c r="D148" s="4">
        <v>44882</v>
      </c>
      <c r="E148" s="4">
        <v>44889</v>
      </c>
      <c r="F148" s="7">
        <v>14154</v>
      </c>
      <c r="G148" s="1">
        <v>35</v>
      </c>
      <c r="H148" s="1">
        <v>10</v>
      </c>
      <c r="I148" s="1">
        <v>45</v>
      </c>
      <c r="J148" s="1">
        <v>9</v>
      </c>
      <c r="K148" s="1">
        <v>62</v>
      </c>
      <c r="L148" s="1">
        <v>33</v>
      </c>
      <c r="M148" s="1">
        <v>1.33</v>
      </c>
      <c r="O148" s="7">
        <v>14154</v>
      </c>
      <c r="P148" s="4">
        <v>44882</v>
      </c>
      <c r="Q148" s="4">
        <v>44889</v>
      </c>
      <c r="R148" s="1" t="s">
        <v>80</v>
      </c>
      <c r="AO148" s="7">
        <v>14154</v>
      </c>
      <c r="AP148" s="5">
        <v>8.3</v>
      </c>
      <c r="AQ148" s="5">
        <v>114</v>
      </c>
      <c r="AR148" s="5">
        <v>34.3</v>
      </c>
      <c r="AS148" s="5">
        <v>8.2</v>
      </c>
      <c r="AT148" s="5">
        <v>92</v>
      </c>
      <c r="AU148" s="5">
        <v>95</v>
      </c>
      <c r="AV148" s="5">
        <v>30.8</v>
      </c>
      <c r="AW148" s="5">
        <v>6.09</v>
      </c>
      <c r="AX148" s="5">
        <v>50</v>
      </c>
      <c r="AY148" s="5" t="s">
        <v>125</v>
      </c>
      <c r="AZ148" s="5" t="s">
        <v>75</v>
      </c>
      <c r="BA148" s="5">
        <v>2.49</v>
      </c>
      <c r="BB148" s="12" t="s">
        <v>76</v>
      </c>
      <c r="BC148" s="5">
        <v>3.45</v>
      </c>
      <c r="BD148" s="5">
        <v>114</v>
      </c>
      <c r="BE148" s="5">
        <v>0.59</v>
      </c>
      <c r="BF148" s="5">
        <v>1.42</v>
      </c>
      <c r="BG148" s="15">
        <v>36.9</v>
      </c>
      <c r="BH148" s="5">
        <v>92</v>
      </c>
      <c r="BI148" s="5" t="s">
        <v>76</v>
      </c>
      <c r="BJ148" s="5">
        <v>19</v>
      </c>
      <c r="BK148" s="5">
        <v>118</v>
      </c>
      <c r="BL148" s="5">
        <v>66</v>
      </c>
      <c r="BM148" s="5">
        <v>60</v>
      </c>
      <c r="BN148" s="5">
        <v>165</v>
      </c>
      <c r="BO148" s="5">
        <f t="shared" si="2"/>
        <v>22.038567493113</v>
      </c>
      <c r="BP148" s="5" t="s">
        <v>83</v>
      </c>
      <c r="BQ148" s="5">
        <v>6</v>
      </c>
      <c r="BR148" s="5">
        <v>4042</v>
      </c>
    </row>
    <row r="149" s="1" customFormat="1" spans="1:70">
      <c r="A149" s="1">
        <v>3268564</v>
      </c>
      <c r="B149" s="1" t="s">
        <v>626</v>
      </c>
      <c r="D149" s="4">
        <v>44944</v>
      </c>
      <c r="E149" s="4">
        <v>44980</v>
      </c>
      <c r="F149" s="7">
        <v>14165</v>
      </c>
      <c r="G149" s="1">
        <v>43</v>
      </c>
      <c r="H149" s="1">
        <v>10</v>
      </c>
      <c r="I149" s="1">
        <v>47</v>
      </c>
      <c r="J149" s="1">
        <v>9</v>
      </c>
      <c r="K149" s="1">
        <v>56</v>
      </c>
      <c r="L149" s="1">
        <v>29</v>
      </c>
      <c r="N149" s="1">
        <v>9.9</v>
      </c>
      <c r="O149" s="7">
        <v>14165</v>
      </c>
      <c r="P149" s="4">
        <v>44944</v>
      </c>
      <c r="Q149" s="4">
        <v>44980</v>
      </c>
      <c r="R149" s="1" t="s">
        <v>73</v>
      </c>
      <c r="AO149" s="7">
        <v>14165</v>
      </c>
      <c r="AP149" s="5">
        <v>9.1</v>
      </c>
      <c r="AQ149" s="5">
        <v>98</v>
      </c>
      <c r="AR149" s="5">
        <v>53</v>
      </c>
      <c r="AS149" s="5">
        <v>85.2</v>
      </c>
      <c r="AT149" s="5">
        <v>93</v>
      </c>
      <c r="AU149" s="5">
        <v>9</v>
      </c>
      <c r="AV149" s="5">
        <v>38</v>
      </c>
      <c r="AW149" s="5">
        <v>9.87</v>
      </c>
      <c r="AX149" s="5">
        <v>81</v>
      </c>
      <c r="AY149" s="5">
        <v>97.09</v>
      </c>
      <c r="AZ149" s="5" t="s">
        <v>75</v>
      </c>
      <c r="BA149" s="5" t="s">
        <v>76</v>
      </c>
      <c r="BB149" s="12" t="s">
        <v>76</v>
      </c>
      <c r="BC149" s="5">
        <v>4.71</v>
      </c>
      <c r="BD149" s="5">
        <v>98</v>
      </c>
      <c r="BE149" s="5" t="s">
        <v>76</v>
      </c>
      <c r="BF149" s="5" t="s">
        <v>76</v>
      </c>
      <c r="BG149" s="15">
        <v>36</v>
      </c>
      <c r="BH149" s="5">
        <v>81</v>
      </c>
      <c r="BI149" s="5" t="s">
        <v>76</v>
      </c>
      <c r="BJ149" s="5">
        <v>18</v>
      </c>
      <c r="BK149" s="5">
        <v>107</v>
      </c>
      <c r="BL149" s="5">
        <v>64</v>
      </c>
      <c r="BM149" s="5" t="s">
        <v>274</v>
      </c>
      <c r="BN149" s="5" t="s">
        <v>274</v>
      </c>
      <c r="BO149" s="5" t="e">
        <f t="shared" si="2"/>
        <v>#VALUE!</v>
      </c>
      <c r="BP149" s="5" t="s">
        <v>109</v>
      </c>
      <c r="BQ149" s="5" t="s">
        <v>76</v>
      </c>
      <c r="BR149" s="5">
        <v>8941</v>
      </c>
    </row>
    <row r="150" s="1" customFormat="1" spans="1:70">
      <c r="A150" s="1">
        <v>3296692</v>
      </c>
      <c r="B150" s="1" t="s">
        <v>627</v>
      </c>
      <c r="D150" s="4">
        <v>44986</v>
      </c>
      <c r="E150" s="4">
        <v>45000</v>
      </c>
      <c r="F150" s="7">
        <v>14167</v>
      </c>
      <c r="G150" s="1">
        <v>47</v>
      </c>
      <c r="H150" s="1">
        <v>11</v>
      </c>
      <c r="I150" s="1">
        <v>54</v>
      </c>
      <c r="J150" s="1">
        <v>11</v>
      </c>
      <c r="K150" s="1">
        <v>57</v>
      </c>
      <c r="L150" s="1">
        <v>30</v>
      </c>
      <c r="M150" s="1">
        <v>0.6</v>
      </c>
      <c r="N150" s="1">
        <v>19.5</v>
      </c>
      <c r="O150" s="7">
        <v>14167</v>
      </c>
      <c r="P150" s="4">
        <v>44986</v>
      </c>
      <c r="Q150" s="4">
        <v>45000</v>
      </c>
      <c r="R150" s="1" t="s">
        <v>80</v>
      </c>
      <c r="AO150" s="7">
        <v>14167</v>
      </c>
      <c r="AP150" s="5">
        <v>7.2</v>
      </c>
      <c r="AQ150" s="5">
        <v>139</v>
      </c>
      <c r="AR150" s="5">
        <v>51</v>
      </c>
      <c r="AS150" s="5">
        <v>53.4</v>
      </c>
      <c r="AT150" s="5">
        <v>51</v>
      </c>
      <c r="AU150" s="5">
        <v>61</v>
      </c>
      <c r="AV150" s="5">
        <v>33.1</v>
      </c>
      <c r="AW150" s="5">
        <v>9.43</v>
      </c>
      <c r="AX150" s="5">
        <v>79</v>
      </c>
      <c r="AY150" s="5" t="s">
        <v>125</v>
      </c>
      <c r="AZ150" s="5">
        <v>7.75</v>
      </c>
      <c r="BA150" s="5">
        <v>5.08</v>
      </c>
      <c r="BB150" s="12" t="s">
        <v>76</v>
      </c>
      <c r="BC150" s="5">
        <v>4.24</v>
      </c>
      <c r="BD150" s="5">
        <v>139</v>
      </c>
      <c r="BE150" s="5" t="s">
        <v>76</v>
      </c>
      <c r="BF150" s="5" t="s">
        <v>76</v>
      </c>
      <c r="BG150" s="15">
        <v>36.5</v>
      </c>
      <c r="BH150" s="5">
        <v>80</v>
      </c>
      <c r="BI150" s="5">
        <v>114</v>
      </c>
      <c r="BJ150" s="5">
        <v>16</v>
      </c>
      <c r="BK150" s="5">
        <v>128</v>
      </c>
      <c r="BL150" s="5">
        <v>70</v>
      </c>
      <c r="BM150" s="5">
        <v>48</v>
      </c>
      <c r="BN150" s="5">
        <v>160</v>
      </c>
      <c r="BO150" s="5">
        <f t="shared" si="2"/>
        <v>18.75</v>
      </c>
      <c r="BP150" s="5" t="s">
        <v>107</v>
      </c>
      <c r="BQ150" s="5">
        <v>5.3</v>
      </c>
      <c r="BR150" s="5">
        <v>7894</v>
      </c>
    </row>
    <row r="151" s="1" customFormat="1" spans="1:70">
      <c r="A151" s="1">
        <v>3246841</v>
      </c>
      <c r="B151" s="1" t="s">
        <v>628</v>
      </c>
      <c r="D151" s="4">
        <v>44894</v>
      </c>
      <c r="E151" s="4">
        <v>44907</v>
      </c>
      <c r="F151" s="7">
        <v>14169</v>
      </c>
      <c r="G151" s="1">
        <v>44</v>
      </c>
      <c r="H151" s="1">
        <v>10</v>
      </c>
      <c r="I151" s="1">
        <v>55</v>
      </c>
      <c r="J151" s="1">
        <v>10</v>
      </c>
      <c r="K151" s="1">
        <v>49</v>
      </c>
      <c r="L151" s="1">
        <v>25</v>
      </c>
      <c r="M151" s="1">
        <v>1.87</v>
      </c>
      <c r="N151" s="1">
        <v>16.8</v>
      </c>
      <c r="O151" s="7">
        <v>14169</v>
      </c>
      <c r="P151" s="4">
        <v>44894</v>
      </c>
      <c r="Q151" s="4">
        <v>44907</v>
      </c>
      <c r="R151" s="1" t="s">
        <v>80</v>
      </c>
      <c r="AO151" s="7">
        <v>14169</v>
      </c>
      <c r="AP151" s="5">
        <v>9.6</v>
      </c>
      <c r="AQ151" s="5">
        <v>146</v>
      </c>
      <c r="AR151" s="5">
        <v>46.4</v>
      </c>
      <c r="AS151" s="5">
        <v>60.1</v>
      </c>
      <c r="AT151" s="5">
        <v>31</v>
      </c>
      <c r="AU151" s="5">
        <v>25</v>
      </c>
      <c r="AV151" s="5">
        <v>36.1</v>
      </c>
      <c r="AW151" s="5">
        <v>6.44</v>
      </c>
      <c r="AX151" s="5">
        <v>51</v>
      </c>
      <c r="AY151" s="5" t="s">
        <v>125</v>
      </c>
      <c r="AZ151" s="5">
        <v>9.39</v>
      </c>
      <c r="BA151" s="5">
        <v>4.13</v>
      </c>
      <c r="BB151" s="12" t="s">
        <v>76</v>
      </c>
      <c r="BC151" s="5">
        <v>4.43</v>
      </c>
      <c r="BD151" s="5">
        <v>146</v>
      </c>
      <c r="BE151" s="5">
        <v>1.02</v>
      </c>
      <c r="BF151" s="5">
        <v>2.56</v>
      </c>
      <c r="BG151" s="15">
        <v>37</v>
      </c>
      <c r="BH151" s="5">
        <v>70</v>
      </c>
      <c r="BI151" s="5">
        <v>70</v>
      </c>
      <c r="BJ151" s="5">
        <v>17</v>
      </c>
      <c r="BK151" s="5">
        <v>139</v>
      </c>
      <c r="BL151" s="5">
        <v>78</v>
      </c>
      <c r="BM151" s="5">
        <v>55</v>
      </c>
      <c r="BN151" s="5">
        <v>170</v>
      </c>
      <c r="BO151" s="5">
        <f t="shared" si="2"/>
        <v>19.0311418685121</v>
      </c>
      <c r="BP151" s="5" t="s">
        <v>121</v>
      </c>
      <c r="BQ151" s="5">
        <v>7.1</v>
      </c>
      <c r="BR151" s="5">
        <v>4104</v>
      </c>
    </row>
    <row r="152" s="1" customFormat="1" spans="1:70">
      <c r="A152" s="1">
        <v>3262805</v>
      </c>
      <c r="B152" s="1" t="s">
        <v>629</v>
      </c>
      <c r="D152" s="4">
        <v>44932</v>
      </c>
      <c r="E152" s="4">
        <v>44943</v>
      </c>
      <c r="F152" s="7">
        <v>14171</v>
      </c>
      <c r="G152" s="1">
        <v>41</v>
      </c>
      <c r="H152" s="1">
        <v>9</v>
      </c>
      <c r="I152" s="1">
        <v>45</v>
      </c>
      <c r="J152" s="1">
        <v>9</v>
      </c>
      <c r="K152" s="1">
        <v>70</v>
      </c>
      <c r="L152" s="1">
        <v>40</v>
      </c>
      <c r="N152" s="1">
        <v>6.8</v>
      </c>
      <c r="O152" s="7">
        <v>14171</v>
      </c>
      <c r="P152" s="4">
        <v>44932</v>
      </c>
      <c r="Q152" s="4">
        <v>44943</v>
      </c>
      <c r="R152" s="1" t="s">
        <v>80</v>
      </c>
      <c r="AO152" s="7">
        <v>14171</v>
      </c>
      <c r="AP152" s="5">
        <v>9.4</v>
      </c>
      <c r="AQ152" s="5">
        <v>154</v>
      </c>
      <c r="AR152" s="5">
        <v>50</v>
      </c>
      <c r="AS152" s="5">
        <v>72.2</v>
      </c>
      <c r="AT152" s="5">
        <v>41</v>
      </c>
      <c r="AU152" s="5">
        <v>60</v>
      </c>
      <c r="AV152" s="5">
        <v>46.1</v>
      </c>
      <c r="AW152" s="5">
        <v>16.81</v>
      </c>
      <c r="AX152" s="5">
        <v>92</v>
      </c>
      <c r="AY152" s="5">
        <v>72.27</v>
      </c>
      <c r="AZ152" s="5">
        <v>9.33</v>
      </c>
      <c r="BA152" s="5">
        <v>5.34</v>
      </c>
      <c r="BB152" s="12" t="s">
        <v>76</v>
      </c>
      <c r="BC152" s="5">
        <v>4.2</v>
      </c>
      <c r="BD152" s="5">
        <v>154</v>
      </c>
      <c r="BE152" s="5" t="s">
        <v>76</v>
      </c>
      <c r="BF152" s="5" t="s">
        <v>76</v>
      </c>
      <c r="BG152" s="15">
        <v>37.7</v>
      </c>
      <c r="BH152" s="5">
        <v>96</v>
      </c>
      <c r="BI152" s="5">
        <v>106</v>
      </c>
      <c r="BJ152" s="5">
        <v>19</v>
      </c>
      <c r="BK152" s="5">
        <v>134</v>
      </c>
      <c r="BL152" s="5">
        <v>79</v>
      </c>
      <c r="BM152" s="5">
        <v>70</v>
      </c>
      <c r="BN152" s="5">
        <v>173</v>
      </c>
      <c r="BO152" s="5">
        <f t="shared" si="2"/>
        <v>23.3886865581877</v>
      </c>
      <c r="BP152" s="5" t="s">
        <v>271</v>
      </c>
      <c r="BQ152" s="5">
        <v>6.6</v>
      </c>
      <c r="BR152" s="5">
        <v>1886</v>
      </c>
    </row>
    <row r="153" s="1" customFormat="1" spans="1:70">
      <c r="A153" s="1">
        <v>3296755</v>
      </c>
      <c r="B153" s="1" t="s">
        <v>630</v>
      </c>
      <c r="D153" s="4">
        <v>44986</v>
      </c>
      <c r="E153" s="4">
        <v>44998</v>
      </c>
      <c r="F153" s="7">
        <v>14198</v>
      </c>
      <c r="G153" s="1">
        <v>38</v>
      </c>
      <c r="H153" s="1">
        <v>9</v>
      </c>
      <c r="I153" s="1">
        <v>49</v>
      </c>
      <c r="J153" s="1">
        <v>9</v>
      </c>
      <c r="K153" s="1">
        <v>63</v>
      </c>
      <c r="L153" s="1">
        <v>34</v>
      </c>
      <c r="M153" s="1">
        <v>0.61</v>
      </c>
      <c r="N153" s="1">
        <v>14.2</v>
      </c>
      <c r="O153" s="7">
        <v>14198</v>
      </c>
      <c r="P153" s="4">
        <v>44986</v>
      </c>
      <c r="Q153" s="4">
        <v>44998</v>
      </c>
      <c r="R153" s="1" t="s">
        <v>73</v>
      </c>
      <c r="AO153" s="7">
        <v>14198</v>
      </c>
      <c r="AP153" s="5">
        <v>72.6</v>
      </c>
      <c r="AQ153" s="5">
        <v>78</v>
      </c>
      <c r="AR153" s="5">
        <v>35.37</v>
      </c>
      <c r="AS153" s="5">
        <v>8.5</v>
      </c>
      <c r="AT153" s="5">
        <v>42</v>
      </c>
      <c r="AU153" s="5">
        <v>9</v>
      </c>
      <c r="AV153" s="5">
        <v>36.5</v>
      </c>
      <c r="AW153" s="5">
        <v>25.55</v>
      </c>
      <c r="AX153" s="5">
        <v>221</v>
      </c>
      <c r="AY153" s="5">
        <v>36.96</v>
      </c>
      <c r="AZ153" s="5">
        <v>8.3</v>
      </c>
      <c r="BA153" s="5">
        <v>4.13</v>
      </c>
      <c r="BB153" s="12" t="s">
        <v>76</v>
      </c>
      <c r="BC153" s="5">
        <v>5.56</v>
      </c>
      <c r="BD153" s="5">
        <v>78</v>
      </c>
      <c r="BE153" s="5">
        <v>1.42</v>
      </c>
      <c r="BF153" s="5">
        <v>2.18</v>
      </c>
      <c r="BG153" s="15">
        <v>36.3</v>
      </c>
      <c r="BH153" s="5">
        <v>83</v>
      </c>
      <c r="BI153" s="5" t="s">
        <v>76</v>
      </c>
      <c r="BJ153" s="5">
        <v>16</v>
      </c>
      <c r="BK153" s="5">
        <v>146</v>
      </c>
      <c r="BL153" s="5">
        <v>70</v>
      </c>
      <c r="BM153" s="5">
        <v>52</v>
      </c>
      <c r="BN153" s="5">
        <v>155</v>
      </c>
      <c r="BO153" s="5">
        <f t="shared" si="2"/>
        <v>21.6441207075963</v>
      </c>
      <c r="BP153" s="5" t="s">
        <v>453</v>
      </c>
      <c r="BQ153" s="5">
        <v>7.9</v>
      </c>
      <c r="BR153" s="5" t="s">
        <v>118</v>
      </c>
    </row>
    <row r="154" s="1" customFormat="1" spans="1:70">
      <c r="A154" s="1">
        <v>3241835</v>
      </c>
      <c r="B154" s="1" t="s">
        <v>631</v>
      </c>
      <c r="D154" s="4">
        <v>44886</v>
      </c>
      <c r="E154" s="4">
        <v>44889</v>
      </c>
      <c r="F154" s="7">
        <v>14213</v>
      </c>
      <c r="G154" s="1">
        <v>35</v>
      </c>
      <c r="H154" s="1">
        <v>10</v>
      </c>
      <c r="I154" s="1">
        <v>47</v>
      </c>
      <c r="J154" s="1">
        <v>10</v>
      </c>
      <c r="K154" s="1">
        <v>48</v>
      </c>
      <c r="M154" s="1">
        <v>0.78</v>
      </c>
      <c r="N154" s="1">
        <v>13.5</v>
      </c>
      <c r="O154" s="7">
        <v>14213</v>
      </c>
      <c r="P154" s="4">
        <v>44886</v>
      </c>
      <c r="Q154" s="4">
        <v>44889</v>
      </c>
      <c r="R154" s="1" t="s">
        <v>73</v>
      </c>
      <c r="AO154" s="7">
        <v>14213</v>
      </c>
      <c r="AP154" s="5">
        <v>6.5</v>
      </c>
      <c r="AQ154" s="5">
        <v>112</v>
      </c>
      <c r="AR154" s="5">
        <v>37.6</v>
      </c>
      <c r="AS154" s="5">
        <v>7.1</v>
      </c>
      <c r="AT154" s="5">
        <v>21</v>
      </c>
      <c r="AU154" s="5">
        <v>10</v>
      </c>
      <c r="AV154" s="5">
        <v>38.2</v>
      </c>
      <c r="AW154" s="5">
        <v>7.6</v>
      </c>
      <c r="AX154" s="5">
        <v>83</v>
      </c>
      <c r="AY154" s="5">
        <v>60.53</v>
      </c>
      <c r="AZ154" s="5" t="s">
        <v>75</v>
      </c>
      <c r="BA154" s="5">
        <v>3.24</v>
      </c>
      <c r="BB154" s="12" t="s">
        <v>76</v>
      </c>
      <c r="BC154" s="5">
        <v>4.08</v>
      </c>
      <c r="BD154" s="5">
        <v>112</v>
      </c>
      <c r="BE154" s="5">
        <v>0.85</v>
      </c>
      <c r="BF154" s="5">
        <v>1.91</v>
      </c>
      <c r="BG154" s="15">
        <v>36.3</v>
      </c>
      <c r="BH154" s="5">
        <v>82</v>
      </c>
      <c r="BI154" s="5">
        <v>82</v>
      </c>
      <c r="BJ154" s="5">
        <v>17</v>
      </c>
      <c r="BK154" s="5">
        <v>108</v>
      </c>
      <c r="BL154" s="5">
        <v>62</v>
      </c>
      <c r="BM154" s="5">
        <v>53</v>
      </c>
      <c r="BN154" s="5">
        <v>155</v>
      </c>
      <c r="BO154" s="5">
        <f t="shared" si="2"/>
        <v>22.0603537981269</v>
      </c>
      <c r="BP154" s="5" t="s">
        <v>121</v>
      </c>
      <c r="BQ154" s="5">
        <v>6.6</v>
      </c>
      <c r="BR154" s="5">
        <v>4142</v>
      </c>
    </row>
    <row r="155" s="1" customFormat="1" spans="1:70">
      <c r="A155" s="1">
        <v>3296116</v>
      </c>
      <c r="B155" s="1" t="s">
        <v>632</v>
      </c>
      <c r="D155" s="4">
        <v>44985</v>
      </c>
      <c r="E155" s="4">
        <v>44992</v>
      </c>
      <c r="F155" s="7">
        <v>14215</v>
      </c>
      <c r="G155" s="1">
        <v>43</v>
      </c>
      <c r="H155" s="1">
        <v>10</v>
      </c>
      <c r="I155" s="1">
        <v>49</v>
      </c>
      <c r="J155" s="1">
        <v>10</v>
      </c>
      <c r="K155" s="1">
        <v>60</v>
      </c>
      <c r="L155" s="1">
        <v>32</v>
      </c>
      <c r="N155" s="1">
        <v>14.3</v>
      </c>
      <c r="O155" s="7">
        <v>14215</v>
      </c>
      <c r="P155" s="4">
        <v>44985</v>
      </c>
      <c r="Q155" s="4">
        <v>44992</v>
      </c>
      <c r="R155" s="1" t="s">
        <v>73</v>
      </c>
      <c r="AO155" s="7">
        <v>14215</v>
      </c>
      <c r="AP155" s="5">
        <v>41.5</v>
      </c>
      <c r="AQ155" s="5">
        <v>125</v>
      </c>
      <c r="AR155" s="5">
        <v>40</v>
      </c>
      <c r="AS155" s="5" t="s">
        <v>81</v>
      </c>
      <c r="AT155" s="5">
        <v>38</v>
      </c>
      <c r="AU155" s="5">
        <v>9</v>
      </c>
      <c r="AV155" s="5">
        <v>41</v>
      </c>
      <c r="AW155" s="5">
        <v>7.31</v>
      </c>
      <c r="AX155" s="5">
        <v>48</v>
      </c>
      <c r="AY155" s="5" t="s">
        <v>125</v>
      </c>
      <c r="AZ155" s="5" t="s">
        <v>75</v>
      </c>
      <c r="BA155" s="5">
        <v>2.32</v>
      </c>
      <c r="BB155" s="12" t="s">
        <v>76</v>
      </c>
      <c r="BC155" s="5">
        <v>3.93</v>
      </c>
      <c r="BD155" s="5">
        <v>125</v>
      </c>
      <c r="BE155" s="5" t="s">
        <v>76</v>
      </c>
      <c r="BF155" s="5" t="s">
        <v>76</v>
      </c>
      <c r="BG155" s="15">
        <v>36.2</v>
      </c>
      <c r="BH155" s="5">
        <v>82</v>
      </c>
      <c r="BI155" s="5" t="s">
        <v>76</v>
      </c>
      <c r="BJ155" s="5">
        <v>18</v>
      </c>
      <c r="BK155" s="5">
        <v>136</v>
      </c>
      <c r="BL155" s="5">
        <v>58</v>
      </c>
      <c r="BM155" s="5">
        <v>72</v>
      </c>
      <c r="BN155" s="5">
        <v>168</v>
      </c>
      <c r="BO155" s="5">
        <f t="shared" si="2"/>
        <v>25.5102040816327</v>
      </c>
      <c r="BP155" s="5" t="s">
        <v>83</v>
      </c>
      <c r="BQ155" s="5">
        <v>5</v>
      </c>
      <c r="BR155" s="5">
        <v>2844</v>
      </c>
    </row>
    <row r="156" s="1" customFormat="1" spans="1:70">
      <c r="A156" s="1">
        <v>3269092</v>
      </c>
      <c r="B156" s="1" t="s">
        <v>633</v>
      </c>
      <c r="D156" s="4">
        <v>44946</v>
      </c>
      <c r="E156" s="4">
        <v>44957</v>
      </c>
      <c r="F156" s="7">
        <v>14222</v>
      </c>
      <c r="G156" s="1">
        <v>38</v>
      </c>
      <c r="H156" s="1">
        <v>9</v>
      </c>
      <c r="I156" s="1">
        <v>42</v>
      </c>
      <c r="J156" s="1">
        <v>9</v>
      </c>
      <c r="K156" s="1">
        <v>58</v>
      </c>
      <c r="L156" s="1">
        <v>31</v>
      </c>
      <c r="M156" s="1">
        <v>0.65</v>
      </c>
      <c r="N156" s="1">
        <v>10.6</v>
      </c>
      <c r="O156" s="7">
        <v>14222</v>
      </c>
      <c r="P156" s="4">
        <v>44946</v>
      </c>
      <c r="Q156" s="4">
        <v>44957</v>
      </c>
      <c r="R156" s="1" t="s">
        <v>80</v>
      </c>
      <c r="S156" s="1">
        <v>84</v>
      </c>
      <c r="T156" s="1" t="s">
        <v>634</v>
      </c>
      <c r="AA156" s="1" t="s">
        <v>155</v>
      </c>
      <c r="AC156" s="1" t="s">
        <v>155</v>
      </c>
      <c r="AG156" s="1">
        <v>1</v>
      </c>
      <c r="AH156" s="1">
        <v>1</v>
      </c>
      <c r="AI156" s="1">
        <v>1</v>
      </c>
      <c r="AM156" s="1">
        <v>1</v>
      </c>
      <c r="AN156" s="1">
        <v>1</v>
      </c>
      <c r="AO156" s="7">
        <v>14222</v>
      </c>
      <c r="AP156" s="5">
        <v>9.2</v>
      </c>
      <c r="AQ156" s="5">
        <v>141</v>
      </c>
      <c r="AR156" s="5">
        <v>60</v>
      </c>
      <c r="AS156" s="5">
        <v>60.1</v>
      </c>
      <c r="AT156" s="5">
        <v>44</v>
      </c>
      <c r="AU156" s="5">
        <v>47</v>
      </c>
      <c r="AV156" s="5">
        <v>30.9</v>
      </c>
      <c r="AW156" s="5">
        <v>20.95</v>
      </c>
      <c r="AX156" s="5">
        <v>188</v>
      </c>
      <c r="AY156" s="5">
        <v>41.11</v>
      </c>
      <c r="AZ156" s="5" t="s">
        <v>75</v>
      </c>
      <c r="BA156" s="5">
        <v>2.48</v>
      </c>
      <c r="BB156" s="12" t="s">
        <v>76</v>
      </c>
      <c r="BC156" s="5">
        <v>5.93</v>
      </c>
      <c r="BD156" s="5">
        <v>141</v>
      </c>
      <c r="BE156" s="5">
        <v>0.73</v>
      </c>
      <c r="BF156" s="5">
        <v>1.23</v>
      </c>
      <c r="BG156" s="15">
        <v>36.5</v>
      </c>
      <c r="BH156" s="5" t="s">
        <v>76</v>
      </c>
      <c r="BI156" s="5">
        <v>65</v>
      </c>
      <c r="BJ156" s="5">
        <v>16</v>
      </c>
      <c r="BK156" s="5">
        <v>92</v>
      </c>
      <c r="BL156" s="5">
        <v>53</v>
      </c>
      <c r="BM156" s="5">
        <v>70</v>
      </c>
      <c r="BN156" s="5">
        <v>168</v>
      </c>
      <c r="BO156" s="5">
        <f t="shared" si="2"/>
        <v>24.8015873015873</v>
      </c>
      <c r="BP156" s="5" t="s">
        <v>107</v>
      </c>
      <c r="BQ156" s="5" t="s">
        <v>76</v>
      </c>
      <c r="BR156" s="5">
        <v>5525</v>
      </c>
    </row>
    <row r="157" s="1" customFormat="1" spans="1:70">
      <c r="A157" s="1">
        <v>3276043</v>
      </c>
      <c r="B157" s="1" t="s">
        <v>635</v>
      </c>
      <c r="D157" s="4">
        <v>44958</v>
      </c>
      <c r="E157" s="4">
        <v>44977</v>
      </c>
      <c r="F157" s="7">
        <v>14229</v>
      </c>
      <c r="G157" s="1">
        <v>46</v>
      </c>
      <c r="H157" s="1">
        <v>9</v>
      </c>
      <c r="I157" s="1">
        <v>46</v>
      </c>
      <c r="J157" s="1">
        <v>9</v>
      </c>
      <c r="K157" s="1">
        <v>38</v>
      </c>
      <c r="L157" s="1">
        <v>18</v>
      </c>
      <c r="N157" s="1">
        <v>15.4</v>
      </c>
      <c r="O157" s="7">
        <v>14229</v>
      </c>
      <c r="P157" s="4">
        <v>44958</v>
      </c>
      <c r="Q157" s="4">
        <v>44977</v>
      </c>
      <c r="R157" s="1" t="s">
        <v>73</v>
      </c>
      <c r="AO157" s="7">
        <v>14229</v>
      </c>
      <c r="AP157" s="5">
        <v>9.7</v>
      </c>
      <c r="AQ157" s="5">
        <v>98</v>
      </c>
      <c r="AR157" s="5">
        <v>38.9</v>
      </c>
      <c r="AS157" s="5">
        <v>9.4</v>
      </c>
      <c r="AT157" s="5">
        <v>61</v>
      </c>
      <c r="AU157" s="5">
        <v>39</v>
      </c>
      <c r="AV157" s="5">
        <v>42.3</v>
      </c>
      <c r="AW157" s="5">
        <v>8.43</v>
      </c>
      <c r="AX157" s="5">
        <v>95</v>
      </c>
      <c r="AY157" s="5">
        <v>67.88</v>
      </c>
      <c r="AZ157" s="5">
        <v>7.15</v>
      </c>
      <c r="BA157" s="5">
        <v>4.23</v>
      </c>
      <c r="BB157" s="12" t="s">
        <v>76</v>
      </c>
      <c r="BC157" s="5">
        <v>9.8</v>
      </c>
      <c r="BD157" s="5">
        <v>98</v>
      </c>
      <c r="BE157" s="5">
        <v>1.03</v>
      </c>
      <c r="BF157" s="5">
        <v>2.77</v>
      </c>
      <c r="BG157" s="15">
        <v>36.2</v>
      </c>
      <c r="BH157" s="5">
        <v>96</v>
      </c>
      <c r="BI157" s="5">
        <v>107</v>
      </c>
      <c r="BJ157" s="5">
        <v>19</v>
      </c>
      <c r="BK157" s="5">
        <v>139</v>
      </c>
      <c r="BL157" s="5">
        <v>75</v>
      </c>
      <c r="BM157" s="5">
        <v>77</v>
      </c>
      <c r="BN157" s="5">
        <v>165</v>
      </c>
      <c r="BO157" s="5">
        <f t="shared" si="2"/>
        <v>28.2828282828283</v>
      </c>
      <c r="BP157" s="5" t="s">
        <v>323</v>
      </c>
      <c r="BQ157" s="5">
        <v>7.4</v>
      </c>
      <c r="BR157" s="5">
        <v>9842</v>
      </c>
    </row>
    <row r="158" s="1" customFormat="1" spans="1:70">
      <c r="A158" s="1">
        <v>3259600</v>
      </c>
      <c r="B158" s="1" t="s">
        <v>636</v>
      </c>
      <c r="D158" s="4">
        <v>44928</v>
      </c>
      <c r="E158" s="4">
        <v>44933</v>
      </c>
      <c r="F158" s="7">
        <v>14233</v>
      </c>
      <c r="G158" s="1">
        <v>46</v>
      </c>
      <c r="H158" s="1">
        <v>10</v>
      </c>
      <c r="I158" s="1">
        <v>64</v>
      </c>
      <c r="J158" s="1">
        <v>10</v>
      </c>
      <c r="K158" s="1">
        <v>37</v>
      </c>
      <c r="L158" s="1">
        <v>18</v>
      </c>
      <c r="M158" s="1">
        <v>1.51</v>
      </c>
      <c r="N158" s="1">
        <v>11.3</v>
      </c>
      <c r="O158" s="7">
        <v>14233</v>
      </c>
      <c r="P158" s="4">
        <v>44928</v>
      </c>
      <c r="Q158" s="4">
        <v>44933</v>
      </c>
      <c r="R158" s="1" t="s">
        <v>80</v>
      </c>
      <c r="AO158" s="7">
        <v>14233</v>
      </c>
      <c r="AP158" s="5">
        <v>3.4</v>
      </c>
      <c r="AQ158" s="5">
        <v>107</v>
      </c>
      <c r="AR158" s="5">
        <v>32.7</v>
      </c>
      <c r="AS158" s="5">
        <v>1.3</v>
      </c>
      <c r="AT158" s="5">
        <v>11</v>
      </c>
      <c r="AU158" s="5">
        <v>7</v>
      </c>
      <c r="AV158" s="5">
        <v>37.1</v>
      </c>
      <c r="AW158" s="5">
        <v>5.3</v>
      </c>
      <c r="AX158" s="5">
        <v>90</v>
      </c>
      <c r="AY158" s="5">
        <v>74.12</v>
      </c>
      <c r="AZ158" s="5" t="s">
        <v>75</v>
      </c>
      <c r="BA158" s="5">
        <v>3.45</v>
      </c>
      <c r="BB158" s="12" t="s">
        <v>76</v>
      </c>
      <c r="BC158" s="5">
        <v>3.83</v>
      </c>
      <c r="BD158" s="5">
        <v>107</v>
      </c>
      <c r="BE158" s="5">
        <v>0.82</v>
      </c>
      <c r="BF158" s="5">
        <v>2.14</v>
      </c>
      <c r="BG158" s="15">
        <v>36.5</v>
      </c>
      <c r="BH158" s="5">
        <v>62</v>
      </c>
      <c r="BI158" s="5" t="s">
        <v>76</v>
      </c>
      <c r="BJ158" s="5">
        <v>19</v>
      </c>
      <c r="BK158" s="5">
        <v>129</v>
      </c>
      <c r="BL158" s="5">
        <v>60</v>
      </c>
      <c r="BM158" s="5">
        <v>62</v>
      </c>
      <c r="BN158" s="5">
        <v>165</v>
      </c>
      <c r="BO158" s="5">
        <f t="shared" si="2"/>
        <v>22.77318640955</v>
      </c>
      <c r="BP158" s="5" t="s">
        <v>156</v>
      </c>
      <c r="BQ158" s="5">
        <v>5.7</v>
      </c>
      <c r="BR158" s="5">
        <v>5425</v>
      </c>
    </row>
    <row r="159" s="1" customFormat="1" spans="1:70">
      <c r="A159" s="1">
        <v>3497087</v>
      </c>
      <c r="B159" s="1" t="s">
        <v>637</v>
      </c>
      <c r="D159" s="4">
        <v>45264</v>
      </c>
      <c r="E159" s="4">
        <v>45271</v>
      </c>
      <c r="F159" s="7">
        <v>14241</v>
      </c>
      <c r="G159" s="1">
        <v>38</v>
      </c>
      <c r="H159" s="1">
        <v>8</v>
      </c>
      <c r="I159" s="1">
        <v>47</v>
      </c>
      <c r="J159" s="1">
        <v>8</v>
      </c>
      <c r="K159" s="1">
        <v>49</v>
      </c>
      <c r="L159" s="1">
        <v>25</v>
      </c>
      <c r="N159" s="1">
        <v>14.9</v>
      </c>
      <c r="O159" s="7">
        <v>14241</v>
      </c>
      <c r="P159" s="4">
        <v>45264</v>
      </c>
      <c r="Q159" s="4">
        <v>45271</v>
      </c>
      <c r="R159" s="1" t="s">
        <v>80</v>
      </c>
      <c r="AO159" s="7">
        <v>14241</v>
      </c>
      <c r="AP159" s="5">
        <v>99.4</v>
      </c>
      <c r="AQ159" s="5">
        <v>109</v>
      </c>
      <c r="AR159" s="5">
        <v>35.1</v>
      </c>
      <c r="AS159" s="5">
        <v>91.5</v>
      </c>
      <c r="AT159" s="5">
        <v>29</v>
      </c>
      <c r="AU159" s="5">
        <v>15</v>
      </c>
      <c r="AV159" s="5">
        <v>30.2</v>
      </c>
      <c r="AW159" s="5">
        <v>20.62</v>
      </c>
      <c r="AX159" s="5">
        <v>302</v>
      </c>
      <c r="AY159" s="5" t="s">
        <v>76</v>
      </c>
      <c r="AZ159" s="5" t="s">
        <v>75</v>
      </c>
      <c r="BA159" s="5">
        <v>2.78</v>
      </c>
      <c r="BB159" s="12" t="s">
        <v>76</v>
      </c>
      <c r="BC159" s="5">
        <v>3.71</v>
      </c>
      <c r="BD159" s="5">
        <v>109</v>
      </c>
      <c r="BE159" s="5">
        <v>0.83</v>
      </c>
      <c r="BF159" s="5">
        <v>1.28</v>
      </c>
      <c r="BG159" s="15">
        <v>35.7</v>
      </c>
      <c r="BH159" s="5">
        <v>65</v>
      </c>
      <c r="BI159" s="5">
        <v>65</v>
      </c>
      <c r="BJ159" s="5">
        <v>14</v>
      </c>
      <c r="BK159" s="5">
        <v>127</v>
      </c>
      <c r="BL159" s="5">
        <v>85</v>
      </c>
      <c r="BM159" s="5">
        <v>55</v>
      </c>
      <c r="BN159" s="5">
        <v>170</v>
      </c>
      <c r="BO159" s="5">
        <f t="shared" si="2"/>
        <v>19.0311418685121</v>
      </c>
      <c r="BP159" s="5" t="s">
        <v>144</v>
      </c>
      <c r="BQ159" s="5">
        <v>6.6</v>
      </c>
      <c r="BR159" s="5">
        <v>7257</v>
      </c>
    </row>
    <row r="160" s="1" customFormat="1" spans="1:70">
      <c r="A160" s="1">
        <v>3260613</v>
      </c>
      <c r="B160" s="1" t="s">
        <v>638</v>
      </c>
      <c r="D160" s="4">
        <v>44929</v>
      </c>
      <c r="E160" s="4">
        <v>44935</v>
      </c>
      <c r="F160" s="7">
        <v>14246</v>
      </c>
      <c r="G160" s="1">
        <v>42</v>
      </c>
      <c r="H160" s="1">
        <v>9</v>
      </c>
      <c r="I160" s="1">
        <v>46</v>
      </c>
      <c r="J160" s="1">
        <v>9</v>
      </c>
      <c r="K160" s="1">
        <v>58</v>
      </c>
      <c r="L160" s="1">
        <v>31</v>
      </c>
      <c r="M160" s="1">
        <v>1.05</v>
      </c>
      <c r="N160" s="1">
        <v>14.6</v>
      </c>
      <c r="O160" s="7">
        <v>14246</v>
      </c>
      <c r="P160" s="4">
        <v>44929</v>
      </c>
      <c r="Q160" s="4">
        <v>44935</v>
      </c>
      <c r="R160" s="1" t="s">
        <v>73</v>
      </c>
      <c r="AO160" s="7">
        <v>14246</v>
      </c>
      <c r="AP160" s="5">
        <v>4.9</v>
      </c>
      <c r="AQ160" s="5">
        <v>99</v>
      </c>
      <c r="AR160" s="5">
        <v>33.5</v>
      </c>
      <c r="AS160" s="5">
        <v>75.7</v>
      </c>
      <c r="AT160" s="5">
        <v>36</v>
      </c>
      <c r="AU160" s="5">
        <v>23</v>
      </c>
      <c r="AV160" s="5">
        <v>29.8</v>
      </c>
      <c r="AW160" s="5">
        <v>11.99</v>
      </c>
      <c r="AX160" s="5">
        <v>145</v>
      </c>
      <c r="AY160" s="5" t="s">
        <v>76</v>
      </c>
      <c r="AZ160" s="5">
        <v>3.74</v>
      </c>
      <c r="BA160" s="5" t="s">
        <v>76</v>
      </c>
      <c r="BB160" s="12" t="s">
        <v>76</v>
      </c>
      <c r="BC160" s="5">
        <v>4.34</v>
      </c>
      <c r="BD160" s="5">
        <v>99</v>
      </c>
      <c r="BE160" s="5" t="s">
        <v>76</v>
      </c>
      <c r="BF160" s="5" t="s">
        <v>76</v>
      </c>
      <c r="BG160" s="15">
        <v>36.6</v>
      </c>
      <c r="BH160" s="5">
        <v>77</v>
      </c>
      <c r="BI160" s="5" t="s">
        <v>76</v>
      </c>
      <c r="BJ160" s="5">
        <v>16</v>
      </c>
      <c r="BK160" s="5">
        <v>173</v>
      </c>
      <c r="BL160" s="5">
        <v>77</v>
      </c>
      <c r="BM160" s="5">
        <v>62</v>
      </c>
      <c r="BN160" s="5">
        <v>165</v>
      </c>
      <c r="BO160" s="5">
        <f t="shared" si="2"/>
        <v>22.77318640955</v>
      </c>
      <c r="BP160" s="5" t="s">
        <v>639</v>
      </c>
      <c r="BQ160" s="5" t="s">
        <v>76</v>
      </c>
      <c r="BR160" s="5">
        <v>2950</v>
      </c>
    </row>
    <row r="161" s="1" customFormat="1" spans="1:70">
      <c r="A161" s="1">
        <v>3259912</v>
      </c>
      <c r="B161" s="1" t="s">
        <v>640</v>
      </c>
      <c r="D161" s="4">
        <v>44928</v>
      </c>
      <c r="E161" s="4">
        <v>44943</v>
      </c>
      <c r="F161" s="7">
        <v>14259</v>
      </c>
      <c r="G161" s="1">
        <v>44</v>
      </c>
      <c r="H161" s="1">
        <v>8</v>
      </c>
      <c r="I161" s="1">
        <v>44</v>
      </c>
      <c r="J161" s="1">
        <v>8</v>
      </c>
      <c r="K161" s="1">
        <v>65</v>
      </c>
      <c r="L161" s="1">
        <v>36</v>
      </c>
      <c r="N161" s="1">
        <v>12.1</v>
      </c>
      <c r="O161" s="7">
        <v>14259</v>
      </c>
      <c r="P161" s="4">
        <v>44928</v>
      </c>
      <c r="Q161" s="4">
        <v>44943</v>
      </c>
      <c r="R161" s="1" t="s">
        <v>80</v>
      </c>
      <c r="AO161" s="7">
        <v>14259</v>
      </c>
      <c r="AP161" s="5">
        <v>3.3</v>
      </c>
      <c r="AQ161" s="5">
        <v>112</v>
      </c>
      <c r="AR161" s="5">
        <v>37.3</v>
      </c>
      <c r="AS161" s="5">
        <v>0.5</v>
      </c>
      <c r="AT161" s="5">
        <v>14</v>
      </c>
      <c r="AU161" s="5">
        <v>7</v>
      </c>
      <c r="AV161" s="5">
        <v>32</v>
      </c>
      <c r="AW161" s="5">
        <v>5.86</v>
      </c>
      <c r="AX161" s="5">
        <v>85</v>
      </c>
      <c r="AY161" s="5" t="s">
        <v>76</v>
      </c>
      <c r="AZ161" s="5" t="s">
        <v>75</v>
      </c>
      <c r="BA161" s="5">
        <v>2.4</v>
      </c>
      <c r="BB161" s="12" t="s">
        <v>76</v>
      </c>
      <c r="BC161" s="5">
        <v>4.25</v>
      </c>
      <c r="BD161" s="5">
        <v>112</v>
      </c>
      <c r="BE161" s="5">
        <v>0.86</v>
      </c>
      <c r="BF161" s="5">
        <v>1.4</v>
      </c>
      <c r="BG161" s="15">
        <v>36.6</v>
      </c>
      <c r="BH161" s="5">
        <v>68</v>
      </c>
      <c r="BI161" s="5" t="s">
        <v>76</v>
      </c>
      <c r="BJ161" s="5">
        <v>18</v>
      </c>
      <c r="BK161" s="5">
        <v>145</v>
      </c>
      <c r="BL161" s="5">
        <v>87</v>
      </c>
      <c r="BM161" s="5">
        <v>52</v>
      </c>
      <c r="BN161" s="5">
        <v>168</v>
      </c>
      <c r="BO161" s="5">
        <f t="shared" si="2"/>
        <v>18.4240362811791</v>
      </c>
      <c r="BP161" s="5" t="s">
        <v>438</v>
      </c>
      <c r="BQ161" s="5" t="s">
        <v>76</v>
      </c>
      <c r="BR161" s="5">
        <v>1853</v>
      </c>
    </row>
    <row r="162" s="1" customFormat="1" spans="1:70">
      <c r="A162" s="1" t="s">
        <v>641</v>
      </c>
      <c r="B162" s="1" t="s">
        <v>642</v>
      </c>
      <c r="D162" s="4">
        <v>44896</v>
      </c>
      <c r="E162" s="4">
        <v>44911</v>
      </c>
      <c r="F162" s="7">
        <v>14277</v>
      </c>
      <c r="G162" s="1">
        <v>40</v>
      </c>
      <c r="H162" s="1">
        <v>8</v>
      </c>
      <c r="I162" s="1">
        <v>43</v>
      </c>
      <c r="J162" s="1">
        <v>8</v>
      </c>
      <c r="K162" s="1">
        <v>60</v>
      </c>
      <c r="L162" s="1">
        <v>32</v>
      </c>
      <c r="M162" s="1">
        <v>1.18</v>
      </c>
      <c r="N162" s="1">
        <v>15.2</v>
      </c>
      <c r="O162" s="7">
        <v>14277</v>
      </c>
      <c r="P162" s="4">
        <v>44896</v>
      </c>
      <c r="Q162" s="4">
        <v>44911</v>
      </c>
      <c r="R162" s="1" t="s">
        <v>73</v>
      </c>
      <c r="AO162" s="7">
        <v>14277</v>
      </c>
      <c r="AP162" s="5" t="s">
        <v>643</v>
      </c>
      <c r="AQ162" s="5" t="s">
        <v>318</v>
      </c>
      <c r="AR162" s="5" t="s">
        <v>329</v>
      </c>
      <c r="AS162" s="5" t="s">
        <v>81</v>
      </c>
      <c r="AT162" s="5" t="s">
        <v>93</v>
      </c>
      <c r="AU162" s="5" t="s">
        <v>171</v>
      </c>
      <c r="AV162" s="5" t="s">
        <v>644</v>
      </c>
      <c r="AW162" s="5" t="s">
        <v>645</v>
      </c>
      <c r="AX162" s="5" t="s">
        <v>96</v>
      </c>
      <c r="AY162" s="5" t="s">
        <v>646</v>
      </c>
      <c r="AZ162" s="5" t="s">
        <v>75</v>
      </c>
      <c r="BA162" s="5" t="s">
        <v>76</v>
      </c>
      <c r="BB162" s="12" t="s">
        <v>76</v>
      </c>
      <c r="BC162" s="5" t="s">
        <v>647</v>
      </c>
      <c r="BD162" s="5" t="s">
        <v>318</v>
      </c>
      <c r="BE162" s="5" t="s">
        <v>76</v>
      </c>
      <c r="BF162" s="5" t="s">
        <v>76</v>
      </c>
      <c r="BG162" s="15">
        <v>36.5</v>
      </c>
      <c r="BH162" s="5" t="s">
        <v>76</v>
      </c>
      <c r="BI162" s="5" t="s">
        <v>100</v>
      </c>
      <c r="BJ162" s="5" t="s">
        <v>182</v>
      </c>
      <c r="BK162" s="5" t="s">
        <v>648</v>
      </c>
      <c r="BL162" s="5" t="s">
        <v>290</v>
      </c>
      <c r="BM162" s="5" t="s">
        <v>649</v>
      </c>
      <c r="BN162" s="5">
        <v>164</v>
      </c>
      <c r="BO162" s="5">
        <f t="shared" si="2"/>
        <v>18.9619274241523</v>
      </c>
      <c r="BP162" s="5" t="s">
        <v>542</v>
      </c>
      <c r="BQ162" s="5" t="s">
        <v>650</v>
      </c>
      <c r="BR162" s="5">
        <v>7713</v>
      </c>
    </row>
    <row r="163" s="1" customFormat="1" spans="1:70">
      <c r="A163" s="1">
        <v>3240274</v>
      </c>
      <c r="B163" s="1" t="s">
        <v>651</v>
      </c>
      <c r="D163" s="4">
        <v>44883</v>
      </c>
      <c r="E163" s="4">
        <v>44893</v>
      </c>
      <c r="F163" s="7">
        <v>14301</v>
      </c>
      <c r="G163" s="1">
        <v>45</v>
      </c>
      <c r="H163" s="1">
        <v>10</v>
      </c>
      <c r="I163" s="1">
        <v>50</v>
      </c>
      <c r="J163" s="1">
        <v>9</v>
      </c>
      <c r="K163" s="1">
        <v>51</v>
      </c>
      <c r="L163" s="1">
        <v>26</v>
      </c>
      <c r="M163" s="1">
        <v>0.49</v>
      </c>
      <c r="O163" s="7">
        <v>14301</v>
      </c>
      <c r="P163" s="4">
        <v>44883</v>
      </c>
      <c r="Q163" s="4">
        <v>44893</v>
      </c>
      <c r="R163" s="1" t="s">
        <v>73</v>
      </c>
      <c r="AO163" s="7">
        <v>14301</v>
      </c>
      <c r="AP163" s="5">
        <v>8.3</v>
      </c>
      <c r="AQ163" s="5">
        <v>81</v>
      </c>
      <c r="AR163" s="5">
        <v>35</v>
      </c>
      <c r="AS163" s="5">
        <v>6.5</v>
      </c>
      <c r="AT163" s="5">
        <v>16</v>
      </c>
      <c r="AU163" s="5">
        <v>11</v>
      </c>
      <c r="AV163" s="5">
        <v>37.8</v>
      </c>
      <c r="AW163" s="5">
        <v>8.2</v>
      </c>
      <c r="AX163" s="5">
        <v>290</v>
      </c>
      <c r="AY163" s="5">
        <v>41.97</v>
      </c>
      <c r="AZ163" s="5">
        <v>7.53</v>
      </c>
      <c r="BA163" s="5">
        <v>4.07</v>
      </c>
      <c r="BB163" s="12" t="s">
        <v>76</v>
      </c>
      <c r="BC163" s="5">
        <v>4.29</v>
      </c>
      <c r="BD163" s="5">
        <v>81</v>
      </c>
      <c r="BE163" s="5" t="s">
        <v>76</v>
      </c>
      <c r="BF163" s="5" t="s">
        <v>76</v>
      </c>
      <c r="BG163" s="15">
        <v>36.5</v>
      </c>
      <c r="BH163" s="5" t="s">
        <v>76</v>
      </c>
      <c r="BI163" s="5">
        <v>65</v>
      </c>
      <c r="BJ163" s="5">
        <v>18</v>
      </c>
      <c r="BK163" s="5">
        <v>152</v>
      </c>
      <c r="BL163" s="5">
        <v>68</v>
      </c>
      <c r="BM163" s="5">
        <v>45</v>
      </c>
      <c r="BN163" s="5">
        <v>150</v>
      </c>
      <c r="BO163" s="5">
        <f t="shared" si="2"/>
        <v>20</v>
      </c>
      <c r="BP163" s="5" t="s">
        <v>107</v>
      </c>
      <c r="BQ163" s="5" t="s">
        <v>76</v>
      </c>
      <c r="BR163" s="5">
        <v>4174.19</v>
      </c>
    </row>
    <row r="164" s="1" customFormat="1" spans="1:70">
      <c r="A164" s="1" t="s">
        <v>652</v>
      </c>
      <c r="B164" s="1" t="s">
        <v>653</v>
      </c>
      <c r="D164" s="4">
        <v>45278</v>
      </c>
      <c r="E164" s="4">
        <v>45288</v>
      </c>
      <c r="F164" s="7">
        <v>14314</v>
      </c>
      <c r="G164" s="1">
        <v>46</v>
      </c>
      <c r="H164" s="1">
        <v>8</v>
      </c>
      <c r="I164" s="1">
        <v>47</v>
      </c>
      <c r="J164" s="1">
        <v>8</v>
      </c>
      <c r="K164" s="1">
        <v>60</v>
      </c>
      <c r="L164" s="1">
        <v>33</v>
      </c>
      <c r="N164" s="1">
        <v>7.4</v>
      </c>
      <c r="O164" s="7">
        <v>14314</v>
      </c>
      <c r="P164" s="4">
        <v>45278</v>
      </c>
      <c r="Q164" s="4">
        <v>45288</v>
      </c>
      <c r="R164" s="1" t="s">
        <v>73</v>
      </c>
      <c r="AO164" s="7">
        <v>14314</v>
      </c>
      <c r="AP164" s="5" t="s">
        <v>442</v>
      </c>
      <c r="AQ164" s="5" t="s">
        <v>654</v>
      </c>
      <c r="AR164" s="5" t="s">
        <v>655</v>
      </c>
      <c r="AS164" s="5" t="s">
        <v>656</v>
      </c>
      <c r="AT164" s="5" t="s">
        <v>309</v>
      </c>
      <c r="AU164" s="5" t="s">
        <v>445</v>
      </c>
      <c r="AV164" s="5" t="s">
        <v>657</v>
      </c>
      <c r="AW164" s="5" t="s">
        <v>230</v>
      </c>
      <c r="AX164" s="5" t="s">
        <v>658</v>
      </c>
      <c r="AY164" s="5" t="s">
        <v>659</v>
      </c>
      <c r="AZ164" s="5" t="s">
        <v>76</v>
      </c>
      <c r="BA164" s="5" t="s">
        <v>660</v>
      </c>
      <c r="BB164" s="12" t="s">
        <v>76</v>
      </c>
      <c r="BC164" s="5" t="s">
        <v>661</v>
      </c>
      <c r="BD164" s="5" t="s">
        <v>654</v>
      </c>
      <c r="BE164" s="5" t="s">
        <v>662</v>
      </c>
      <c r="BF164" s="5" t="s">
        <v>663</v>
      </c>
      <c r="BG164" s="15">
        <v>36.4</v>
      </c>
      <c r="BH164" s="5" t="s">
        <v>215</v>
      </c>
      <c r="BI164" s="5" t="s">
        <v>215</v>
      </c>
      <c r="BJ164" s="5" t="s">
        <v>101</v>
      </c>
      <c r="BK164" s="5" t="s">
        <v>664</v>
      </c>
      <c r="BL164" s="5" t="s">
        <v>96</v>
      </c>
      <c r="BM164" s="5" t="s">
        <v>195</v>
      </c>
      <c r="BN164" s="5">
        <v>164</v>
      </c>
      <c r="BO164" s="5">
        <f t="shared" si="2"/>
        <v>18.5901249256395</v>
      </c>
      <c r="BP164" s="5" t="s">
        <v>216</v>
      </c>
      <c r="BQ164" s="5" t="s">
        <v>76</v>
      </c>
      <c r="BR164" s="5">
        <v>2216</v>
      </c>
    </row>
    <row r="165" s="1" customFormat="1" spans="1:70">
      <c r="A165" s="1">
        <v>3308375</v>
      </c>
      <c r="B165" s="1" t="s">
        <v>665</v>
      </c>
      <c r="D165" s="4">
        <v>45001</v>
      </c>
      <c r="E165" s="4">
        <v>45016</v>
      </c>
      <c r="F165" s="7">
        <v>14369</v>
      </c>
      <c r="G165" s="1">
        <v>39</v>
      </c>
      <c r="H165" s="1">
        <v>12</v>
      </c>
      <c r="I165" s="1">
        <v>48</v>
      </c>
      <c r="J165" s="1">
        <v>12</v>
      </c>
      <c r="K165" s="1">
        <v>62</v>
      </c>
      <c r="L165" s="1">
        <v>33</v>
      </c>
      <c r="O165" s="7">
        <v>14369</v>
      </c>
      <c r="P165" s="4">
        <v>45001</v>
      </c>
      <c r="Q165" s="4">
        <v>45016</v>
      </c>
      <c r="R165" s="1" t="s">
        <v>73</v>
      </c>
      <c r="AO165" s="7">
        <v>14369</v>
      </c>
      <c r="AP165" s="5">
        <v>4.5</v>
      </c>
      <c r="AQ165" s="5">
        <v>92</v>
      </c>
      <c r="AR165" s="5">
        <v>33.3</v>
      </c>
      <c r="AS165" s="5">
        <v>1.4</v>
      </c>
      <c r="AT165" s="5">
        <v>18</v>
      </c>
      <c r="AU165" s="5">
        <v>5</v>
      </c>
      <c r="AV165" s="5">
        <v>40</v>
      </c>
      <c r="AW165" s="5">
        <v>8.19</v>
      </c>
      <c r="AX165" s="5">
        <v>123</v>
      </c>
      <c r="AY165" s="5">
        <v>47.72</v>
      </c>
      <c r="AZ165" s="5" t="s">
        <v>75</v>
      </c>
      <c r="BA165" s="5" t="s">
        <v>76</v>
      </c>
      <c r="BB165" s="12" t="s">
        <v>76</v>
      </c>
      <c r="BC165" s="5">
        <v>4.96</v>
      </c>
      <c r="BD165" s="5">
        <v>92</v>
      </c>
      <c r="BE165" s="5" t="s">
        <v>76</v>
      </c>
      <c r="BF165" s="5" t="s">
        <v>76</v>
      </c>
      <c r="BG165" s="15">
        <v>36.6</v>
      </c>
      <c r="BH165" s="5">
        <v>63</v>
      </c>
      <c r="BI165" s="5">
        <v>63</v>
      </c>
      <c r="BJ165" s="5">
        <v>17</v>
      </c>
      <c r="BK165" s="5">
        <v>166</v>
      </c>
      <c r="BL165" s="5">
        <v>60</v>
      </c>
      <c r="BM165" s="5">
        <v>55</v>
      </c>
      <c r="BN165" s="5">
        <v>163</v>
      </c>
      <c r="BO165" s="5">
        <f t="shared" si="2"/>
        <v>20.7008167413151</v>
      </c>
      <c r="BP165" s="5" t="s">
        <v>121</v>
      </c>
      <c r="BQ165" s="5" t="s">
        <v>76</v>
      </c>
      <c r="BR165" s="5">
        <v>4456</v>
      </c>
    </row>
    <row r="166" s="1" customFormat="1" spans="1:70">
      <c r="A166" s="1">
        <v>3504667</v>
      </c>
      <c r="B166" s="1" t="s">
        <v>666</v>
      </c>
      <c r="D166" s="4">
        <v>45272</v>
      </c>
      <c r="E166" s="4">
        <v>45276</v>
      </c>
      <c r="F166" s="7">
        <v>14375</v>
      </c>
      <c r="G166" s="1">
        <v>41</v>
      </c>
      <c r="H166" s="1">
        <v>10</v>
      </c>
      <c r="I166" s="1">
        <v>58</v>
      </c>
      <c r="J166" s="1">
        <v>9</v>
      </c>
      <c r="K166" s="1">
        <v>50</v>
      </c>
      <c r="L166" s="1">
        <v>25</v>
      </c>
      <c r="M166" s="1">
        <v>0.42</v>
      </c>
      <c r="N166" s="1">
        <v>8.7</v>
      </c>
      <c r="O166" s="7">
        <v>14375</v>
      </c>
      <c r="P166" s="4">
        <v>45272</v>
      </c>
      <c r="Q166" s="4">
        <v>45276</v>
      </c>
      <c r="R166" s="1" t="s">
        <v>73</v>
      </c>
      <c r="S166" s="1">
        <v>84</v>
      </c>
      <c r="T166" s="1" t="s">
        <v>667</v>
      </c>
      <c r="Z166" s="1" t="s">
        <v>155</v>
      </c>
      <c r="AC166" s="1" t="s">
        <v>155</v>
      </c>
      <c r="AG166" s="1">
        <v>1</v>
      </c>
      <c r="AH166" s="1">
        <v>1</v>
      </c>
      <c r="AK166" s="1">
        <v>1</v>
      </c>
      <c r="AL166" s="1">
        <v>1</v>
      </c>
      <c r="AM166" s="1">
        <v>1</v>
      </c>
      <c r="AO166" s="7">
        <v>14375</v>
      </c>
      <c r="AP166" s="5">
        <v>7.1</v>
      </c>
      <c r="AQ166" s="5">
        <v>147</v>
      </c>
      <c r="AR166" s="5">
        <v>45.4</v>
      </c>
      <c r="AS166" s="5">
        <v>76.5</v>
      </c>
      <c r="AT166" s="5">
        <v>25</v>
      </c>
      <c r="AU166" s="5">
        <v>19</v>
      </c>
      <c r="AV166" s="5">
        <v>40</v>
      </c>
      <c r="AW166" s="5">
        <v>6.72</v>
      </c>
      <c r="AX166" s="5">
        <v>91</v>
      </c>
      <c r="AY166" s="5">
        <v>54.3</v>
      </c>
      <c r="AZ166" s="5">
        <v>6.43</v>
      </c>
      <c r="BA166" s="5">
        <v>3.69</v>
      </c>
      <c r="BB166" s="12" t="s">
        <v>76</v>
      </c>
      <c r="BC166" s="5">
        <v>4.3</v>
      </c>
      <c r="BD166" s="5">
        <v>147</v>
      </c>
      <c r="BE166" s="5">
        <v>1.12</v>
      </c>
      <c r="BF166" s="5">
        <v>1.59</v>
      </c>
      <c r="BG166" s="15">
        <v>37.8</v>
      </c>
      <c r="BH166" s="5">
        <v>72</v>
      </c>
      <c r="BI166" s="5">
        <v>72</v>
      </c>
      <c r="BJ166" s="5">
        <v>16</v>
      </c>
      <c r="BK166" s="5">
        <v>154</v>
      </c>
      <c r="BL166" s="5">
        <v>72</v>
      </c>
      <c r="BM166" s="5">
        <v>56</v>
      </c>
      <c r="BN166" s="5">
        <v>150</v>
      </c>
      <c r="BO166" s="5">
        <f t="shared" si="2"/>
        <v>24.8888888888889</v>
      </c>
      <c r="BP166" s="5" t="s">
        <v>107</v>
      </c>
      <c r="BQ166" s="5">
        <v>6.6</v>
      </c>
      <c r="BR166" s="5">
        <v>2137</v>
      </c>
    </row>
    <row r="167" s="1" customFormat="1" spans="1:70">
      <c r="A167" s="1">
        <v>3258739</v>
      </c>
      <c r="B167" s="1" t="s">
        <v>668</v>
      </c>
      <c r="C167" s="1">
        <v>1</v>
      </c>
      <c r="D167" s="4">
        <v>44926</v>
      </c>
      <c r="E167" s="4">
        <v>44938</v>
      </c>
      <c r="F167" s="7">
        <v>14376</v>
      </c>
      <c r="G167" s="1">
        <v>44</v>
      </c>
      <c r="H167" s="1">
        <v>10</v>
      </c>
      <c r="I167" s="1">
        <v>52</v>
      </c>
      <c r="J167" s="1">
        <v>9</v>
      </c>
      <c r="K167" s="1">
        <v>51</v>
      </c>
      <c r="L167" s="1">
        <v>26</v>
      </c>
      <c r="M167" s="1">
        <v>0.9</v>
      </c>
      <c r="O167" s="7">
        <v>14376</v>
      </c>
      <c r="P167" s="4">
        <v>44926</v>
      </c>
      <c r="Q167" s="4">
        <v>44938</v>
      </c>
      <c r="R167" s="1" t="s">
        <v>80</v>
      </c>
      <c r="AO167" s="7">
        <v>14376</v>
      </c>
      <c r="AP167" s="5">
        <v>9.2</v>
      </c>
      <c r="AQ167" s="5">
        <v>160</v>
      </c>
      <c r="AR167" s="5">
        <v>51.3</v>
      </c>
      <c r="AS167" s="5">
        <v>93.9</v>
      </c>
      <c r="AT167" s="5">
        <v>66</v>
      </c>
      <c r="AU167" s="5">
        <v>84</v>
      </c>
      <c r="AV167" s="5">
        <v>37.6</v>
      </c>
      <c r="AW167" s="5">
        <v>30.97</v>
      </c>
      <c r="AX167" s="5">
        <v>364</v>
      </c>
      <c r="AY167" s="5">
        <v>29.06</v>
      </c>
      <c r="AZ167" s="5">
        <v>8.7</v>
      </c>
      <c r="BA167" s="5" t="s">
        <v>76</v>
      </c>
      <c r="BB167" s="12" t="s">
        <v>76</v>
      </c>
      <c r="BC167" s="5">
        <v>4.48</v>
      </c>
      <c r="BD167" s="5">
        <v>160</v>
      </c>
      <c r="BE167" s="5" t="s">
        <v>76</v>
      </c>
      <c r="BF167" s="5" t="s">
        <v>76</v>
      </c>
      <c r="BG167" s="15">
        <v>36.5</v>
      </c>
      <c r="BH167" s="5">
        <v>94</v>
      </c>
      <c r="BI167" s="5">
        <v>78</v>
      </c>
      <c r="BJ167" s="5">
        <v>20</v>
      </c>
      <c r="BK167" s="5">
        <v>144</v>
      </c>
      <c r="BL167" s="5">
        <v>82</v>
      </c>
      <c r="BM167" s="5">
        <v>65</v>
      </c>
      <c r="BN167" s="5">
        <v>156</v>
      </c>
      <c r="BO167" s="5">
        <f t="shared" si="2"/>
        <v>26.7094017094017</v>
      </c>
      <c r="BP167" s="5" t="s">
        <v>117</v>
      </c>
      <c r="BQ167" s="5">
        <v>6.3</v>
      </c>
      <c r="BR167" s="5" t="s">
        <v>118</v>
      </c>
    </row>
    <row r="168" s="1" customFormat="1" spans="1:70">
      <c r="A168" s="1">
        <v>3488870</v>
      </c>
      <c r="B168" s="1" t="s">
        <v>669</v>
      </c>
      <c r="D168" s="4">
        <v>45251</v>
      </c>
      <c r="E168" s="4">
        <v>45271</v>
      </c>
      <c r="F168" s="7">
        <v>14421</v>
      </c>
      <c r="G168" s="1">
        <v>35</v>
      </c>
      <c r="H168" s="1">
        <v>10</v>
      </c>
      <c r="I168" s="1">
        <v>51</v>
      </c>
      <c r="J168" s="1">
        <v>10</v>
      </c>
      <c r="K168" s="1">
        <v>48</v>
      </c>
      <c r="L168" s="1">
        <v>24</v>
      </c>
      <c r="M168" s="1">
        <v>0.52</v>
      </c>
      <c r="O168" s="7">
        <v>14421</v>
      </c>
      <c r="P168" s="4">
        <v>45251</v>
      </c>
      <c r="Q168" s="4">
        <v>45271</v>
      </c>
      <c r="R168" s="1" t="s">
        <v>80</v>
      </c>
      <c r="AO168" s="7">
        <v>14421</v>
      </c>
      <c r="AP168" s="5">
        <v>9.3</v>
      </c>
      <c r="AQ168" s="5">
        <v>93</v>
      </c>
      <c r="AR168" s="5">
        <v>30.5</v>
      </c>
      <c r="AS168" s="5">
        <v>7.3</v>
      </c>
      <c r="AT168" s="5">
        <v>23</v>
      </c>
      <c r="AU168" s="5">
        <v>9</v>
      </c>
      <c r="AV168" s="5">
        <v>36.4</v>
      </c>
      <c r="AW168" s="5">
        <v>63.41</v>
      </c>
      <c r="AX168" s="5">
        <v>386</v>
      </c>
      <c r="AY168" s="5">
        <v>28.19</v>
      </c>
      <c r="AZ168" s="5">
        <v>9.9</v>
      </c>
      <c r="BA168" s="5">
        <v>3.72</v>
      </c>
      <c r="BB168" s="12" t="s">
        <v>76</v>
      </c>
      <c r="BC168" s="5">
        <v>4.92</v>
      </c>
      <c r="BD168" s="5">
        <v>93</v>
      </c>
      <c r="BE168" s="5">
        <v>0.77</v>
      </c>
      <c r="BF168" s="5">
        <v>1.81</v>
      </c>
      <c r="BG168" s="5" t="s">
        <v>76</v>
      </c>
      <c r="BH168" s="5" t="s">
        <v>76</v>
      </c>
      <c r="BI168" s="5" t="s">
        <v>76</v>
      </c>
      <c r="BJ168" s="5" t="s">
        <v>76</v>
      </c>
      <c r="BK168" s="5" t="s">
        <v>76</v>
      </c>
      <c r="BL168" s="5" t="s">
        <v>76</v>
      </c>
      <c r="BM168" s="5" t="s">
        <v>76</v>
      </c>
      <c r="BN168" s="5" t="s">
        <v>76</v>
      </c>
      <c r="BO168" s="5" t="e">
        <f t="shared" si="2"/>
        <v>#VALUE!</v>
      </c>
      <c r="BP168" s="5" t="s">
        <v>117</v>
      </c>
      <c r="BQ168" s="5" t="s">
        <v>76</v>
      </c>
      <c r="BR168" s="5" t="s">
        <v>118</v>
      </c>
    </row>
    <row r="169" s="1" customFormat="1" spans="1:70">
      <c r="A169" s="1">
        <v>3288404</v>
      </c>
      <c r="B169" s="1" t="s">
        <v>670</v>
      </c>
      <c r="D169" s="4">
        <v>44974</v>
      </c>
      <c r="E169" s="4">
        <v>44986</v>
      </c>
      <c r="F169" s="7">
        <v>14421</v>
      </c>
      <c r="G169" s="1">
        <v>37</v>
      </c>
      <c r="H169" s="1">
        <v>10</v>
      </c>
      <c r="I169" s="1">
        <v>53</v>
      </c>
      <c r="J169" s="1">
        <v>10</v>
      </c>
      <c r="K169" s="1">
        <v>57</v>
      </c>
      <c r="L169" s="1">
        <v>30</v>
      </c>
      <c r="M169" s="1">
        <v>0.74</v>
      </c>
      <c r="N169" s="1">
        <v>18.7</v>
      </c>
      <c r="O169" s="7">
        <v>14421</v>
      </c>
      <c r="P169" s="4">
        <v>44974</v>
      </c>
      <c r="Q169" s="4">
        <v>44986</v>
      </c>
      <c r="R169" s="1" t="s">
        <v>80</v>
      </c>
      <c r="AO169" s="7">
        <v>14421</v>
      </c>
      <c r="AP169" s="5">
        <v>9.3</v>
      </c>
      <c r="AQ169" s="5">
        <v>88</v>
      </c>
      <c r="AR169" s="5">
        <v>33</v>
      </c>
      <c r="AS169" s="5">
        <v>79.9</v>
      </c>
      <c r="AT169" s="5">
        <v>88</v>
      </c>
      <c r="AU169" s="5">
        <v>95</v>
      </c>
      <c r="AV169" s="5">
        <v>9.7</v>
      </c>
      <c r="AW169" s="5">
        <v>9.65</v>
      </c>
      <c r="AX169" s="5">
        <v>50</v>
      </c>
      <c r="AY169" s="5" t="s">
        <v>125</v>
      </c>
      <c r="AZ169" s="5" t="s">
        <v>75</v>
      </c>
      <c r="BA169" s="5" t="s">
        <v>76</v>
      </c>
      <c r="BB169" s="12" t="s">
        <v>76</v>
      </c>
      <c r="BC169" s="5">
        <v>5.09</v>
      </c>
      <c r="BD169" s="5">
        <v>88</v>
      </c>
      <c r="BE169" s="5" t="s">
        <v>76</v>
      </c>
      <c r="BF169" s="5" t="s">
        <v>76</v>
      </c>
      <c r="BG169" s="15">
        <v>38.1</v>
      </c>
      <c r="BH169" s="5" t="s">
        <v>76</v>
      </c>
      <c r="BI169" s="5">
        <v>99</v>
      </c>
      <c r="BJ169" s="5">
        <v>30</v>
      </c>
      <c r="BK169" s="5">
        <v>169</v>
      </c>
      <c r="BL169" s="5">
        <v>84</v>
      </c>
      <c r="BM169" s="5">
        <v>75</v>
      </c>
      <c r="BN169" s="5">
        <v>170</v>
      </c>
      <c r="BO169" s="5">
        <f t="shared" si="2"/>
        <v>25.9515570934256</v>
      </c>
      <c r="BP169" s="5" t="s">
        <v>168</v>
      </c>
      <c r="BQ169" s="5">
        <v>5.9</v>
      </c>
      <c r="BR169" s="5">
        <v>4633</v>
      </c>
    </row>
    <row r="170" s="1" customFormat="1" spans="1:70">
      <c r="A170" s="1">
        <v>3259199</v>
      </c>
      <c r="B170" s="1" t="s">
        <v>671</v>
      </c>
      <c r="D170" s="4">
        <v>44927</v>
      </c>
      <c r="E170" s="4">
        <v>44939</v>
      </c>
      <c r="F170" s="7">
        <v>14427</v>
      </c>
      <c r="G170" s="1">
        <v>33</v>
      </c>
      <c r="H170" s="1">
        <v>7</v>
      </c>
      <c r="I170" s="1">
        <v>53</v>
      </c>
      <c r="J170" s="1">
        <v>9</v>
      </c>
      <c r="K170" s="1">
        <v>33</v>
      </c>
      <c r="M170" s="1">
        <v>0.26</v>
      </c>
      <c r="N170" s="1">
        <v>4.4</v>
      </c>
      <c r="O170" s="7">
        <v>14427</v>
      </c>
      <c r="P170" s="4">
        <v>44927</v>
      </c>
      <c r="Q170" s="4">
        <v>44939</v>
      </c>
      <c r="R170" s="1" t="s">
        <v>80</v>
      </c>
      <c r="AO170" s="7">
        <v>14427</v>
      </c>
      <c r="AP170" s="5">
        <v>9.7</v>
      </c>
      <c r="AQ170" s="5">
        <v>148</v>
      </c>
      <c r="AR170" s="5">
        <v>47.7</v>
      </c>
      <c r="AS170" s="5">
        <v>86.7</v>
      </c>
      <c r="AT170" s="5">
        <v>61</v>
      </c>
      <c r="AU170" s="5">
        <v>51</v>
      </c>
      <c r="AV170" s="5">
        <v>37.7</v>
      </c>
      <c r="AW170" s="5">
        <v>9.93</v>
      </c>
      <c r="AX170" s="5">
        <v>97</v>
      </c>
      <c r="AY170" s="5">
        <v>90.31</v>
      </c>
      <c r="AZ170" s="5">
        <v>5.05</v>
      </c>
      <c r="BA170" s="5">
        <v>3.07</v>
      </c>
      <c r="BB170" s="12" t="s">
        <v>76</v>
      </c>
      <c r="BC170" s="5">
        <v>4.81</v>
      </c>
      <c r="BD170" s="5">
        <v>148</v>
      </c>
      <c r="BE170" s="5">
        <v>0.52</v>
      </c>
      <c r="BF170" s="5">
        <v>1.99</v>
      </c>
      <c r="BG170" s="15">
        <v>36.6</v>
      </c>
      <c r="BH170" s="5">
        <v>85</v>
      </c>
      <c r="BI170" s="5">
        <v>85</v>
      </c>
      <c r="BJ170" s="5">
        <v>20</v>
      </c>
      <c r="BK170" s="5">
        <v>132</v>
      </c>
      <c r="BL170" s="5">
        <v>74</v>
      </c>
      <c r="BM170" s="5">
        <v>60</v>
      </c>
      <c r="BN170" s="5">
        <v>155</v>
      </c>
      <c r="BO170" s="5">
        <f t="shared" si="2"/>
        <v>24.9739854318418</v>
      </c>
      <c r="BP170" s="5" t="s">
        <v>323</v>
      </c>
      <c r="BQ170" s="5">
        <v>5.9</v>
      </c>
      <c r="BR170" s="5">
        <v>7996</v>
      </c>
    </row>
    <row r="171" s="1" customFormat="1" spans="1:70">
      <c r="A171" s="1" t="s">
        <v>672</v>
      </c>
      <c r="B171" s="1" t="s">
        <v>673</v>
      </c>
      <c r="D171" s="4">
        <v>44927</v>
      </c>
      <c r="E171" s="4">
        <v>44940</v>
      </c>
      <c r="F171" s="7">
        <v>14442</v>
      </c>
      <c r="G171" s="1">
        <v>36</v>
      </c>
      <c r="H171" s="1">
        <v>10</v>
      </c>
      <c r="I171" s="1">
        <v>47</v>
      </c>
      <c r="J171" s="1">
        <v>10</v>
      </c>
      <c r="K171" s="1">
        <v>37</v>
      </c>
      <c r="N171" s="1">
        <v>14.3</v>
      </c>
      <c r="O171" s="7">
        <v>14442</v>
      </c>
      <c r="P171" s="4">
        <v>44927</v>
      </c>
      <c r="Q171" s="4">
        <v>44940</v>
      </c>
      <c r="R171" s="1" t="s">
        <v>80</v>
      </c>
      <c r="AO171" s="7">
        <v>14442</v>
      </c>
      <c r="AP171" s="5" t="s">
        <v>674</v>
      </c>
      <c r="AQ171" s="5" t="s">
        <v>675</v>
      </c>
      <c r="AR171" s="5" t="s">
        <v>676</v>
      </c>
      <c r="AS171" s="5" t="s">
        <v>677</v>
      </c>
      <c r="AT171" s="5" t="s">
        <v>382</v>
      </c>
      <c r="AU171" s="5" t="s">
        <v>613</v>
      </c>
      <c r="AV171" s="5" t="s">
        <v>678</v>
      </c>
      <c r="AW171" s="5" t="s">
        <v>679</v>
      </c>
      <c r="AX171" s="5" t="s">
        <v>680</v>
      </c>
      <c r="AY171" s="5" t="s">
        <v>76</v>
      </c>
      <c r="AZ171" s="5" t="s">
        <v>470</v>
      </c>
      <c r="BA171" s="5" t="s">
        <v>681</v>
      </c>
      <c r="BB171" s="12" t="s">
        <v>76</v>
      </c>
      <c r="BC171" s="5" t="s">
        <v>682</v>
      </c>
      <c r="BD171" s="5" t="s">
        <v>675</v>
      </c>
      <c r="BE171" s="5" t="s">
        <v>76</v>
      </c>
      <c r="BF171" s="5" t="s">
        <v>76</v>
      </c>
      <c r="BG171" s="15">
        <v>36.5</v>
      </c>
      <c r="BH171" s="5" t="s">
        <v>215</v>
      </c>
      <c r="BI171" s="5" t="s">
        <v>76</v>
      </c>
      <c r="BJ171" s="5" t="s">
        <v>445</v>
      </c>
      <c r="BK171" s="5" t="s">
        <v>683</v>
      </c>
      <c r="BL171" s="5" t="s">
        <v>483</v>
      </c>
      <c r="BM171" s="5" t="s">
        <v>215</v>
      </c>
      <c r="BN171" s="5">
        <v>170</v>
      </c>
      <c r="BO171" s="5">
        <f t="shared" si="2"/>
        <v>20.7612456747405</v>
      </c>
      <c r="BP171" s="5" t="s">
        <v>684</v>
      </c>
      <c r="BQ171" s="5" t="s">
        <v>685</v>
      </c>
      <c r="BR171" s="5">
        <v>2732</v>
      </c>
    </row>
    <row r="172" s="1" customFormat="1" spans="1:70">
      <c r="A172" s="1" t="s">
        <v>686</v>
      </c>
      <c r="B172" s="1" t="s">
        <v>687</v>
      </c>
      <c r="D172" s="4">
        <v>44965</v>
      </c>
      <c r="E172" s="4">
        <v>44974</v>
      </c>
      <c r="F172" s="7">
        <v>14447</v>
      </c>
      <c r="G172" s="1">
        <v>52</v>
      </c>
      <c r="H172" s="1">
        <v>9</v>
      </c>
      <c r="I172" s="1">
        <v>47</v>
      </c>
      <c r="J172" s="1">
        <v>9</v>
      </c>
      <c r="K172" s="1">
        <v>63</v>
      </c>
      <c r="L172" s="1">
        <v>34</v>
      </c>
      <c r="O172" s="7">
        <v>14447</v>
      </c>
      <c r="P172" s="4">
        <v>44965</v>
      </c>
      <c r="Q172" s="4">
        <v>44974</v>
      </c>
      <c r="R172" s="1" t="s">
        <v>73</v>
      </c>
      <c r="AO172" s="7">
        <v>14447</v>
      </c>
      <c r="AP172" s="5" t="s">
        <v>381</v>
      </c>
      <c r="AQ172" s="5" t="s">
        <v>290</v>
      </c>
      <c r="AR172" s="5" t="s">
        <v>688</v>
      </c>
      <c r="AS172" s="5" t="s">
        <v>689</v>
      </c>
      <c r="AT172" s="5" t="s">
        <v>551</v>
      </c>
      <c r="AU172" s="5" t="s">
        <v>183</v>
      </c>
      <c r="AV172" s="5" t="s">
        <v>446</v>
      </c>
      <c r="AW172" s="5" t="s">
        <v>690</v>
      </c>
      <c r="AX172" s="5" t="s">
        <v>691</v>
      </c>
      <c r="AY172" s="5" t="s">
        <v>125</v>
      </c>
      <c r="AZ172" s="5" t="s">
        <v>692</v>
      </c>
      <c r="BA172" s="5" t="s">
        <v>693</v>
      </c>
      <c r="BB172" s="12" t="s">
        <v>76</v>
      </c>
      <c r="BC172" s="5" t="s">
        <v>694</v>
      </c>
      <c r="BD172" s="5" t="s">
        <v>290</v>
      </c>
      <c r="BE172" s="5" t="s">
        <v>497</v>
      </c>
      <c r="BF172" s="5" t="s">
        <v>695</v>
      </c>
      <c r="BG172" s="15">
        <v>36.5</v>
      </c>
      <c r="BH172" s="5" t="s">
        <v>137</v>
      </c>
      <c r="BI172" s="5" t="s">
        <v>137</v>
      </c>
      <c r="BJ172" s="5" t="s">
        <v>445</v>
      </c>
      <c r="BK172" s="5" t="s">
        <v>696</v>
      </c>
      <c r="BL172" s="5" t="s">
        <v>290</v>
      </c>
      <c r="BM172" s="5" t="s">
        <v>352</v>
      </c>
      <c r="BN172" s="5">
        <v>156</v>
      </c>
      <c r="BO172" s="5">
        <f t="shared" si="2"/>
        <v>22.6002629848784</v>
      </c>
      <c r="BP172" s="5" t="s">
        <v>501</v>
      </c>
      <c r="BQ172" s="5" t="s">
        <v>697</v>
      </c>
      <c r="BR172" s="5">
        <v>6723</v>
      </c>
    </row>
    <row r="173" s="1" customFormat="1" spans="1:70">
      <c r="A173" s="1">
        <v>3268094</v>
      </c>
      <c r="B173" s="1" t="s">
        <v>698</v>
      </c>
      <c r="D173" s="4">
        <v>44943</v>
      </c>
      <c r="E173" s="4">
        <v>44954</v>
      </c>
      <c r="F173" s="7">
        <v>14453</v>
      </c>
      <c r="G173" s="1">
        <v>35</v>
      </c>
      <c r="H173" s="1">
        <v>9</v>
      </c>
      <c r="I173" s="1">
        <v>47</v>
      </c>
      <c r="J173" s="1">
        <v>9</v>
      </c>
      <c r="K173" s="1">
        <v>59</v>
      </c>
      <c r="L173" s="1">
        <v>31</v>
      </c>
      <c r="M173" s="1">
        <v>1.14</v>
      </c>
      <c r="N173" s="1">
        <v>11.8</v>
      </c>
      <c r="O173" s="7">
        <v>14453</v>
      </c>
      <c r="P173" s="4">
        <v>44943</v>
      </c>
      <c r="Q173" s="4">
        <v>44954</v>
      </c>
      <c r="R173" s="1" t="s">
        <v>73</v>
      </c>
      <c r="AO173" s="7">
        <v>14453</v>
      </c>
      <c r="AP173" s="5">
        <v>4.6</v>
      </c>
      <c r="AQ173" s="5">
        <v>91</v>
      </c>
      <c r="AR173" s="5">
        <v>42</v>
      </c>
      <c r="AS173" s="5">
        <v>65.7</v>
      </c>
      <c r="AT173" s="5">
        <v>21</v>
      </c>
      <c r="AU173" s="5">
        <v>15</v>
      </c>
      <c r="AV173" s="5">
        <v>32.2</v>
      </c>
      <c r="AW173" s="5">
        <v>5.51</v>
      </c>
      <c r="AX173" s="5">
        <v>61</v>
      </c>
      <c r="AY173" s="5" t="s">
        <v>76</v>
      </c>
      <c r="AZ173" s="5" t="s">
        <v>75</v>
      </c>
      <c r="BA173" s="5">
        <v>3.86</v>
      </c>
      <c r="BB173" s="12" t="s">
        <v>76</v>
      </c>
      <c r="BC173" s="5">
        <v>3.38</v>
      </c>
      <c r="BD173" s="5">
        <v>91</v>
      </c>
      <c r="BE173" s="5">
        <v>1.17</v>
      </c>
      <c r="BF173" s="5">
        <v>2.23</v>
      </c>
      <c r="BG173" s="15">
        <v>36.6</v>
      </c>
      <c r="BH173" s="5" t="s">
        <v>76</v>
      </c>
      <c r="BI173" s="5">
        <v>76</v>
      </c>
      <c r="BJ173" s="5">
        <v>34</v>
      </c>
      <c r="BK173" s="5">
        <v>167</v>
      </c>
      <c r="BL173" s="5">
        <v>94</v>
      </c>
      <c r="BM173" s="5">
        <v>41</v>
      </c>
      <c r="BN173" s="5">
        <v>155</v>
      </c>
      <c r="BO173" s="5">
        <f t="shared" si="2"/>
        <v>17.0655567117586</v>
      </c>
      <c r="BP173" s="5" t="s">
        <v>168</v>
      </c>
      <c r="BQ173" s="5" t="s">
        <v>76</v>
      </c>
      <c r="BR173" s="5">
        <v>6521</v>
      </c>
    </row>
    <row r="174" s="1" customFormat="1" spans="1:70">
      <c r="A174" s="1">
        <v>3247664</v>
      </c>
      <c r="B174" s="1" t="s">
        <v>699</v>
      </c>
      <c r="D174" s="4">
        <v>44896</v>
      </c>
      <c r="E174" s="4">
        <v>44903</v>
      </c>
      <c r="F174" s="7">
        <v>14462</v>
      </c>
      <c r="G174" s="1">
        <v>39</v>
      </c>
      <c r="H174" s="1">
        <v>9</v>
      </c>
      <c r="I174" s="1">
        <v>45</v>
      </c>
      <c r="J174" s="1">
        <v>8</v>
      </c>
      <c r="K174" s="1">
        <v>60</v>
      </c>
      <c r="L174" s="1">
        <v>31</v>
      </c>
      <c r="M174" s="1">
        <v>1.11</v>
      </c>
      <c r="N174" s="1">
        <v>17.3</v>
      </c>
      <c r="O174" s="7">
        <v>14462</v>
      </c>
      <c r="P174" s="4">
        <v>44896</v>
      </c>
      <c r="Q174" s="4">
        <v>44903</v>
      </c>
      <c r="R174" s="1" t="s">
        <v>73</v>
      </c>
      <c r="AO174" s="7">
        <v>14462</v>
      </c>
      <c r="AP174" s="5">
        <v>9547.9</v>
      </c>
      <c r="AQ174" s="5">
        <v>98</v>
      </c>
      <c r="AR174" s="5">
        <v>33.4</v>
      </c>
      <c r="AS174" s="5">
        <v>5.2</v>
      </c>
      <c r="AT174" s="5">
        <v>26</v>
      </c>
      <c r="AU174" s="5">
        <v>6</v>
      </c>
      <c r="AV174" s="5">
        <v>35.2</v>
      </c>
      <c r="AW174" s="5">
        <v>7.33</v>
      </c>
      <c r="AX174" s="5">
        <v>163</v>
      </c>
      <c r="AY174" s="5">
        <v>45.15</v>
      </c>
      <c r="AZ174" s="5" t="s">
        <v>75</v>
      </c>
      <c r="BA174" s="5">
        <v>4.73</v>
      </c>
      <c r="BB174" s="12" t="s">
        <v>76</v>
      </c>
      <c r="BC174" s="5">
        <v>5.32</v>
      </c>
      <c r="BD174" s="5">
        <v>98</v>
      </c>
      <c r="BE174" s="5">
        <v>0.93</v>
      </c>
      <c r="BF174" s="5">
        <v>2.73</v>
      </c>
      <c r="BG174" s="15">
        <v>36.6</v>
      </c>
      <c r="BH174" s="5">
        <v>63</v>
      </c>
      <c r="BI174" s="5" t="s">
        <v>76</v>
      </c>
      <c r="BJ174" s="5">
        <v>17</v>
      </c>
      <c r="BK174" s="5">
        <v>91</v>
      </c>
      <c r="BL174" s="5">
        <v>42</v>
      </c>
      <c r="BM174" s="5" t="s">
        <v>77</v>
      </c>
      <c r="BN174" s="5" t="s">
        <v>77</v>
      </c>
      <c r="BO174" s="5" t="e">
        <f t="shared" si="2"/>
        <v>#VALUE!</v>
      </c>
      <c r="BP174" s="5" t="s">
        <v>78</v>
      </c>
      <c r="BQ174" s="5">
        <v>5.9</v>
      </c>
      <c r="BR174" s="5">
        <v>4744</v>
      </c>
    </row>
    <row r="175" s="1" customFormat="1" spans="1:70">
      <c r="A175" s="1">
        <v>3297971</v>
      </c>
      <c r="B175" s="1" t="s">
        <v>700</v>
      </c>
      <c r="D175" s="4">
        <v>44987</v>
      </c>
      <c r="E175" s="4">
        <v>44995</v>
      </c>
      <c r="F175" s="7">
        <v>14498</v>
      </c>
      <c r="G175" s="1">
        <v>42</v>
      </c>
      <c r="H175" s="1">
        <v>8</v>
      </c>
      <c r="I175" s="1">
        <v>53</v>
      </c>
      <c r="J175" s="1">
        <v>8</v>
      </c>
      <c r="K175" s="1">
        <v>38</v>
      </c>
      <c r="L175" s="1">
        <v>18</v>
      </c>
      <c r="M175" s="1">
        <v>1.3</v>
      </c>
      <c r="N175" s="1">
        <v>38.3</v>
      </c>
      <c r="O175" s="7">
        <v>14498</v>
      </c>
      <c r="P175" s="4">
        <v>44987</v>
      </c>
      <c r="Q175" s="4">
        <v>44995</v>
      </c>
      <c r="R175" s="1" t="s">
        <v>73</v>
      </c>
      <c r="AO175" s="7">
        <v>14498</v>
      </c>
      <c r="AP175" s="5">
        <v>8.9</v>
      </c>
      <c r="AQ175" s="5">
        <v>125</v>
      </c>
      <c r="AR175" s="5">
        <v>36.1</v>
      </c>
      <c r="AS175" s="5" t="s">
        <v>76</v>
      </c>
      <c r="AT175" s="5">
        <v>115</v>
      </c>
      <c r="AU175" s="5">
        <v>51</v>
      </c>
      <c r="AV175" s="5">
        <v>37.8</v>
      </c>
      <c r="AW175" s="5">
        <v>8.61</v>
      </c>
      <c r="AX175" s="5">
        <v>70</v>
      </c>
      <c r="AY175" s="5">
        <v>73.68</v>
      </c>
      <c r="AZ175" s="5" t="s">
        <v>375</v>
      </c>
      <c r="BA175" s="5">
        <v>4.98</v>
      </c>
      <c r="BB175" s="12" t="s">
        <v>76</v>
      </c>
      <c r="BC175" s="5">
        <v>4.19</v>
      </c>
      <c r="BD175" s="5">
        <v>125</v>
      </c>
      <c r="BE175" s="5">
        <v>0.78</v>
      </c>
      <c r="BF175" s="5">
        <v>3.43</v>
      </c>
      <c r="BG175" s="15">
        <v>36.5</v>
      </c>
      <c r="BH175" s="5">
        <v>75</v>
      </c>
      <c r="BI175" s="5">
        <v>75</v>
      </c>
      <c r="BJ175" s="5">
        <v>18</v>
      </c>
      <c r="BK175" s="5">
        <v>150</v>
      </c>
      <c r="BL175" s="5">
        <v>90</v>
      </c>
      <c r="BM175" s="5">
        <v>60</v>
      </c>
      <c r="BN175" s="5">
        <v>162</v>
      </c>
      <c r="BO175" s="5">
        <f t="shared" si="2"/>
        <v>22.8623685413809</v>
      </c>
      <c r="BP175" s="5" t="s">
        <v>107</v>
      </c>
      <c r="BQ175" s="5">
        <v>9.6</v>
      </c>
      <c r="BR175" s="5">
        <v>2851.36</v>
      </c>
    </row>
    <row r="176" s="1" customFormat="1" spans="1:70">
      <c r="A176" s="1" t="s">
        <v>701</v>
      </c>
      <c r="B176" s="1" t="s">
        <v>702</v>
      </c>
      <c r="D176" s="4">
        <v>44996</v>
      </c>
      <c r="E176" s="4">
        <v>45007</v>
      </c>
      <c r="F176" s="7">
        <v>14506</v>
      </c>
      <c r="G176" s="1">
        <v>42</v>
      </c>
      <c r="H176" s="1">
        <v>10</v>
      </c>
      <c r="I176" s="1">
        <v>47</v>
      </c>
      <c r="J176" s="1">
        <v>10</v>
      </c>
      <c r="K176" s="1">
        <v>67</v>
      </c>
      <c r="L176" s="1">
        <v>37</v>
      </c>
      <c r="M176" s="1">
        <v>1.48</v>
      </c>
      <c r="N176" s="1">
        <v>15.7</v>
      </c>
      <c r="O176" s="7">
        <v>14506</v>
      </c>
      <c r="P176" s="4">
        <v>44996</v>
      </c>
      <c r="Q176" s="4">
        <v>45007</v>
      </c>
      <c r="R176" s="1" t="s">
        <v>80</v>
      </c>
      <c r="AO176" s="7">
        <v>14506</v>
      </c>
      <c r="AP176" s="5" t="s">
        <v>478</v>
      </c>
      <c r="AQ176" s="5" t="s">
        <v>336</v>
      </c>
      <c r="AR176" s="5" t="s">
        <v>703</v>
      </c>
      <c r="AS176" s="5" t="s">
        <v>704</v>
      </c>
      <c r="AT176" s="5" t="s">
        <v>224</v>
      </c>
      <c r="AU176" s="5" t="s">
        <v>483</v>
      </c>
      <c r="AV176" s="5" t="s">
        <v>705</v>
      </c>
      <c r="AW176" s="5" t="s">
        <v>706</v>
      </c>
      <c r="AX176" s="5" t="s">
        <v>295</v>
      </c>
      <c r="AY176" s="5" t="s">
        <v>707</v>
      </c>
      <c r="AZ176" s="5" t="s">
        <v>75</v>
      </c>
      <c r="BA176" s="5" t="s">
        <v>76</v>
      </c>
      <c r="BB176" s="12" t="s">
        <v>76</v>
      </c>
      <c r="BC176" s="5" t="s">
        <v>708</v>
      </c>
      <c r="BD176" s="5" t="s">
        <v>336</v>
      </c>
      <c r="BE176" s="5" t="s">
        <v>76</v>
      </c>
      <c r="BF176" s="5" t="s">
        <v>76</v>
      </c>
      <c r="BG176" s="15">
        <v>36.5</v>
      </c>
      <c r="BH176" s="5" t="s">
        <v>192</v>
      </c>
      <c r="BI176" s="5" t="s">
        <v>192</v>
      </c>
      <c r="BJ176" s="5" t="s">
        <v>293</v>
      </c>
      <c r="BK176" s="5" t="s">
        <v>709</v>
      </c>
      <c r="BL176" s="5" t="s">
        <v>129</v>
      </c>
      <c r="BM176" s="5">
        <v>70</v>
      </c>
      <c r="BN176" s="5">
        <v>165</v>
      </c>
      <c r="BO176" s="5">
        <f t="shared" si="2"/>
        <v>25.7116620752984</v>
      </c>
      <c r="BP176" s="5" t="s">
        <v>412</v>
      </c>
      <c r="BQ176" s="5" t="s">
        <v>76</v>
      </c>
      <c r="BR176" s="5">
        <v>6632</v>
      </c>
    </row>
    <row r="177" s="1" customFormat="1" spans="1:70">
      <c r="A177" s="1">
        <v>3496686</v>
      </c>
      <c r="B177" s="1" t="s">
        <v>710</v>
      </c>
      <c r="D177" s="4">
        <v>45262</v>
      </c>
      <c r="E177" s="4">
        <v>45267</v>
      </c>
      <c r="F177" s="7">
        <v>14530</v>
      </c>
      <c r="G177" s="1">
        <v>53</v>
      </c>
      <c r="H177" s="1">
        <v>10</v>
      </c>
      <c r="I177" s="1">
        <v>48</v>
      </c>
      <c r="J177" s="1">
        <v>10</v>
      </c>
      <c r="K177" s="1">
        <v>46</v>
      </c>
      <c r="L177" s="1">
        <v>22</v>
      </c>
      <c r="M177" s="1">
        <v>1.91</v>
      </c>
      <c r="O177" s="7">
        <v>14530</v>
      </c>
      <c r="P177" s="4">
        <v>45262</v>
      </c>
      <c r="Q177" s="4">
        <v>45267</v>
      </c>
      <c r="R177" s="1" t="s">
        <v>73</v>
      </c>
      <c r="AO177" s="7">
        <v>14530</v>
      </c>
      <c r="AP177" s="5">
        <v>5.8</v>
      </c>
      <c r="AQ177" s="5">
        <v>79</v>
      </c>
      <c r="AR177" s="5">
        <v>28</v>
      </c>
      <c r="AS177" s="5" t="s">
        <v>76</v>
      </c>
      <c r="AT177" s="5">
        <v>26</v>
      </c>
      <c r="AU177" s="5">
        <v>9</v>
      </c>
      <c r="AV177" s="5">
        <v>34</v>
      </c>
      <c r="AW177" s="5">
        <v>8.49</v>
      </c>
      <c r="AX177" s="5">
        <v>71</v>
      </c>
      <c r="AY177" s="5">
        <v>91.32</v>
      </c>
      <c r="AZ177" s="5" t="s">
        <v>75</v>
      </c>
      <c r="BA177" s="5">
        <v>2.14</v>
      </c>
      <c r="BB177" s="12" t="s">
        <v>76</v>
      </c>
      <c r="BC177" s="5">
        <v>3.89</v>
      </c>
      <c r="BD177" s="5">
        <v>79</v>
      </c>
      <c r="BE177" s="5">
        <v>0.78</v>
      </c>
      <c r="BF177" s="5">
        <v>0.92</v>
      </c>
      <c r="BG177" s="5" t="s">
        <v>76</v>
      </c>
      <c r="BH177" s="5" t="s">
        <v>76</v>
      </c>
      <c r="BI177" s="5" t="s">
        <v>76</v>
      </c>
      <c r="BJ177" s="5" t="s">
        <v>76</v>
      </c>
      <c r="BK177" s="5" t="s">
        <v>76</v>
      </c>
      <c r="BL177" s="5" t="s">
        <v>76</v>
      </c>
      <c r="BM177" s="5" t="s">
        <v>76</v>
      </c>
      <c r="BN177" s="5" t="s">
        <v>76</v>
      </c>
      <c r="BO177" s="5" t="e">
        <f t="shared" si="2"/>
        <v>#VALUE!</v>
      </c>
      <c r="BP177" s="5" t="s">
        <v>618</v>
      </c>
      <c r="BQ177" s="5">
        <v>5.5</v>
      </c>
      <c r="BR177" s="5">
        <v>5468</v>
      </c>
    </row>
    <row r="178" s="1" customFormat="1" spans="1:70">
      <c r="A178" s="1">
        <v>3515688</v>
      </c>
      <c r="B178" s="1" t="s">
        <v>711</v>
      </c>
      <c r="D178" s="4">
        <v>45290</v>
      </c>
      <c r="E178" s="4">
        <v>45294</v>
      </c>
      <c r="F178" s="7">
        <v>14552</v>
      </c>
      <c r="G178" s="1">
        <v>45</v>
      </c>
      <c r="H178" s="1">
        <v>9</v>
      </c>
      <c r="I178" s="1">
        <v>59</v>
      </c>
      <c r="J178" s="1">
        <v>9</v>
      </c>
      <c r="K178" s="1">
        <v>38</v>
      </c>
      <c r="L178" s="1">
        <v>19</v>
      </c>
      <c r="N178" s="1">
        <v>16.3</v>
      </c>
      <c r="O178" s="7">
        <v>14552</v>
      </c>
      <c r="P178" s="4">
        <v>45290</v>
      </c>
      <c r="Q178" s="4">
        <v>45294</v>
      </c>
      <c r="R178" s="1" t="s">
        <v>73</v>
      </c>
      <c r="AO178" s="7">
        <v>14552</v>
      </c>
      <c r="AP178" s="5">
        <v>4.1</v>
      </c>
      <c r="AQ178" s="5">
        <v>125</v>
      </c>
      <c r="AR178" s="5">
        <v>37.7</v>
      </c>
      <c r="AS178" s="5">
        <v>0.4</v>
      </c>
      <c r="AT178" s="5">
        <v>13</v>
      </c>
      <c r="AU178" s="5">
        <v>8</v>
      </c>
      <c r="AV178" s="5">
        <v>38.7</v>
      </c>
      <c r="AW178" s="5">
        <v>7.5</v>
      </c>
      <c r="AX178" s="5">
        <v>73</v>
      </c>
      <c r="AY178" s="5">
        <v>70.03</v>
      </c>
      <c r="AZ178" s="5">
        <v>5.09</v>
      </c>
      <c r="BA178" s="5">
        <v>3.62</v>
      </c>
      <c r="BB178" s="12" t="s">
        <v>76</v>
      </c>
      <c r="BC178" s="5">
        <v>3.29</v>
      </c>
      <c r="BD178" s="5">
        <v>125</v>
      </c>
      <c r="BE178" s="5">
        <v>1.13</v>
      </c>
      <c r="BF178" s="5">
        <v>1.39</v>
      </c>
      <c r="BG178" s="15">
        <v>36.6</v>
      </c>
      <c r="BH178" s="5">
        <v>70</v>
      </c>
      <c r="BI178" s="5">
        <v>70</v>
      </c>
      <c r="BJ178" s="5">
        <v>18</v>
      </c>
      <c r="BK178" s="5">
        <v>99</v>
      </c>
      <c r="BL178" s="5">
        <v>70</v>
      </c>
      <c r="BM178" s="5">
        <v>40</v>
      </c>
      <c r="BN178" s="5">
        <v>158</v>
      </c>
      <c r="BO178" s="5">
        <f t="shared" si="2"/>
        <v>16.0230732254446</v>
      </c>
      <c r="BP178" s="5" t="s">
        <v>156</v>
      </c>
      <c r="BQ178" s="5" t="s">
        <v>76</v>
      </c>
      <c r="BR178" s="5">
        <v>7853</v>
      </c>
    </row>
    <row r="179" s="1" customFormat="1" spans="1:70">
      <c r="A179" s="1">
        <v>3262815</v>
      </c>
      <c r="B179" s="1" t="s">
        <v>712</v>
      </c>
      <c r="D179" s="4">
        <v>44932</v>
      </c>
      <c r="E179" s="4">
        <v>44946</v>
      </c>
      <c r="F179" s="7">
        <v>14552</v>
      </c>
      <c r="G179" s="1">
        <v>44</v>
      </c>
      <c r="H179" s="1">
        <v>10</v>
      </c>
      <c r="I179" s="1">
        <v>56</v>
      </c>
      <c r="J179" s="1">
        <v>10</v>
      </c>
      <c r="K179" s="1">
        <v>39</v>
      </c>
      <c r="N179" s="1">
        <v>14.2</v>
      </c>
      <c r="O179" s="7">
        <v>14552</v>
      </c>
      <c r="P179" s="4">
        <v>44932</v>
      </c>
      <c r="Q179" s="4">
        <v>44946</v>
      </c>
      <c r="R179" s="1" t="s">
        <v>80</v>
      </c>
      <c r="AO179" s="7">
        <v>14552</v>
      </c>
      <c r="AP179" s="5">
        <v>9</v>
      </c>
      <c r="AQ179" s="5">
        <v>150</v>
      </c>
      <c r="AR179" s="5">
        <v>47.8</v>
      </c>
      <c r="AS179" s="5">
        <v>4.2</v>
      </c>
      <c r="AT179" s="5">
        <v>6</v>
      </c>
      <c r="AU179" s="5">
        <v>44</v>
      </c>
      <c r="AV179" s="5">
        <v>41</v>
      </c>
      <c r="AW179" s="5">
        <v>27.22</v>
      </c>
      <c r="AX179" s="5">
        <v>94</v>
      </c>
      <c r="AY179" s="5">
        <v>70.67</v>
      </c>
      <c r="AZ179" s="5">
        <v>7.21</v>
      </c>
      <c r="BA179" s="5" t="s">
        <v>76</v>
      </c>
      <c r="BB179" s="12" t="s">
        <v>76</v>
      </c>
      <c r="BC179" s="5">
        <v>4.94</v>
      </c>
      <c r="BD179" s="5">
        <v>150</v>
      </c>
      <c r="BE179" s="5" t="s">
        <v>76</v>
      </c>
      <c r="BF179" s="5" t="s">
        <v>76</v>
      </c>
      <c r="BG179" s="15">
        <v>36.5</v>
      </c>
      <c r="BH179" s="5">
        <v>67</v>
      </c>
      <c r="BI179" s="5">
        <v>67</v>
      </c>
      <c r="BJ179" s="5">
        <v>15</v>
      </c>
      <c r="BK179" s="5">
        <v>130</v>
      </c>
      <c r="BL179" s="5">
        <v>73</v>
      </c>
      <c r="BM179" s="5">
        <v>75</v>
      </c>
      <c r="BN179" s="5">
        <v>175</v>
      </c>
      <c r="BO179" s="5">
        <f t="shared" si="2"/>
        <v>24.4897959183673</v>
      </c>
      <c r="BP179" s="5" t="s">
        <v>258</v>
      </c>
      <c r="BQ179" s="5">
        <v>6.7</v>
      </c>
      <c r="BR179" s="5">
        <v>7216</v>
      </c>
    </row>
    <row r="180" s="1" customFormat="1" spans="1:70">
      <c r="A180" s="1">
        <v>3316809</v>
      </c>
      <c r="B180" s="1" t="s">
        <v>713</v>
      </c>
      <c r="D180" s="4">
        <v>45013</v>
      </c>
      <c r="E180" s="4">
        <v>45034</v>
      </c>
      <c r="F180" s="7">
        <v>14562</v>
      </c>
      <c r="G180" s="1">
        <v>41</v>
      </c>
      <c r="H180" s="1">
        <v>10</v>
      </c>
      <c r="I180" s="1">
        <v>50</v>
      </c>
      <c r="J180" s="1">
        <v>10</v>
      </c>
      <c r="K180" s="1">
        <v>49</v>
      </c>
      <c r="L180" s="1">
        <v>25</v>
      </c>
      <c r="M180" s="1">
        <v>0.76</v>
      </c>
      <c r="O180" s="7">
        <v>14562</v>
      </c>
      <c r="P180" s="4">
        <v>45013</v>
      </c>
      <c r="Q180" s="4">
        <v>45034</v>
      </c>
      <c r="R180" s="1" t="s">
        <v>80</v>
      </c>
      <c r="AO180" s="7">
        <v>14562</v>
      </c>
      <c r="AP180" s="5">
        <v>9.9</v>
      </c>
      <c r="AQ180" s="5">
        <v>97</v>
      </c>
      <c r="AR180" s="5">
        <v>57</v>
      </c>
      <c r="AS180" s="5">
        <v>78.5</v>
      </c>
      <c r="AT180" s="5">
        <v>74</v>
      </c>
      <c r="AU180" s="5">
        <v>84</v>
      </c>
      <c r="AV180" s="5">
        <v>39.6</v>
      </c>
      <c r="AW180" s="5">
        <v>9.87</v>
      </c>
      <c r="AX180" s="5">
        <v>97</v>
      </c>
      <c r="AY180" s="5" t="s">
        <v>125</v>
      </c>
      <c r="AZ180" s="5" t="s">
        <v>75</v>
      </c>
      <c r="BA180" s="5">
        <v>2.98</v>
      </c>
      <c r="BB180" s="12" t="s">
        <v>76</v>
      </c>
      <c r="BC180" s="5">
        <v>5.91</v>
      </c>
      <c r="BD180" s="5">
        <v>97</v>
      </c>
      <c r="BE180" s="5">
        <v>1.32</v>
      </c>
      <c r="BF180" s="5">
        <v>1.34</v>
      </c>
      <c r="BG180" s="15">
        <v>36.7</v>
      </c>
      <c r="BH180" s="5">
        <v>144</v>
      </c>
      <c r="BI180" s="5">
        <v>144</v>
      </c>
      <c r="BJ180" s="5">
        <v>19</v>
      </c>
      <c r="BK180" s="5">
        <v>118</v>
      </c>
      <c r="BL180" s="5">
        <v>61</v>
      </c>
      <c r="BM180" s="5">
        <v>60</v>
      </c>
      <c r="BN180" s="5">
        <v>168</v>
      </c>
      <c r="BO180" s="5">
        <f t="shared" si="2"/>
        <v>21.2585034013605</v>
      </c>
      <c r="BP180" s="5" t="s">
        <v>117</v>
      </c>
      <c r="BQ180" s="5">
        <v>5.6</v>
      </c>
      <c r="BR180" s="5">
        <v>9763</v>
      </c>
    </row>
    <row r="181" s="1" customFormat="1" spans="1:70">
      <c r="A181" s="1">
        <v>3278386</v>
      </c>
      <c r="B181" s="1" t="s">
        <v>714</v>
      </c>
      <c r="D181" s="4">
        <v>44961</v>
      </c>
      <c r="E181" s="4">
        <v>44967</v>
      </c>
      <c r="F181" s="7">
        <v>14567</v>
      </c>
      <c r="G181" s="1">
        <v>42</v>
      </c>
      <c r="H181" s="1">
        <v>9</v>
      </c>
      <c r="I181" s="1">
        <v>54</v>
      </c>
      <c r="J181" s="1">
        <v>9</v>
      </c>
      <c r="K181" s="1">
        <v>6</v>
      </c>
      <c r="L181" s="1">
        <v>33</v>
      </c>
      <c r="M181" s="1">
        <v>2.31</v>
      </c>
      <c r="N181" s="1">
        <v>18.2</v>
      </c>
      <c r="O181" s="7">
        <v>14567</v>
      </c>
      <c r="P181" s="4">
        <v>44961</v>
      </c>
      <c r="Q181" s="4">
        <v>44967</v>
      </c>
      <c r="R181" s="1" t="s">
        <v>80</v>
      </c>
      <c r="AO181" s="7">
        <v>14567</v>
      </c>
      <c r="AP181" s="5">
        <v>4.4</v>
      </c>
      <c r="AQ181" s="5">
        <v>103</v>
      </c>
      <c r="AR181" s="5">
        <v>31.8</v>
      </c>
      <c r="AS181" s="5">
        <v>2.5</v>
      </c>
      <c r="AT181" s="5">
        <v>13</v>
      </c>
      <c r="AU181" s="5">
        <v>6</v>
      </c>
      <c r="AV181" s="5">
        <v>33.5</v>
      </c>
      <c r="AW181" s="5">
        <v>9.2</v>
      </c>
      <c r="AX181" s="5">
        <v>82</v>
      </c>
      <c r="AY181" s="5" t="s">
        <v>76</v>
      </c>
      <c r="AZ181" s="5">
        <v>8.38</v>
      </c>
      <c r="BA181" s="5">
        <v>4.2</v>
      </c>
      <c r="BB181" s="12" t="s">
        <v>76</v>
      </c>
      <c r="BC181" s="5">
        <v>4.02</v>
      </c>
      <c r="BD181" s="5">
        <v>103</v>
      </c>
      <c r="BE181" s="5" t="s">
        <v>76</v>
      </c>
      <c r="BF181" s="5" t="s">
        <v>76</v>
      </c>
      <c r="BG181" s="15">
        <v>36.5</v>
      </c>
      <c r="BH181" s="5">
        <v>68</v>
      </c>
      <c r="BI181" s="5" t="s">
        <v>76</v>
      </c>
      <c r="BJ181" s="5">
        <v>18</v>
      </c>
      <c r="BK181" s="5">
        <v>155</v>
      </c>
      <c r="BL181" s="5">
        <v>98</v>
      </c>
      <c r="BM181" s="5">
        <v>55</v>
      </c>
      <c r="BN181" s="5">
        <v>180</v>
      </c>
      <c r="BO181" s="5">
        <f t="shared" si="2"/>
        <v>16.9753086419753</v>
      </c>
      <c r="BP181" s="5" t="s">
        <v>149</v>
      </c>
      <c r="BQ181" s="5" t="s">
        <v>76</v>
      </c>
      <c r="BR181" s="5">
        <v>3175</v>
      </c>
    </row>
    <row r="182" s="1" customFormat="1" spans="1:70">
      <c r="A182" s="1">
        <v>3309096</v>
      </c>
      <c r="B182" s="1" t="s">
        <v>715</v>
      </c>
      <c r="D182" s="4">
        <v>45002</v>
      </c>
      <c r="E182" s="4">
        <v>45008</v>
      </c>
      <c r="F182" s="7">
        <v>14597</v>
      </c>
      <c r="G182" s="1">
        <v>46</v>
      </c>
      <c r="H182" s="1">
        <v>8</v>
      </c>
      <c r="I182" s="1">
        <v>47</v>
      </c>
      <c r="J182" s="1">
        <v>8</v>
      </c>
      <c r="K182" s="1">
        <v>59</v>
      </c>
      <c r="L182" s="1">
        <v>31</v>
      </c>
      <c r="N182" s="1">
        <v>18.1</v>
      </c>
      <c r="O182" s="7">
        <v>14597</v>
      </c>
      <c r="P182" s="4">
        <v>45002</v>
      </c>
      <c r="Q182" s="4">
        <v>45008</v>
      </c>
      <c r="R182" s="1" t="s">
        <v>73</v>
      </c>
      <c r="AO182" s="7">
        <v>14597</v>
      </c>
      <c r="AP182" s="5">
        <v>6.1</v>
      </c>
      <c r="AQ182" s="5">
        <v>145</v>
      </c>
      <c r="AR182" s="5">
        <v>49</v>
      </c>
      <c r="AS182" s="5">
        <v>29.4</v>
      </c>
      <c r="AT182" s="5">
        <v>24</v>
      </c>
      <c r="AU182" s="5">
        <v>34</v>
      </c>
      <c r="AV182" s="5">
        <v>41.7</v>
      </c>
      <c r="AW182" s="5">
        <v>7.27</v>
      </c>
      <c r="AX182" s="5">
        <v>64</v>
      </c>
      <c r="AY182" s="5">
        <v>81.71</v>
      </c>
      <c r="AZ182" s="5" t="s">
        <v>75</v>
      </c>
      <c r="BA182" s="5" t="s">
        <v>76</v>
      </c>
      <c r="BB182" s="12" t="s">
        <v>76</v>
      </c>
      <c r="BC182" s="5">
        <v>4.65</v>
      </c>
      <c r="BD182" s="5">
        <v>145</v>
      </c>
      <c r="BE182" s="5" t="s">
        <v>76</v>
      </c>
      <c r="BF182" s="5" t="s">
        <v>76</v>
      </c>
      <c r="BG182" s="15">
        <v>37</v>
      </c>
      <c r="BH182" s="5">
        <v>81</v>
      </c>
      <c r="BI182" s="5">
        <v>81</v>
      </c>
      <c r="BJ182" s="5">
        <v>24</v>
      </c>
      <c r="BK182" s="5">
        <v>131</v>
      </c>
      <c r="BL182" s="5">
        <v>84</v>
      </c>
      <c r="BM182" s="5">
        <v>66</v>
      </c>
      <c r="BN182" s="5">
        <v>160</v>
      </c>
      <c r="BO182" s="5">
        <f t="shared" si="2"/>
        <v>25.78125</v>
      </c>
      <c r="BP182" s="5" t="s">
        <v>109</v>
      </c>
      <c r="BQ182" s="5" t="s">
        <v>76</v>
      </c>
      <c r="BR182" s="5">
        <v>2889</v>
      </c>
    </row>
    <row r="183" s="1" customFormat="1" spans="1:70">
      <c r="A183" s="1">
        <v>3329156</v>
      </c>
      <c r="B183" s="1" t="s">
        <v>716</v>
      </c>
      <c r="D183" s="4">
        <v>45030</v>
      </c>
      <c r="E183" s="4">
        <v>45034</v>
      </c>
      <c r="F183" s="7">
        <v>14600</v>
      </c>
      <c r="G183" s="1">
        <v>43</v>
      </c>
      <c r="H183" s="1">
        <v>10</v>
      </c>
      <c r="I183" s="1">
        <v>65</v>
      </c>
      <c r="J183" s="1">
        <v>10</v>
      </c>
      <c r="K183" s="1">
        <v>42</v>
      </c>
      <c r="L183" s="1">
        <v>21</v>
      </c>
      <c r="M183" s="1">
        <v>0.56</v>
      </c>
      <c r="N183" s="1">
        <v>19.7</v>
      </c>
      <c r="O183" s="7">
        <v>14600</v>
      </c>
      <c r="P183" s="4">
        <v>45030</v>
      </c>
      <c r="Q183" s="4">
        <v>45034</v>
      </c>
      <c r="R183" s="1" t="s">
        <v>80</v>
      </c>
      <c r="AO183" s="7">
        <v>14600</v>
      </c>
      <c r="AP183" s="5">
        <v>3.5</v>
      </c>
      <c r="AQ183" s="5">
        <v>114</v>
      </c>
      <c r="AR183" s="5">
        <v>36</v>
      </c>
      <c r="AS183" s="5">
        <v>0.6</v>
      </c>
      <c r="AT183" s="5">
        <v>18</v>
      </c>
      <c r="AU183" s="5">
        <v>16</v>
      </c>
      <c r="AV183" s="5">
        <v>35.4</v>
      </c>
      <c r="AW183" s="5">
        <v>7.25</v>
      </c>
      <c r="AX183" s="5">
        <v>76</v>
      </c>
      <c r="AY183" s="5">
        <v>90.31</v>
      </c>
      <c r="AZ183" s="5" t="s">
        <v>75</v>
      </c>
      <c r="BA183" s="5">
        <v>3.56</v>
      </c>
      <c r="BB183" s="12" t="s">
        <v>76</v>
      </c>
      <c r="BC183" s="5">
        <v>4.05</v>
      </c>
      <c r="BD183" s="5">
        <v>114</v>
      </c>
      <c r="BE183" s="5">
        <v>1.05</v>
      </c>
      <c r="BF183" s="5">
        <v>2</v>
      </c>
      <c r="BG183" s="15">
        <v>36.5</v>
      </c>
      <c r="BH183" s="5">
        <v>64</v>
      </c>
      <c r="BI183" s="5">
        <v>64</v>
      </c>
      <c r="BJ183" s="5">
        <v>16</v>
      </c>
      <c r="BK183" s="5">
        <v>127</v>
      </c>
      <c r="BL183" s="5">
        <v>74</v>
      </c>
      <c r="BM183" s="5">
        <v>70</v>
      </c>
      <c r="BN183" s="5">
        <v>174</v>
      </c>
      <c r="BO183" s="5">
        <f t="shared" si="2"/>
        <v>23.1206235962479</v>
      </c>
      <c r="BP183" s="5" t="s">
        <v>107</v>
      </c>
      <c r="BQ183" s="5" t="s">
        <v>76</v>
      </c>
      <c r="BR183" s="5">
        <v>1815</v>
      </c>
    </row>
    <row r="184" s="1" customFormat="1" spans="1:70">
      <c r="A184" s="1">
        <v>3252866</v>
      </c>
      <c r="B184" s="1" t="s">
        <v>717</v>
      </c>
      <c r="D184" s="4">
        <v>44907</v>
      </c>
      <c r="E184" s="4">
        <v>44909</v>
      </c>
      <c r="F184" s="7">
        <v>14603</v>
      </c>
      <c r="G184" s="1">
        <v>38</v>
      </c>
      <c r="H184" s="1">
        <v>9</v>
      </c>
      <c r="I184" s="1">
        <v>74</v>
      </c>
      <c r="J184" s="1">
        <v>9</v>
      </c>
      <c r="K184" s="1">
        <v>27</v>
      </c>
      <c r="L184" s="1">
        <v>13</v>
      </c>
      <c r="M184" s="1">
        <v>0.43</v>
      </c>
      <c r="N184" s="1">
        <v>12</v>
      </c>
      <c r="O184" s="7">
        <v>14603</v>
      </c>
      <c r="P184" s="4">
        <v>44907</v>
      </c>
      <c r="Q184" s="4">
        <v>44909</v>
      </c>
      <c r="R184" s="1" t="s">
        <v>73</v>
      </c>
      <c r="AO184" s="7">
        <v>14603</v>
      </c>
      <c r="AP184" s="5">
        <v>4.8</v>
      </c>
      <c r="AQ184" s="5">
        <v>129</v>
      </c>
      <c r="AR184" s="5">
        <v>41.5</v>
      </c>
      <c r="AS184" s="5" t="s">
        <v>76</v>
      </c>
      <c r="AT184" s="5">
        <v>39</v>
      </c>
      <c r="AU184" s="5">
        <v>16</v>
      </c>
      <c r="AV184" s="5">
        <v>44.6</v>
      </c>
      <c r="AW184" s="5">
        <v>6.1</v>
      </c>
      <c r="AX184" s="5">
        <v>73</v>
      </c>
      <c r="AY184" s="5">
        <v>70.37</v>
      </c>
      <c r="AZ184" s="5" t="s">
        <v>75</v>
      </c>
      <c r="BA184" s="5">
        <v>5.18</v>
      </c>
      <c r="BB184" s="12" t="s">
        <v>76</v>
      </c>
      <c r="BC184" s="5">
        <v>3.57</v>
      </c>
      <c r="BD184" s="5">
        <v>129</v>
      </c>
      <c r="BE184" s="5" t="s">
        <v>76</v>
      </c>
      <c r="BF184" s="5" t="s">
        <v>76</v>
      </c>
      <c r="BG184" s="15">
        <v>37</v>
      </c>
      <c r="BH184" s="5">
        <v>86</v>
      </c>
      <c r="BI184" s="5" t="s">
        <v>76</v>
      </c>
      <c r="BJ184" s="5">
        <v>17</v>
      </c>
      <c r="BK184" s="5">
        <v>119</v>
      </c>
      <c r="BL184" s="5">
        <v>57</v>
      </c>
      <c r="BM184" s="5">
        <v>57</v>
      </c>
      <c r="BN184" s="5">
        <v>163</v>
      </c>
      <c r="BO184" s="5">
        <f t="shared" si="2"/>
        <v>21.4535737137265</v>
      </c>
      <c r="BP184" s="5" t="s">
        <v>107</v>
      </c>
      <c r="BQ184" s="5" t="s">
        <v>76</v>
      </c>
      <c r="BR184" s="5">
        <v>9629</v>
      </c>
    </row>
    <row r="185" s="1" customFormat="1" spans="1:70">
      <c r="A185" s="1">
        <v>3255501</v>
      </c>
      <c r="B185" s="1" t="s">
        <v>718</v>
      </c>
      <c r="D185" s="4">
        <v>44919</v>
      </c>
      <c r="E185" s="4">
        <v>44925</v>
      </c>
      <c r="F185" s="7">
        <v>14603</v>
      </c>
      <c r="G185" s="1">
        <v>46</v>
      </c>
      <c r="H185" s="1">
        <v>10</v>
      </c>
      <c r="I185" s="1">
        <v>50</v>
      </c>
      <c r="J185" s="1">
        <v>10</v>
      </c>
      <c r="K185" s="1">
        <v>65</v>
      </c>
      <c r="L185" s="1">
        <v>35</v>
      </c>
      <c r="N185" s="1">
        <v>14.8</v>
      </c>
      <c r="O185" s="7">
        <v>14603</v>
      </c>
      <c r="P185" s="4">
        <v>44919</v>
      </c>
      <c r="Q185" s="4">
        <v>44925</v>
      </c>
      <c r="R185" s="1" t="s">
        <v>73</v>
      </c>
      <c r="AO185" s="7">
        <v>14603</v>
      </c>
      <c r="AP185" s="5">
        <v>2.6</v>
      </c>
      <c r="AQ185" s="5">
        <v>134</v>
      </c>
      <c r="AR185" s="5">
        <v>41.7</v>
      </c>
      <c r="AS185" s="5">
        <v>17.1</v>
      </c>
      <c r="AT185" s="5">
        <v>29</v>
      </c>
      <c r="AU185" s="5">
        <v>16</v>
      </c>
      <c r="AV185" s="5">
        <v>38.8</v>
      </c>
      <c r="AW185" s="5">
        <v>5.2</v>
      </c>
      <c r="AX185" s="5">
        <v>54</v>
      </c>
      <c r="AY185" s="5">
        <v>99.41</v>
      </c>
      <c r="AZ185" s="5">
        <v>5.72</v>
      </c>
      <c r="BA185" s="5">
        <v>4.14</v>
      </c>
      <c r="BB185" s="12" t="s">
        <v>76</v>
      </c>
      <c r="BC185" s="5">
        <v>2.97</v>
      </c>
      <c r="BD185" s="5">
        <v>134</v>
      </c>
      <c r="BE185" s="5">
        <v>1.21</v>
      </c>
      <c r="BF185" s="5">
        <v>2.48</v>
      </c>
      <c r="BG185" s="15">
        <v>36.3</v>
      </c>
      <c r="BH185" s="5">
        <v>60</v>
      </c>
      <c r="BI185" s="5" t="s">
        <v>76</v>
      </c>
      <c r="BJ185" s="5">
        <v>12</v>
      </c>
      <c r="BK185" s="5">
        <v>211</v>
      </c>
      <c r="BL185" s="5">
        <v>112</v>
      </c>
      <c r="BM185" s="5">
        <v>65</v>
      </c>
      <c r="BN185" s="5">
        <v>158</v>
      </c>
      <c r="BO185" s="5">
        <f t="shared" si="2"/>
        <v>26.0374939913475</v>
      </c>
      <c r="BP185" s="5" t="s">
        <v>357</v>
      </c>
      <c r="BQ185" s="5">
        <v>8.1</v>
      </c>
      <c r="BR185" s="5">
        <v>3388</v>
      </c>
    </row>
    <row r="186" s="1" customFormat="1" spans="1:70">
      <c r="A186" s="1">
        <v>3293416</v>
      </c>
      <c r="B186" s="1" t="s">
        <v>719</v>
      </c>
      <c r="D186" s="4">
        <v>44981</v>
      </c>
      <c r="E186" s="4">
        <v>44989</v>
      </c>
      <c r="F186" s="7">
        <v>14611</v>
      </c>
      <c r="G186" s="1">
        <v>42</v>
      </c>
      <c r="H186" s="1">
        <v>9</v>
      </c>
      <c r="I186" s="1">
        <v>46</v>
      </c>
      <c r="J186" s="1">
        <v>9</v>
      </c>
      <c r="K186" s="1">
        <v>51</v>
      </c>
      <c r="L186" s="1">
        <v>26</v>
      </c>
      <c r="M186" s="1">
        <v>2.07</v>
      </c>
      <c r="N186" s="1">
        <v>14.5</v>
      </c>
      <c r="O186" s="7">
        <v>14611</v>
      </c>
      <c r="P186" s="4">
        <v>44981</v>
      </c>
      <c r="Q186" s="4">
        <v>44989</v>
      </c>
      <c r="R186" s="1" t="s">
        <v>73</v>
      </c>
      <c r="AO186" s="7">
        <v>14611</v>
      </c>
      <c r="AP186" s="5">
        <v>6.1</v>
      </c>
      <c r="AQ186" s="5">
        <v>114</v>
      </c>
      <c r="AR186" s="5">
        <v>37.2</v>
      </c>
      <c r="AS186" s="5">
        <v>4.5</v>
      </c>
      <c r="AT186" s="5">
        <v>69</v>
      </c>
      <c r="AU186" s="5">
        <v>35</v>
      </c>
      <c r="AV186" s="5">
        <v>35.9</v>
      </c>
      <c r="AW186" s="5">
        <v>5.77</v>
      </c>
      <c r="AX186" s="5">
        <v>51</v>
      </c>
      <c r="AY186" s="5">
        <v>106.19</v>
      </c>
      <c r="AZ186" s="5" t="s">
        <v>75</v>
      </c>
      <c r="BA186" s="5">
        <v>3.18</v>
      </c>
      <c r="BB186" s="12" t="s">
        <v>76</v>
      </c>
      <c r="BC186" s="5">
        <v>4.12</v>
      </c>
      <c r="BD186" s="5">
        <v>114</v>
      </c>
      <c r="BE186" s="5">
        <v>1.21</v>
      </c>
      <c r="BF186" s="5">
        <v>1.45</v>
      </c>
      <c r="BG186" s="15">
        <v>36.3</v>
      </c>
      <c r="BH186" s="5">
        <v>70</v>
      </c>
      <c r="BI186" s="5">
        <v>70</v>
      </c>
      <c r="BJ186" s="5">
        <v>16</v>
      </c>
      <c r="BK186" s="5">
        <v>138</v>
      </c>
      <c r="BL186" s="5">
        <v>83</v>
      </c>
      <c r="BM186" s="5">
        <v>50</v>
      </c>
      <c r="BN186" s="5">
        <v>158</v>
      </c>
      <c r="BO186" s="5">
        <f t="shared" si="2"/>
        <v>20.0288415318058</v>
      </c>
      <c r="BP186" s="5" t="s">
        <v>121</v>
      </c>
      <c r="BQ186" s="5">
        <v>5.2</v>
      </c>
      <c r="BR186" s="5">
        <v>7275</v>
      </c>
    </row>
    <row r="187" s="1" customFormat="1" spans="1:70">
      <c r="A187" s="1">
        <v>3276436</v>
      </c>
      <c r="B187" s="1" t="s">
        <v>720</v>
      </c>
      <c r="D187" s="4">
        <v>44958</v>
      </c>
      <c r="E187" s="4">
        <v>44970</v>
      </c>
      <c r="F187" s="7">
        <v>14611</v>
      </c>
      <c r="G187" s="1">
        <v>45</v>
      </c>
      <c r="H187" s="1">
        <v>9</v>
      </c>
      <c r="I187" s="1">
        <v>38</v>
      </c>
      <c r="J187" s="1">
        <v>9</v>
      </c>
      <c r="K187" s="1">
        <v>59</v>
      </c>
      <c r="L187" s="1">
        <v>31</v>
      </c>
      <c r="N187" s="1">
        <v>9.4</v>
      </c>
      <c r="O187" s="7">
        <v>14611</v>
      </c>
      <c r="P187" s="4">
        <v>44958</v>
      </c>
      <c r="Q187" s="4">
        <v>44970</v>
      </c>
      <c r="R187" s="1" t="s">
        <v>80</v>
      </c>
      <c r="AO187" s="7">
        <v>14611</v>
      </c>
      <c r="AP187" s="5">
        <v>6.2</v>
      </c>
      <c r="AQ187" s="5">
        <v>174</v>
      </c>
      <c r="AR187" s="5">
        <v>56.5</v>
      </c>
      <c r="AS187" s="5" t="s">
        <v>81</v>
      </c>
      <c r="AT187" s="5">
        <v>22</v>
      </c>
      <c r="AU187" s="5">
        <v>8</v>
      </c>
      <c r="AV187" s="5">
        <v>36.1</v>
      </c>
      <c r="AW187" s="5">
        <v>7.98</v>
      </c>
      <c r="AX187" s="5">
        <v>92</v>
      </c>
      <c r="AY187" s="5">
        <v>75.27</v>
      </c>
      <c r="AZ187" s="5" t="s">
        <v>75</v>
      </c>
      <c r="BA187" s="5">
        <v>1.99</v>
      </c>
      <c r="BB187" s="12" t="s">
        <v>76</v>
      </c>
      <c r="BC187" s="5">
        <v>4.17</v>
      </c>
      <c r="BD187" s="5">
        <v>174</v>
      </c>
      <c r="BE187" s="5">
        <v>0.7</v>
      </c>
      <c r="BF187" s="5">
        <v>0.85</v>
      </c>
      <c r="BG187" s="15">
        <v>36.3</v>
      </c>
      <c r="BH187" s="5">
        <v>76</v>
      </c>
      <c r="BI187" s="5">
        <v>82</v>
      </c>
      <c r="BJ187" s="5">
        <v>20</v>
      </c>
      <c r="BK187" s="5">
        <v>116</v>
      </c>
      <c r="BL187" s="5">
        <v>75</v>
      </c>
      <c r="BM187" s="5">
        <v>0</v>
      </c>
      <c r="BN187" s="5">
        <v>0</v>
      </c>
      <c r="BO187" s="5" t="e">
        <f t="shared" si="2"/>
        <v>#DIV/0!</v>
      </c>
      <c r="BP187" s="5" t="s">
        <v>78</v>
      </c>
      <c r="BQ187" s="5">
        <v>6.5</v>
      </c>
      <c r="BR187" s="5">
        <v>4981</v>
      </c>
    </row>
    <row r="188" s="1" customFormat="1" spans="1:70">
      <c r="A188" s="1">
        <v>3302263</v>
      </c>
      <c r="B188" s="1" t="s">
        <v>721</v>
      </c>
      <c r="D188" s="4">
        <v>44993</v>
      </c>
      <c r="E188" s="4">
        <v>44998</v>
      </c>
      <c r="F188" s="7">
        <v>14612</v>
      </c>
      <c r="G188" s="1">
        <v>60</v>
      </c>
      <c r="H188" s="1">
        <v>10</v>
      </c>
      <c r="I188" s="1">
        <v>59</v>
      </c>
      <c r="J188" s="1">
        <v>10</v>
      </c>
      <c r="K188" s="1">
        <v>43</v>
      </c>
      <c r="L188" s="1">
        <v>22</v>
      </c>
      <c r="N188" s="1">
        <v>15.9</v>
      </c>
      <c r="O188" s="7">
        <v>14612</v>
      </c>
      <c r="P188" s="4">
        <v>44993</v>
      </c>
      <c r="Q188" s="4">
        <v>44998</v>
      </c>
      <c r="R188" s="1" t="s">
        <v>80</v>
      </c>
      <c r="AO188" s="7">
        <v>14612</v>
      </c>
      <c r="AP188" s="5">
        <v>4.2</v>
      </c>
      <c r="AQ188" s="5">
        <v>72</v>
      </c>
      <c r="AR188" s="5">
        <v>25.9</v>
      </c>
      <c r="AS188" s="5">
        <v>1</v>
      </c>
      <c r="AT188" s="5">
        <v>12</v>
      </c>
      <c r="AU188" s="5">
        <v>11</v>
      </c>
      <c r="AV188" s="5">
        <v>38.1</v>
      </c>
      <c r="AW188" s="5">
        <v>12.77</v>
      </c>
      <c r="AX188" s="5">
        <v>121</v>
      </c>
      <c r="AY188" s="5">
        <v>52.8</v>
      </c>
      <c r="AZ188" s="5">
        <v>4.38</v>
      </c>
      <c r="BA188" s="5">
        <v>2.97</v>
      </c>
      <c r="BB188" s="12" t="s">
        <v>76</v>
      </c>
      <c r="BC188" s="5">
        <v>4.7</v>
      </c>
      <c r="BD188" s="5">
        <v>72</v>
      </c>
      <c r="BE188" s="5">
        <v>0.88</v>
      </c>
      <c r="BF188" s="5">
        <v>1.6</v>
      </c>
      <c r="BG188" s="15">
        <v>36.1</v>
      </c>
      <c r="BH188" s="5">
        <v>82</v>
      </c>
      <c r="BI188" s="5" t="s">
        <v>76</v>
      </c>
      <c r="BJ188" s="5">
        <v>17</v>
      </c>
      <c r="BK188" s="5">
        <v>118</v>
      </c>
      <c r="BL188" s="5">
        <v>66</v>
      </c>
      <c r="BM188" s="5">
        <v>80</v>
      </c>
      <c r="BN188" s="5">
        <v>170</v>
      </c>
      <c r="BO188" s="5">
        <f t="shared" si="2"/>
        <v>27.681660899654</v>
      </c>
      <c r="BP188" s="5" t="s">
        <v>83</v>
      </c>
      <c r="BQ188" s="5" t="s">
        <v>76</v>
      </c>
      <c r="BR188" s="5">
        <v>3762</v>
      </c>
    </row>
    <row r="189" s="1" customFormat="1" spans="1:70">
      <c r="A189" s="1">
        <v>3261912</v>
      </c>
      <c r="B189" s="1" t="s">
        <v>722</v>
      </c>
      <c r="D189" s="4">
        <v>44931</v>
      </c>
      <c r="E189" s="4">
        <v>44939</v>
      </c>
      <c r="F189" s="7">
        <v>14614</v>
      </c>
      <c r="G189" s="1">
        <v>35</v>
      </c>
      <c r="I189" s="1">
        <v>54</v>
      </c>
      <c r="K189" s="1">
        <v>50</v>
      </c>
      <c r="L189" s="1">
        <v>26</v>
      </c>
      <c r="M189" s="1">
        <v>0.46</v>
      </c>
      <c r="N189" s="1">
        <v>11.2</v>
      </c>
      <c r="O189" s="7">
        <v>14614</v>
      </c>
      <c r="P189" s="4">
        <v>44931</v>
      </c>
      <c r="Q189" s="4">
        <v>44939</v>
      </c>
      <c r="R189" s="1" t="s">
        <v>80</v>
      </c>
      <c r="S189" s="1">
        <v>81</v>
      </c>
      <c r="T189" s="1" t="s">
        <v>723</v>
      </c>
      <c r="V189" s="1">
        <v>1</v>
      </c>
      <c r="Z189" s="1">
        <v>1</v>
      </c>
      <c r="AG189" s="1">
        <v>1</v>
      </c>
      <c r="AH189" s="1">
        <v>1</v>
      </c>
      <c r="AI189" s="1">
        <v>1</v>
      </c>
      <c r="AM189" s="1">
        <v>1</v>
      </c>
      <c r="AO189" s="7">
        <v>14614</v>
      </c>
      <c r="AP189" s="5">
        <v>4.5</v>
      </c>
      <c r="AQ189" s="5">
        <v>133</v>
      </c>
      <c r="AR189" s="5">
        <v>41.1</v>
      </c>
      <c r="AS189" s="5">
        <v>9.9</v>
      </c>
      <c r="AT189" s="5">
        <v>32</v>
      </c>
      <c r="AU189" s="5">
        <v>30</v>
      </c>
      <c r="AV189" s="5">
        <v>31.3</v>
      </c>
      <c r="AW189" s="5">
        <v>6.77</v>
      </c>
      <c r="AX189" s="5">
        <v>66</v>
      </c>
      <c r="AY189" s="5">
        <v>106.28</v>
      </c>
      <c r="AZ189" s="5">
        <v>5.5</v>
      </c>
      <c r="BA189" s="5">
        <v>2.99</v>
      </c>
      <c r="BB189" s="12" t="s">
        <v>76</v>
      </c>
      <c r="BC189" s="5">
        <v>3.61</v>
      </c>
      <c r="BD189" s="5">
        <v>133</v>
      </c>
      <c r="BE189" s="5">
        <v>0.82</v>
      </c>
      <c r="BF189" s="5">
        <v>1.96</v>
      </c>
      <c r="BG189" s="15">
        <v>36.3</v>
      </c>
      <c r="BH189" s="5">
        <v>70</v>
      </c>
      <c r="BI189" s="5">
        <v>70</v>
      </c>
      <c r="BJ189" s="5">
        <v>18</v>
      </c>
      <c r="BK189" s="5">
        <v>150</v>
      </c>
      <c r="BL189" s="5">
        <v>81</v>
      </c>
      <c r="BM189" s="5">
        <v>70</v>
      </c>
      <c r="BN189" s="5">
        <v>172</v>
      </c>
      <c r="BO189" s="5">
        <f t="shared" si="2"/>
        <v>23.6614386154678</v>
      </c>
      <c r="BP189" s="5" t="s">
        <v>121</v>
      </c>
      <c r="BQ189" s="5" t="s">
        <v>76</v>
      </c>
      <c r="BR189" s="5">
        <v>4016</v>
      </c>
    </row>
    <row r="190" s="1" customFormat="1" spans="1:70">
      <c r="A190" s="1">
        <v>3238606</v>
      </c>
      <c r="B190" s="1" t="s">
        <v>724</v>
      </c>
      <c r="D190" s="4">
        <v>44880</v>
      </c>
      <c r="E190" s="4">
        <v>44891</v>
      </c>
      <c r="F190" s="7">
        <v>14628</v>
      </c>
      <c r="G190" s="1">
        <v>39</v>
      </c>
      <c r="H190" s="1">
        <v>9</v>
      </c>
      <c r="I190" s="1">
        <v>47</v>
      </c>
      <c r="J190" s="1">
        <v>9</v>
      </c>
      <c r="K190" s="1">
        <v>31</v>
      </c>
      <c r="M190" s="1">
        <v>1.08</v>
      </c>
      <c r="N190" s="1">
        <v>27.1</v>
      </c>
      <c r="O190" s="7">
        <v>14628</v>
      </c>
      <c r="P190" s="4">
        <v>44880</v>
      </c>
      <c r="Q190" s="4">
        <v>44891</v>
      </c>
      <c r="R190" s="1" t="s">
        <v>73</v>
      </c>
      <c r="AO190" s="7">
        <v>14628</v>
      </c>
      <c r="AP190" s="5">
        <v>9.7</v>
      </c>
      <c r="AQ190" s="5">
        <v>96</v>
      </c>
      <c r="AR190" s="5">
        <v>41</v>
      </c>
      <c r="AS190" s="5">
        <v>72.5</v>
      </c>
      <c r="AT190" s="5">
        <v>85</v>
      </c>
      <c r="AU190" s="5">
        <v>85</v>
      </c>
      <c r="AV190" s="5">
        <v>37.4</v>
      </c>
      <c r="AW190" s="5">
        <v>8.49</v>
      </c>
      <c r="AX190" s="5">
        <v>88</v>
      </c>
      <c r="AY190" s="5">
        <v>91.77</v>
      </c>
      <c r="AZ190" s="5">
        <v>6.36</v>
      </c>
      <c r="BA190" s="5">
        <v>4.4</v>
      </c>
      <c r="BB190" s="12" t="s">
        <v>76</v>
      </c>
      <c r="BC190" s="5">
        <v>4.55</v>
      </c>
      <c r="BD190" s="5">
        <v>96</v>
      </c>
      <c r="BE190" s="5">
        <v>0.85</v>
      </c>
      <c r="BF190" s="5">
        <v>2.88</v>
      </c>
      <c r="BG190" s="15">
        <v>36.6</v>
      </c>
      <c r="BH190" s="5">
        <v>60</v>
      </c>
      <c r="BI190" s="5">
        <v>60</v>
      </c>
      <c r="BJ190" s="5">
        <v>22</v>
      </c>
      <c r="BK190" s="5">
        <v>98</v>
      </c>
      <c r="BL190" s="5">
        <v>61</v>
      </c>
      <c r="BM190" s="5">
        <v>70</v>
      </c>
      <c r="BN190" s="5">
        <v>155</v>
      </c>
      <c r="BO190" s="5">
        <f t="shared" si="2"/>
        <v>29.1363163371488</v>
      </c>
      <c r="BP190" s="5" t="s">
        <v>323</v>
      </c>
      <c r="BQ190" s="5">
        <v>4.9</v>
      </c>
      <c r="BR190" s="5">
        <v>9636</v>
      </c>
    </row>
    <row r="191" s="1" customFormat="1" spans="1:70">
      <c r="A191" s="1">
        <v>3308935</v>
      </c>
      <c r="B191" s="1" t="s">
        <v>724</v>
      </c>
      <c r="D191" s="4">
        <v>45002</v>
      </c>
      <c r="E191" s="4">
        <v>45010</v>
      </c>
      <c r="F191" s="7">
        <v>14628</v>
      </c>
      <c r="G191" s="1">
        <v>44</v>
      </c>
      <c r="H191" s="1">
        <v>8</v>
      </c>
      <c r="I191" s="1">
        <v>55</v>
      </c>
      <c r="J191" s="1">
        <v>8</v>
      </c>
      <c r="K191" s="1">
        <v>40</v>
      </c>
      <c r="L191" s="1">
        <v>20</v>
      </c>
      <c r="M191" s="1">
        <v>2.35</v>
      </c>
      <c r="N191" s="1">
        <v>39.7</v>
      </c>
      <c r="O191" s="7">
        <v>14628</v>
      </c>
      <c r="P191" s="4">
        <v>45002</v>
      </c>
      <c r="Q191" s="4">
        <v>45010</v>
      </c>
      <c r="R191" s="1" t="s">
        <v>73</v>
      </c>
      <c r="AO191" s="7">
        <v>14628</v>
      </c>
      <c r="AP191" s="5">
        <v>4.1</v>
      </c>
      <c r="AQ191" s="5">
        <v>120</v>
      </c>
      <c r="AR191" s="5">
        <v>36.8</v>
      </c>
      <c r="AS191" s="5" t="s">
        <v>81</v>
      </c>
      <c r="AT191" s="5">
        <v>21</v>
      </c>
      <c r="AU191" s="5">
        <v>15</v>
      </c>
      <c r="AV191" s="5">
        <v>44.7</v>
      </c>
      <c r="AW191" s="5">
        <v>3.35</v>
      </c>
      <c r="AX191" s="5">
        <v>56</v>
      </c>
      <c r="AY191" s="5">
        <v>95.32</v>
      </c>
      <c r="AZ191" s="5">
        <v>5</v>
      </c>
      <c r="BA191" s="5">
        <v>2.76</v>
      </c>
      <c r="BB191" s="12" t="s">
        <v>76</v>
      </c>
      <c r="BC191" s="5">
        <v>3.27</v>
      </c>
      <c r="BD191" s="5">
        <v>120</v>
      </c>
      <c r="BE191" s="5">
        <v>1.49</v>
      </c>
      <c r="BF191" s="5">
        <v>0.7</v>
      </c>
      <c r="BG191" s="15">
        <v>36.5</v>
      </c>
      <c r="BH191" s="5">
        <v>75</v>
      </c>
      <c r="BI191" s="5">
        <v>75</v>
      </c>
      <c r="BJ191" s="5">
        <v>17</v>
      </c>
      <c r="BK191" s="5">
        <v>143</v>
      </c>
      <c r="BL191" s="5">
        <v>81</v>
      </c>
      <c r="BM191" s="5">
        <v>75</v>
      </c>
      <c r="BN191" s="5">
        <v>155</v>
      </c>
      <c r="BO191" s="5">
        <f t="shared" si="2"/>
        <v>31.2174817898023</v>
      </c>
      <c r="BP191" s="5" t="s">
        <v>121</v>
      </c>
      <c r="BQ191" s="5">
        <v>4.8</v>
      </c>
      <c r="BR191" s="5">
        <v>8552</v>
      </c>
    </row>
    <row r="192" s="1" customFormat="1" spans="1:70">
      <c r="A192" s="1" t="s">
        <v>725</v>
      </c>
      <c r="B192" s="1" t="s">
        <v>726</v>
      </c>
      <c r="D192" s="4">
        <v>44902</v>
      </c>
      <c r="E192" s="4">
        <v>44910</v>
      </c>
      <c r="F192" s="7">
        <v>14629</v>
      </c>
      <c r="G192" s="1">
        <v>39</v>
      </c>
      <c r="H192" s="1">
        <v>9</v>
      </c>
      <c r="I192" s="1">
        <v>49</v>
      </c>
      <c r="J192" s="1">
        <v>9</v>
      </c>
      <c r="K192" s="1">
        <v>57</v>
      </c>
      <c r="L192" s="1">
        <v>30</v>
      </c>
      <c r="M192" s="1">
        <v>1.39</v>
      </c>
      <c r="N192" s="1">
        <v>9.9</v>
      </c>
      <c r="O192" s="7">
        <v>14629</v>
      </c>
      <c r="P192" s="4">
        <v>44902</v>
      </c>
      <c r="Q192" s="4">
        <v>44910</v>
      </c>
      <c r="R192" s="1" t="s">
        <v>73</v>
      </c>
      <c r="S192" s="1">
        <v>82</v>
      </c>
      <c r="T192" s="1" t="s">
        <v>727</v>
      </c>
      <c r="AC192" s="1">
        <v>1</v>
      </c>
      <c r="AI192" s="1">
        <v>1</v>
      </c>
      <c r="AM192" s="1">
        <v>1</v>
      </c>
      <c r="AO192" s="7">
        <v>14629</v>
      </c>
      <c r="AP192" s="5" t="s">
        <v>728</v>
      </c>
      <c r="AQ192" s="5" t="s">
        <v>407</v>
      </c>
      <c r="AR192" s="5" t="s">
        <v>729</v>
      </c>
      <c r="AS192" s="5" t="s">
        <v>76</v>
      </c>
      <c r="AT192" s="5" t="s">
        <v>93</v>
      </c>
      <c r="AU192" s="5" t="s">
        <v>93</v>
      </c>
      <c r="AV192" s="5" t="s">
        <v>730</v>
      </c>
      <c r="AW192" s="5" t="s">
        <v>731</v>
      </c>
      <c r="AX192" s="5" t="s">
        <v>207</v>
      </c>
      <c r="AY192" s="5" t="s">
        <v>76</v>
      </c>
      <c r="AZ192" s="5" t="s">
        <v>75</v>
      </c>
      <c r="BA192" s="5" t="s">
        <v>732</v>
      </c>
      <c r="BB192" s="12" t="s">
        <v>76</v>
      </c>
      <c r="BC192" s="5" t="s">
        <v>4</v>
      </c>
      <c r="BD192" s="5" t="s">
        <v>407</v>
      </c>
      <c r="BE192" s="5" t="s">
        <v>733</v>
      </c>
      <c r="BF192" s="5" t="s">
        <v>734</v>
      </c>
      <c r="BG192" s="15">
        <v>36.5</v>
      </c>
      <c r="BH192" s="5" t="s">
        <v>140</v>
      </c>
      <c r="BI192" s="5" t="s">
        <v>76</v>
      </c>
      <c r="BJ192" s="5" t="s">
        <v>101</v>
      </c>
      <c r="BK192" s="5" t="s">
        <v>683</v>
      </c>
      <c r="BL192" s="5" t="s">
        <v>336</v>
      </c>
      <c r="BM192" s="5" t="s">
        <v>195</v>
      </c>
      <c r="BN192" s="5">
        <v>155</v>
      </c>
      <c r="BO192" s="5">
        <f t="shared" si="2"/>
        <v>20.8116545265349</v>
      </c>
      <c r="BP192" s="5" t="s">
        <v>412</v>
      </c>
      <c r="BQ192" s="5" t="s">
        <v>76</v>
      </c>
      <c r="BR192" s="5">
        <v>7311</v>
      </c>
    </row>
    <row r="193" s="1" customFormat="1" spans="1:70">
      <c r="A193" s="1">
        <v>3318710</v>
      </c>
      <c r="B193" s="1" t="s">
        <v>735</v>
      </c>
      <c r="D193" s="4">
        <v>45016</v>
      </c>
      <c r="E193" s="4">
        <v>45026</v>
      </c>
      <c r="F193" s="7">
        <v>14631</v>
      </c>
      <c r="G193" s="1">
        <v>39</v>
      </c>
      <c r="H193" s="1">
        <v>10</v>
      </c>
      <c r="I193" s="1">
        <v>51</v>
      </c>
      <c r="J193" s="1">
        <v>10</v>
      </c>
      <c r="K193" s="1">
        <v>51</v>
      </c>
      <c r="L193" s="1">
        <v>26</v>
      </c>
      <c r="N193" s="1">
        <v>9.1</v>
      </c>
      <c r="O193" s="7">
        <v>14631</v>
      </c>
      <c r="P193" s="4">
        <v>45016</v>
      </c>
      <c r="Q193" s="4">
        <v>45026</v>
      </c>
      <c r="R193" s="1" t="s">
        <v>73</v>
      </c>
      <c r="AO193" s="7">
        <v>14631</v>
      </c>
      <c r="AP193" s="5">
        <v>8.3</v>
      </c>
      <c r="AQ193" s="5">
        <v>132</v>
      </c>
      <c r="AR193" s="5">
        <v>42.1</v>
      </c>
      <c r="AS193" s="5">
        <v>10.1</v>
      </c>
      <c r="AT193" s="5">
        <v>23</v>
      </c>
      <c r="AU193" s="5">
        <v>20</v>
      </c>
      <c r="AV193" s="5">
        <v>39.3</v>
      </c>
      <c r="AW193" s="5">
        <v>9.8</v>
      </c>
      <c r="AX193" s="5">
        <v>70</v>
      </c>
      <c r="AY193" s="5">
        <v>73.68</v>
      </c>
      <c r="AZ193" s="5" t="s">
        <v>375</v>
      </c>
      <c r="BA193" s="5">
        <v>4.69</v>
      </c>
      <c r="BB193" s="12" t="s">
        <v>76</v>
      </c>
      <c r="BC193" s="5">
        <v>4.68</v>
      </c>
      <c r="BD193" s="5">
        <v>132</v>
      </c>
      <c r="BE193" s="5">
        <v>0.95</v>
      </c>
      <c r="BF193" s="5">
        <v>2.64</v>
      </c>
      <c r="BG193" s="15">
        <v>36.6</v>
      </c>
      <c r="BH193" s="5">
        <v>73</v>
      </c>
      <c r="BI193" s="5" t="s">
        <v>76</v>
      </c>
      <c r="BJ193" s="5">
        <v>16</v>
      </c>
      <c r="BK193" s="5">
        <v>126</v>
      </c>
      <c r="BL193" s="5">
        <v>71</v>
      </c>
      <c r="BM193" s="5">
        <v>50</v>
      </c>
      <c r="BN193" s="5">
        <v>155</v>
      </c>
      <c r="BO193" s="5">
        <f t="shared" si="2"/>
        <v>20.8116545265349</v>
      </c>
      <c r="BP193" s="5" t="s">
        <v>107</v>
      </c>
      <c r="BQ193" s="5">
        <v>10.2</v>
      </c>
      <c r="BR193" s="5">
        <v>6798</v>
      </c>
    </row>
    <row r="194" s="1" customFormat="1" spans="1:70">
      <c r="A194" s="1">
        <v>3314113</v>
      </c>
      <c r="B194" s="1" t="s">
        <v>736</v>
      </c>
      <c r="D194" s="4">
        <v>45009</v>
      </c>
      <c r="E194" s="4">
        <v>45022</v>
      </c>
      <c r="F194" s="7">
        <v>14644</v>
      </c>
      <c r="G194" s="1">
        <v>40</v>
      </c>
      <c r="H194" s="1">
        <v>9</v>
      </c>
      <c r="I194" s="1">
        <v>55</v>
      </c>
      <c r="J194" s="1">
        <v>9</v>
      </c>
      <c r="K194" s="1">
        <v>29</v>
      </c>
      <c r="L194" s="1">
        <v>13</v>
      </c>
      <c r="M194" s="9">
        <v>1.5</v>
      </c>
      <c r="O194" s="7">
        <v>14644</v>
      </c>
      <c r="P194" s="4">
        <v>45009</v>
      </c>
      <c r="Q194" s="4">
        <v>45022</v>
      </c>
      <c r="R194" s="1" t="s">
        <v>73</v>
      </c>
      <c r="AO194" s="7">
        <v>14644</v>
      </c>
      <c r="AP194" s="5">
        <v>9.6</v>
      </c>
      <c r="AQ194" s="5">
        <v>99</v>
      </c>
      <c r="AR194" s="5">
        <v>37.2</v>
      </c>
      <c r="AS194" s="5">
        <v>9.9</v>
      </c>
      <c r="AT194" s="5">
        <v>78</v>
      </c>
      <c r="AU194" s="5">
        <v>871</v>
      </c>
      <c r="AV194" s="5">
        <v>35.4</v>
      </c>
      <c r="AW194" s="5">
        <v>18</v>
      </c>
      <c r="AX194" s="5">
        <v>152</v>
      </c>
      <c r="AY194" s="5">
        <v>39.18</v>
      </c>
      <c r="AZ194" s="5" t="s">
        <v>75</v>
      </c>
      <c r="BA194" s="5">
        <v>4.84</v>
      </c>
      <c r="BB194" s="12" t="s">
        <v>76</v>
      </c>
      <c r="BC194" s="5">
        <v>4.44</v>
      </c>
      <c r="BD194" s="5">
        <v>99</v>
      </c>
      <c r="BE194" s="5" t="s">
        <v>76</v>
      </c>
      <c r="BF194" s="5" t="s">
        <v>76</v>
      </c>
      <c r="BG194" s="15">
        <v>36.2</v>
      </c>
      <c r="BH194" s="5">
        <v>144</v>
      </c>
      <c r="BI194" s="5">
        <v>175</v>
      </c>
      <c r="BJ194" s="5">
        <v>30</v>
      </c>
      <c r="BK194" s="5">
        <v>155</v>
      </c>
      <c r="BL194" s="5">
        <v>103</v>
      </c>
      <c r="BM194" s="5">
        <v>40</v>
      </c>
      <c r="BN194" s="5">
        <v>155</v>
      </c>
      <c r="BO194" s="5">
        <f t="shared" si="2"/>
        <v>16.6493236212279</v>
      </c>
      <c r="BP194" s="5" t="s">
        <v>164</v>
      </c>
      <c r="BQ194" s="5">
        <v>5.5</v>
      </c>
      <c r="BR194" s="5" t="s">
        <v>118</v>
      </c>
    </row>
    <row r="195" s="1" customFormat="1" spans="1:70">
      <c r="A195" s="1" t="s">
        <v>737</v>
      </c>
      <c r="B195" s="1" t="s">
        <v>738</v>
      </c>
      <c r="D195" s="4">
        <v>44929</v>
      </c>
      <c r="E195" s="4">
        <v>44939</v>
      </c>
      <c r="F195" s="7">
        <v>14649</v>
      </c>
      <c r="G195" s="1">
        <v>41</v>
      </c>
      <c r="H195" s="1">
        <v>8</v>
      </c>
      <c r="I195" s="1">
        <v>49</v>
      </c>
      <c r="J195" s="1">
        <v>8</v>
      </c>
      <c r="K195" s="1">
        <v>53</v>
      </c>
      <c r="L195" s="1">
        <v>27</v>
      </c>
      <c r="N195" s="1">
        <v>13.1</v>
      </c>
      <c r="O195" s="7">
        <v>14649</v>
      </c>
      <c r="P195" s="4">
        <v>44929</v>
      </c>
      <c r="Q195" s="4">
        <v>44939</v>
      </c>
      <c r="R195" s="1" t="s">
        <v>73</v>
      </c>
      <c r="AO195" s="7">
        <v>14649</v>
      </c>
      <c r="AP195" s="5" t="s">
        <v>739</v>
      </c>
      <c r="AQ195" s="5" t="s">
        <v>740</v>
      </c>
      <c r="AR195" s="5" t="s">
        <v>741</v>
      </c>
      <c r="AS195" s="5" t="s">
        <v>81</v>
      </c>
      <c r="AT195" s="5" t="s">
        <v>742</v>
      </c>
      <c r="AU195" s="5" t="s">
        <v>225</v>
      </c>
      <c r="AV195" s="5" t="s">
        <v>743</v>
      </c>
      <c r="AW195" s="5" t="s">
        <v>744</v>
      </c>
      <c r="AX195" s="5" t="s">
        <v>205</v>
      </c>
      <c r="AY195" s="5" t="s">
        <v>76</v>
      </c>
      <c r="AZ195" s="5" t="s">
        <v>745</v>
      </c>
      <c r="BA195" s="5" t="s">
        <v>76</v>
      </c>
      <c r="BB195" s="12" t="s">
        <v>76</v>
      </c>
      <c r="BC195" s="5" t="s">
        <v>189</v>
      </c>
      <c r="BD195" s="5" t="s">
        <v>740</v>
      </c>
      <c r="BE195" s="5" t="s">
        <v>76</v>
      </c>
      <c r="BF195" s="5" t="s">
        <v>76</v>
      </c>
      <c r="BG195" s="15">
        <v>36</v>
      </c>
      <c r="BH195" s="5" t="s">
        <v>212</v>
      </c>
      <c r="BI195" s="5" t="s">
        <v>76</v>
      </c>
      <c r="BJ195" s="5" t="s">
        <v>101</v>
      </c>
      <c r="BK195" s="5" t="s">
        <v>746</v>
      </c>
      <c r="BL195" s="5" t="s">
        <v>295</v>
      </c>
      <c r="BM195" s="5" t="s">
        <v>384</v>
      </c>
      <c r="BN195" s="5">
        <v>150</v>
      </c>
      <c r="BO195" s="5">
        <f t="shared" ref="BO195:BO258" si="3">BM195/(BN195/100)^2</f>
        <v>18.6666666666667</v>
      </c>
      <c r="BP195" s="5" t="s">
        <v>747</v>
      </c>
      <c r="BQ195" s="5" t="s">
        <v>76</v>
      </c>
      <c r="BR195" s="5">
        <v>2788</v>
      </c>
    </row>
    <row r="196" s="1" customFormat="1" spans="1:70">
      <c r="A196" s="1">
        <v>3248854</v>
      </c>
      <c r="B196" s="1" t="s">
        <v>748</v>
      </c>
      <c r="D196" s="4">
        <v>44898</v>
      </c>
      <c r="E196" s="4">
        <v>44904</v>
      </c>
      <c r="F196" s="7">
        <v>14656</v>
      </c>
      <c r="G196" s="1">
        <v>46</v>
      </c>
      <c r="H196" s="1">
        <v>9</v>
      </c>
      <c r="I196" s="1">
        <v>62</v>
      </c>
      <c r="J196" s="1">
        <v>9</v>
      </c>
      <c r="K196" s="1">
        <v>45</v>
      </c>
      <c r="L196" s="1">
        <v>23</v>
      </c>
      <c r="N196" s="1">
        <v>9.5</v>
      </c>
      <c r="O196" s="7">
        <v>14656</v>
      </c>
      <c r="P196" s="4">
        <v>44898</v>
      </c>
      <c r="Q196" s="4">
        <v>44904</v>
      </c>
      <c r="R196" s="1" t="s">
        <v>80</v>
      </c>
      <c r="AO196" s="7">
        <v>14656</v>
      </c>
      <c r="AP196" s="5">
        <v>9.4</v>
      </c>
      <c r="AQ196" s="5">
        <v>132</v>
      </c>
      <c r="AR196" s="5">
        <v>41.6</v>
      </c>
      <c r="AS196" s="5">
        <v>4.1</v>
      </c>
      <c r="AT196" s="5">
        <v>40</v>
      </c>
      <c r="AU196" s="5">
        <v>27</v>
      </c>
      <c r="AV196" s="5">
        <v>39.3</v>
      </c>
      <c r="AW196" s="5">
        <v>9.6</v>
      </c>
      <c r="AX196" s="5">
        <v>76</v>
      </c>
      <c r="AY196" s="5" t="s">
        <v>76</v>
      </c>
      <c r="AZ196" s="5">
        <v>8.7</v>
      </c>
      <c r="BA196" s="5">
        <v>2.93</v>
      </c>
      <c r="BB196" s="12" t="s">
        <v>76</v>
      </c>
      <c r="BC196" s="5">
        <v>3.94</v>
      </c>
      <c r="BD196" s="5">
        <v>132</v>
      </c>
      <c r="BE196" s="5" t="s">
        <v>76</v>
      </c>
      <c r="BF196" s="5" t="s">
        <v>76</v>
      </c>
      <c r="BG196" s="15">
        <v>36.5</v>
      </c>
      <c r="BH196" s="5" t="s">
        <v>76</v>
      </c>
      <c r="BI196" s="5">
        <v>88</v>
      </c>
      <c r="BJ196" s="5">
        <v>18</v>
      </c>
      <c r="BK196" s="5">
        <v>160</v>
      </c>
      <c r="BL196" s="5">
        <v>98</v>
      </c>
      <c r="BM196" s="5">
        <v>65</v>
      </c>
      <c r="BN196" s="5">
        <v>175</v>
      </c>
      <c r="BO196" s="5">
        <f t="shared" si="3"/>
        <v>21.2244897959184</v>
      </c>
      <c r="BP196" s="5" t="s">
        <v>357</v>
      </c>
      <c r="BQ196" s="5" t="s">
        <v>76</v>
      </c>
      <c r="BR196" s="5">
        <v>2615</v>
      </c>
    </row>
    <row r="197" s="1" customFormat="1" spans="1:70">
      <c r="A197" s="1">
        <v>3256819</v>
      </c>
      <c r="B197" s="1" t="s">
        <v>749</v>
      </c>
      <c r="D197" s="4">
        <v>44922</v>
      </c>
      <c r="E197" s="4">
        <v>44933</v>
      </c>
      <c r="F197" s="7">
        <v>14675</v>
      </c>
      <c r="G197" s="1">
        <v>48</v>
      </c>
      <c r="H197" s="1">
        <v>10</v>
      </c>
      <c r="I197" s="1">
        <v>50</v>
      </c>
      <c r="K197" s="1">
        <v>63</v>
      </c>
      <c r="L197" s="1">
        <v>34</v>
      </c>
      <c r="N197" s="1">
        <v>15.6</v>
      </c>
      <c r="O197" s="7">
        <v>14675</v>
      </c>
      <c r="P197" s="4">
        <v>44922</v>
      </c>
      <c r="Q197" s="4">
        <v>44933</v>
      </c>
      <c r="R197" s="1" t="s">
        <v>73</v>
      </c>
      <c r="AO197" s="7">
        <v>14675</v>
      </c>
      <c r="AP197" s="5">
        <v>3.9</v>
      </c>
      <c r="AQ197" s="5">
        <v>124</v>
      </c>
      <c r="AR197" s="5">
        <v>40.8</v>
      </c>
      <c r="AS197" s="5" t="s">
        <v>76</v>
      </c>
      <c r="AT197" s="5">
        <v>18</v>
      </c>
      <c r="AU197" s="5">
        <v>8</v>
      </c>
      <c r="AV197" s="5">
        <v>35.5</v>
      </c>
      <c r="AW197" s="5">
        <v>4.98</v>
      </c>
      <c r="AX197" s="5">
        <v>56</v>
      </c>
      <c r="AY197" s="5">
        <v>95.56</v>
      </c>
      <c r="AZ197" s="5" t="s">
        <v>75</v>
      </c>
      <c r="BA197" s="5">
        <v>2.49</v>
      </c>
      <c r="BB197" s="12" t="s">
        <v>76</v>
      </c>
      <c r="BC197" s="5">
        <v>3.57</v>
      </c>
      <c r="BD197" s="5">
        <v>124</v>
      </c>
      <c r="BE197" s="5">
        <v>0.78</v>
      </c>
      <c r="BF197" s="5">
        <v>1.17</v>
      </c>
      <c r="BG197" s="15">
        <v>36.5</v>
      </c>
      <c r="BH197" s="5">
        <v>60</v>
      </c>
      <c r="BI197" s="5">
        <v>65</v>
      </c>
      <c r="BJ197" s="5">
        <v>18</v>
      </c>
      <c r="BK197" s="5">
        <v>128</v>
      </c>
      <c r="BL197" s="5">
        <v>70</v>
      </c>
      <c r="BM197" s="5">
        <v>60</v>
      </c>
      <c r="BN197" s="5">
        <v>160</v>
      </c>
      <c r="BO197" s="5">
        <f t="shared" si="3"/>
        <v>23.4375</v>
      </c>
      <c r="BP197" s="5" t="s">
        <v>107</v>
      </c>
      <c r="BQ197" s="5" t="s">
        <v>76</v>
      </c>
      <c r="BR197" s="5">
        <v>2040</v>
      </c>
    </row>
    <row r="198" s="1" customFormat="1" spans="1:70">
      <c r="A198" s="1">
        <v>3255503</v>
      </c>
      <c r="B198" s="1" t="s">
        <v>750</v>
      </c>
      <c r="D198" s="4">
        <v>44919</v>
      </c>
      <c r="E198" s="4">
        <v>44947</v>
      </c>
      <c r="F198" s="7">
        <v>14676</v>
      </c>
      <c r="G198" s="1">
        <v>43</v>
      </c>
      <c r="H198" s="1">
        <v>9</v>
      </c>
      <c r="I198" s="1">
        <v>46</v>
      </c>
      <c r="J198" s="1">
        <v>9</v>
      </c>
      <c r="K198" s="1">
        <v>60</v>
      </c>
      <c r="L198" s="1">
        <v>32</v>
      </c>
      <c r="M198" s="1">
        <v>0.57</v>
      </c>
      <c r="N198" s="1">
        <v>14.4</v>
      </c>
      <c r="O198" s="7">
        <v>14676</v>
      </c>
      <c r="P198" s="4">
        <v>44919</v>
      </c>
      <c r="Q198" s="4">
        <v>44947</v>
      </c>
      <c r="R198" s="1" t="s">
        <v>73</v>
      </c>
      <c r="S198" s="1">
        <v>82</v>
      </c>
      <c r="T198" s="1" t="s">
        <v>751</v>
      </c>
      <c r="V198" s="1">
        <v>1</v>
      </c>
      <c r="AC198" s="1">
        <v>1</v>
      </c>
      <c r="AG198" s="1">
        <v>1</v>
      </c>
      <c r="AH198" s="1">
        <v>1</v>
      </c>
      <c r="AK198" s="1">
        <v>1</v>
      </c>
      <c r="AM198" s="1">
        <v>1</v>
      </c>
      <c r="AO198" s="7">
        <v>14676</v>
      </c>
      <c r="AP198" s="5">
        <v>5.7</v>
      </c>
      <c r="AQ198" s="5">
        <v>98</v>
      </c>
      <c r="AR198" s="5">
        <v>35.7</v>
      </c>
      <c r="AS198" s="5">
        <v>9</v>
      </c>
      <c r="AT198" s="5">
        <v>92</v>
      </c>
      <c r="AU198" s="5">
        <v>96</v>
      </c>
      <c r="AV198" s="5">
        <v>36.2</v>
      </c>
      <c r="AW198" s="5">
        <v>7.8</v>
      </c>
      <c r="AX198" s="5">
        <v>66</v>
      </c>
      <c r="AY198" s="5" t="s">
        <v>125</v>
      </c>
      <c r="AZ198" s="5">
        <v>7.92</v>
      </c>
      <c r="BA198" s="5">
        <v>1.94</v>
      </c>
      <c r="BB198" s="12" t="s">
        <v>76</v>
      </c>
      <c r="BC198" s="5">
        <v>4.17</v>
      </c>
      <c r="BD198" s="5">
        <v>98</v>
      </c>
      <c r="BE198" s="5">
        <v>0.9</v>
      </c>
      <c r="BF198" s="5">
        <v>0.71</v>
      </c>
      <c r="BG198" s="15">
        <v>36.3</v>
      </c>
      <c r="BH198" s="5">
        <v>71</v>
      </c>
      <c r="BI198" s="5" t="s">
        <v>76</v>
      </c>
      <c r="BJ198" s="5">
        <v>15</v>
      </c>
      <c r="BK198" s="5">
        <v>136</v>
      </c>
      <c r="BL198" s="5">
        <v>83</v>
      </c>
      <c r="BM198" s="5">
        <v>75</v>
      </c>
      <c r="BN198" s="5">
        <v>165</v>
      </c>
      <c r="BO198" s="5">
        <f t="shared" si="3"/>
        <v>27.5482093663912</v>
      </c>
      <c r="BP198" s="5" t="s">
        <v>357</v>
      </c>
      <c r="BQ198" s="5" t="s">
        <v>76</v>
      </c>
      <c r="BR198" s="5">
        <v>3922</v>
      </c>
    </row>
    <row r="199" s="1" customFormat="1" spans="1:70">
      <c r="A199" s="1" t="s">
        <v>752</v>
      </c>
      <c r="B199" s="1" t="s">
        <v>753</v>
      </c>
      <c r="D199" s="4">
        <v>44966</v>
      </c>
      <c r="E199" s="4">
        <v>44986</v>
      </c>
      <c r="F199" s="7">
        <v>14678</v>
      </c>
      <c r="G199" s="1">
        <v>36</v>
      </c>
      <c r="H199" s="1">
        <v>10</v>
      </c>
      <c r="I199" s="1">
        <v>45</v>
      </c>
      <c r="J199" s="1">
        <v>9</v>
      </c>
      <c r="K199" s="1">
        <v>60</v>
      </c>
      <c r="L199" s="1">
        <v>32</v>
      </c>
      <c r="M199" s="1">
        <v>0.72</v>
      </c>
      <c r="N199" s="1">
        <v>16.7</v>
      </c>
      <c r="O199" s="7">
        <v>14678</v>
      </c>
      <c r="P199" s="4">
        <v>44966</v>
      </c>
      <c r="Q199" s="4">
        <v>44986</v>
      </c>
      <c r="R199" s="1" t="s">
        <v>73</v>
      </c>
      <c r="AO199" s="7">
        <v>14678</v>
      </c>
      <c r="AP199" s="5" t="s">
        <v>306</v>
      </c>
      <c r="AQ199" s="5" t="s">
        <v>243</v>
      </c>
      <c r="AR199" s="5" t="s">
        <v>754</v>
      </c>
      <c r="AS199" s="5" t="s">
        <v>76</v>
      </c>
      <c r="AT199" s="5" t="s">
        <v>613</v>
      </c>
      <c r="AU199" s="5" t="s">
        <v>755</v>
      </c>
      <c r="AV199" s="5" t="s">
        <v>756</v>
      </c>
      <c r="AW199" s="5" t="s">
        <v>757</v>
      </c>
      <c r="AX199" s="5" t="s">
        <v>295</v>
      </c>
      <c r="AY199" s="5" t="s">
        <v>125</v>
      </c>
      <c r="AZ199" s="5" t="s">
        <v>209</v>
      </c>
      <c r="BA199" s="5" t="s">
        <v>76</v>
      </c>
      <c r="BB199" s="12" t="s">
        <v>76</v>
      </c>
      <c r="BC199" s="5" t="s">
        <v>758</v>
      </c>
      <c r="BD199" s="5" t="s">
        <v>243</v>
      </c>
      <c r="BE199" s="5" t="s">
        <v>76</v>
      </c>
      <c r="BF199" s="5" t="s">
        <v>76</v>
      </c>
      <c r="BG199" s="15">
        <v>36.5</v>
      </c>
      <c r="BH199" s="5" t="s">
        <v>129</v>
      </c>
      <c r="BI199" s="5" t="s">
        <v>76</v>
      </c>
      <c r="BJ199" s="5" t="s">
        <v>246</v>
      </c>
      <c r="BK199" s="5" t="s">
        <v>759</v>
      </c>
      <c r="BL199" s="5" t="s">
        <v>760</v>
      </c>
      <c r="BM199" s="5" t="s">
        <v>468</v>
      </c>
      <c r="BN199" s="5">
        <v>161</v>
      </c>
      <c r="BO199" s="5">
        <f t="shared" si="3"/>
        <v>25.0761930481077</v>
      </c>
      <c r="BP199" s="5" t="s">
        <v>234</v>
      </c>
      <c r="BQ199" s="5" t="s">
        <v>76</v>
      </c>
      <c r="BR199" s="5">
        <v>5941</v>
      </c>
    </row>
    <row r="200" s="1" customFormat="1" spans="1:70">
      <c r="A200" s="1">
        <v>3254942</v>
      </c>
      <c r="B200" s="1" t="s">
        <v>761</v>
      </c>
      <c r="D200" s="4">
        <v>44916</v>
      </c>
      <c r="E200" s="4">
        <v>44928</v>
      </c>
      <c r="F200" s="7">
        <v>14685</v>
      </c>
      <c r="G200" s="1">
        <v>38</v>
      </c>
      <c r="H200" s="1">
        <v>9</v>
      </c>
      <c r="I200" s="1">
        <v>46</v>
      </c>
      <c r="J200" s="1">
        <v>9</v>
      </c>
      <c r="K200" s="1">
        <v>60</v>
      </c>
      <c r="L200" s="1">
        <v>32</v>
      </c>
      <c r="N200" s="1">
        <v>9.4</v>
      </c>
      <c r="O200" s="7">
        <v>14685</v>
      </c>
      <c r="P200" s="4">
        <v>44916</v>
      </c>
      <c r="Q200" s="4">
        <v>44928</v>
      </c>
      <c r="R200" s="1" t="s">
        <v>80</v>
      </c>
      <c r="AO200" s="7">
        <v>14685</v>
      </c>
      <c r="AP200" s="5">
        <v>9</v>
      </c>
      <c r="AQ200" s="5">
        <v>84</v>
      </c>
      <c r="AR200" s="5">
        <v>43</v>
      </c>
      <c r="AS200" s="5">
        <v>81</v>
      </c>
      <c r="AT200" s="5">
        <v>56</v>
      </c>
      <c r="AU200" s="5">
        <v>35</v>
      </c>
      <c r="AV200" s="5">
        <v>37.1</v>
      </c>
      <c r="AW200" s="5">
        <v>27.75</v>
      </c>
      <c r="AX200" s="5">
        <v>211</v>
      </c>
      <c r="AY200" s="5">
        <v>42.96</v>
      </c>
      <c r="AZ200" s="5" t="s">
        <v>75</v>
      </c>
      <c r="BA200" s="5" t="s">
        <v>76</v>
      </c>
      <c r="BB200" s="12" t="s">
        <v>76</v>
      </c>
      <c r="BC200" s="5">
        <v>5</v>
      </c>
      <c r="BD200" s="5">
        <v>84</v>
      </c>
      <c r="BE200" s="5" t="s">
        <v>76</v>
      </c>
      <c r="BF200" s="5" t="s">
        <v>76</v>
      </c>
      <c r="BG200" s="15">
        <v>37.8</v>
      </c>
      <c r="BH200" s="5">
        <v>75</v>
      </c>
      <c r="BI200" s="5" t="s">
        <v>76</v>
      </c>
      <c r="BJ200" s="5">
        <v>20</v>
      </c>
      <c r="BK200" s="5">
        <v>160</v>
      </c>
      <c r="BL200" s="5">
        <v>83</v>
      </c>
      <c r="BM200" s="5">
        <v>50</v>
      </c>
      <c r="BN200" s="5">
        <v>170</v>
      </c>
      <c r="BO200" s="5">
        <f t="shared" si="3"/>
        <v>17.3010380622837</v>
      </c>
      <c r="BP200" s="5" t="s">
        <v>109</v>
      </c>
      <c r="BQ200" s="5">
        <v>7.1</v>
      </c>
      <c r="BR200" s="5">
        <v>8781</v>
      </c>
    </row>
    <row r="201" s="1" customFormat="1" spans="1:70">
      <c r="A201" s="1">
        <v>3316235</v>
      </c>
      <c r="B201" s="1" t="s">
        <v>762</v>
      </c>
      <c r="D201" s="4">
        <v>45013</v>
      </c>
      <c r="E201" s="4">
        <v>45019</v>
      </c>
      <c r="F201" s="7">
        <v>14687</v>
      </c>
      <c r="G201" s="1">
        <v>42</v>
      </c>
      <c r="H201" s="1">
        <v>9</v>
      </c>
      <c r="I201" s="1">
        <v>52</v>
      </c>
      <c r="J201" s="1">
        <v>9</v>
      </c>
      <c r="K201" s="1">
        <v>56</v>
      </c>
      <c r="L201" s="1">
        <v>29</v>
      </c>
      <c r="M201" s="1">
        <v>1.64</v>
      </c>
      <c r="N201" s="1">
        <v>14.5</v>
      </c>
      <c r="O201" s="7">
        <v>14687</v>
      </c>
      <c r="P201" s="4">
        <v>45013</v>
      </c>
      <c r="Q201" s="4">
        <v>45019</v>
      </c>
      <c r="R201" s="1" t="s">
        <v>73</v>
      </c>
      <c r="AO201" s="7">
        <v>14687</v>
      </c>
      <c r="AP201" s="5">
        <v>4.2</v>
      </c>
      <c r="AQ201" s="5">
        <v>120</v>
      </c>
      <c r="AR201" s="5">
        <v>38</v>
      </c>
      <c r="AS201" s="5">
        <v>3.8</v>
      </c>
      <c r="AT201" s="5">
        <v>15</v>
      </c>
      <c r="AU201" s="5">
        <v>7</v>
      </c>
      <c r="AV201" s="5">
        <v>39.8</v>
      </c>
      <c r="AW201" s="5">
        <v>5.2</v>
      </c>
      <c r="AX201" s="5">
        <v>52</v>
      </c>
      <c r="AY201" s="5" t="s">
        <v>76</v>
      </c>
      <c r="AZ201" s="5" t="s">
        <v>75</v>
      </c>
      <c r="BA201" s="5" t="s">
        <v>76</v>
      </c>
      <c r="BB201" s="12" t="s">
        <v>76</v>
      </c>
      <c r="BC201" s="5">
        <v>3.62</v>
      </c>
      <c r="BD201" s="5">
        <v>120</v>
      </c>
      <c r="BE201" s="5" t="s">
        <v>76</v>
      </c>
      <c r="BF201" s="5" t="s">
        <v>76</v>
      </c>
      <c r="BG201" s="15">
        <v>36.6</v>
      </c>
      <c r="BH201" s="5">
        <v>72</v>
      </c>
      <c r="BI201" s="5">
        <v>72</v>
      </c>
      <c r="BJ201" s="5">
        <v>18</v>
      </c>
      <c r="BK201" s="5">
        <v>139</v>
      </c>
      <c r="BL201" s="5">
        <v>81</v>
      </c>
      <c r="BM201" s="5">
        <v>48</v>
      </c>
      <c r="BN201" s="5">
        <v>150</v>
      </c>
      <c r="BO201" s="5">
        <f t="shared" si="3"/>
        <v>21.3333333333333</v>
      </c>
      <c r="BP201" s="5" t="s">
        <v>149</v>
      </c>
      <c r="BQ201" s="5" t="s">
        <v>76</v>
      </c>
      <c r="BR201" s="5">
        <v>3372</v>
      </c>
    </row>
    <row r="202" s="1" customFormat="1" spans="1:70">
      <c r="A202" s="1">
        <v>3242054</v>
      </c>
      <c r="B202" s="1" t="s">
        <v>763</v>
      </c>
      <c r="D202" s="4">
        <v>44886</v>
      </c>
      <c r="E202" s="4">
        <v>44891</v>
      </c>
      <c r="F202" s="7">
        <v>14703</v>
      </c>
      <c r="G202" s="1">
        <v>43</v>
      </c>
      <c r="H202" s="1">
        <v>10</v>
      </c>
      <c r="I202" s="1">
        <v>50</v>
      </c>
      <c r="J202" s="1">
        <v>10</v>
      </c>
      <c r="K202" s="1">
        <v>51</v>
      </c>
      <c r="L202" s="1">
        <v>26</v>
      </c>
      <c r="N202" s="1">
        <v>0.2</v>
      </c>
      <c r="O202" s="7">
        <v>14703</v>
      </c>
      <c r="P202" s="4">
        <v>44886</v>
      </c>
      <c r="Q202" s="4">
        <v>44891</v>
      </c>
      <c r="R202" s="1" t="s">
        <v>73</v>
      </c>
      <c r="AO202" s="7">
        <v>14703</v>
      </c>
      <c r="AP202" s="5">
        <v>63.7</v>
      </c>
      <c r="AQ202" s="5" t="s">
        <v>76</v>
      </c>
      <c r="AR202" s="5" t="s">
        <v>76</v>
      </c>
      <c r="AS202" s="5" t="s">
        <v>76</v>
      </c>
      <c r="AT202" s="5">
        <v>26</v>
      </c>
      <c r="AU202" s="5">
        <v>11</v>
      </c>
      <c r="AV202" s="5">
        <v>36.3</v>
      </c>
      <c r="AW202" s="5">
        <v>3.76</v>
      </c>
      <c r="AX202" s="5">
        <v>57</v>
      </c>
      <c r="AY202" s="5">
        <v>93.63</v>
      </c>
      <c r="AZ202" s="5" t="s">
        <v>75</v>
      </c>
      <c r="BA202" s="5">
        <v>3.21</v>
      </c>
      <c r="BB202" s="12" t="s">
        <v>76</v>
      </c>
      <c r="BC202" s="5">
        <v>4.02</v>
      </c>
      <c r="BD202" s="5" t="s">
        <v>76</v>
      </c>
      <c r="BE202" s="5">
        <v>1.33</v>
      </c>
      <c r="BF202" s="5">
        <v>1.53</v>
      </c>
      <c r="BG202" s="15">
        <v>36.5</v>
      </c>
      <c r="BH202" s="5">
        <v>92</v>
      </c>
      <c r="BI202" s="5" t="s">
        <v>76</v>
      </c>
      <c r="BJ202" s="5" t="s">
        <v>76</v>
      </c>
      <c r="BK202" s="5">
        <v>137</v>
      </c>
      <c r="BL202" s="5">
        <v>85</v>
      </c>
      <c r="BM202" s="5">
        <v>45</v>
      </c>
      <c r="BN202" s="5">
        <v>150</v>
      </c>
      <c r="BO202" s="5">
        <f t="shared" si="3"/>
        <v>20</v>
      </c>
      <c r="BP202" s="5" t="s">
        <v>121</v>
      </c>
      <c r="BQ202" s="5">
        <v>5</v>
      </c>
      <c r="BR202" s="5">
        <v>4380</v>
      </c>
    </row>
    <row r="203" s="1" customFormat="1" spans="1:70">
      <c r="A203" s="1">
        <v>3262893</v>
      </c>
      <c r="B203" s="1" t="s">
        <v>764</v>
      </c>
      <c r="D203" s="4">
        <v>44932</v>
      </c>
      <c r="E203" s="4">
        <v>44946</v>
      </c>
      <c r="F203" s="7">
        <v>14705</v>
      </c>
      <c r="G203" s="1">
        <v>40</v>
      </c>
      <c r="H203" s="1">
        <v>10</v>
      </c>
      <c r="I203" s="1">
        <v>52</v>
      </c>
      <c r="J203" s="1">
        <v>10</v>
      </c>
      <c r="K203" s="1">
        <v>40</v>
      </c>
      <c r="L203" s="1">
        <v>20</v>
      </c>
      <c r="M203" s="1">
        <v>0.76</v>
      </c>
      <c r="N203" s="1">
        <v>24.2</v>
      </c>
      <c r="O203" s="7">
        <v>14705</v>
      </c>
      <c r="P203" s="4">
        <v>44932</v>
      </c>
      <c r="Q203" s="4">
        <v>44946</v>
      </c>
      <c r="R203" s="1" t="s">
        <v>73</v>
      </c>
      <c r="AO203" s="7">
        <v>14705</v>
      </c>
      <c r="AP203" s="5">
        <v>9.1</v>
      </c>
      <c r="AQ203" s="5">
        <v>98</v>
      </c>
      <c r="AR203" s="5">
        <v>37.4</v>
      </c>
      <c r="AS203" s="5">
        <v>6.5</v>
      </c>
      <c r="AT203" s="5">
        <v>62</v>
      </c>
      <c r="AU203" s="5">
        <v>48</v>
      </c>
      <c r="AV203" s="5">
        <v>34.1</v>
      </c>
      <c r="AW203" s="5">
        <v>6.88</v>
      </c>
      <c r="AX203" s="5">
        <v>56</v>
      </c>
      <c r="AY203" s="5">
        <v>95.56</v>
      </c>
      <c r="AZ203" s="5" t="s">
        <v>75</v>
      </c>
      <c r="BA203" s="5">
        <v>3.8</v>
      </c>
      <c r="BB203" s="12" t="s">
        <v>76</v>
      </c>
      <c r="BC203" s="5">
        <v>5.06</v>
      </c>
      <c r="BD203" s="5">
        <v>98</v>
      </c>
      <c r="BE203" s="5">
        <v>0.72</v>
      </c>
      <c r="BF203" s="5">
        <v>2.68</v>
      </c>
      <c r="BG203" s="15">
        <v>36.5</v>
      </c>
      <c r="BH203" s="5" t="s">
        <v>76</v>
      </c>
      <c r="BI203" s="5">
        <v>67</v>
      </c>
      <c r="BJ203" s="5" t="s">
        <v>76</v>
      </c>
      <c r="BK203" s="5">
        <v>159</v>
      </c>
      <c r="BL203" s="5">
        <v>67</v>
      </c>
      <c r="BM203" s="5">
        <v>75</v>
      </c>
      <c r="BN203" s="5">
        <v>155</v>
      </c>
      <c r="BO203" s="5">
        <f t="shared" si="3"/>
        <v>31.2174817898023</v>
      </c>
      <c r="BP203" s="5" t="s">
        <v>78</v>
      </c>
      <c r="BQ203" s="5">
        <v>6.5</v>
      </c>
      <c r="BR203" s="5">
        <v>6632</v>
      </c>
    </row>
    <row r="204" s="1" customFormat="1" spans="1:70">
      <c r="A204" s="1">
        <v>3257560</v>
      </c>
      <c r="B204" s="1" t="s">
        <v>765</v>
      </c>
      <c r="D204" s="4">
        <v>44923</v>
      </c>
      <c r="E204" s="4">
        <v>44973</v>
      </c>
      <c r="F204" s="7">
        <v>14707</v>
      </c>
      <c r="G204" s="1">
        <v>52</v>
      </c>
      <c r="H204" s="1">
        <v>9</v>
      </c>
      <c r="I204" s="1">
        <v>48</v>
      </c>
      <c r="J204" s="1">
        <v>9</v>
      </c>
      <c r="K204" s="1">
        <v>58</v>
      </c>
      <c r="L204" s="1">
        <v>31</v>
      </c>
      <c r="N204" s="1">
        <v>12.3</v>
      </c>
      <c r="O204" s="7">
        <v>14707</v>
      </c>
      <c r="P204" s="4">
        <v>44923</v>
      </c>
      <c r="Q204" s="4">
        <v>44973</v>
      </c>
      <c r="R204" s="1" t="s">
        <v>80</v>
      </c>
      <c r="AO204" s="7">
        <v>14707</v>
      </c>
      <c r="AP204" s="5">
        <v>8.8</v>
      </c>
      <c r="AQ204" s="5">
        <v>128</v>
      </c>
      <c r="AR204" s="5">
        <v>39.5</v>
      </c>
      <c r="AS204" s="5">
        <v>9.9</v>
      </c>
      <c r="AT204" s="5">
        <v>43</v>
      </c>
      <c r="AU204" s="5">
        <v>29</v>
      </c>
      <c r="AV204" s="5">
        <v>39.2</v>
      </c>
      <c r="AW204" s="5">
        <v>6.01</v>
      </c>
      <c r="AX204" s="5">
        <v>72</v>
      </c>
      <c r="AY204" s="5" t="s">
        <v>125</v>
      </c>
      <c r="AZ204" s="5" t="s">
        <v>75</v>
      </c>
      <c r="BA204" s="5">
        <v>4.42</v>
      </c>
      <c r="BB204" s="12" t="s">
        <v>76</v>
      </c>
      <c r="BC204" s="5">
        <v>4.77</v>
      </c>
      <c r="BD204" s="5">
        <v>128</v>
      </c>
      <c r="BE204" s="5">
        <v>0.79</v>
      </c>
      <c r="BF204" s="5">
        <v>3.06</v>
      </c>
      <c r="BG204" s="15">
        <v>36.5</v>
      </c>
      <c r="BH204" s="5" t="s">
        <v>76</v>
      </c>
      <c r="BI204" s="5">
        <v>64</v>
      </c>
      <c r="BJ204" s="5">
        <v>21</v>
      </c>
      <c r="BK204" s="5">
        <v>138</v>
      </c>
      <c r="BL204" s="5">
        <v>75</v>
      </c>
      <c r="BM204" s="5">
        <v>75</v>
      </c>
      <c r="BN204" s="5">
        <v>175</v>
      </c>
      <c r="BO204" s="5">
        <f t="shared" si="3"/>
        <v>24.4897959183673</v>
      </c>
      <c r="BP204" s="5" t="s">
        <v>457</v>
      </c>
      <c r="BQ204" s="5" t="s">
        <v>76</v>
      </c>
      <c r="BR204" s="5">
        <v>2315</v>
      </c>
    </row>
    <row r="205" s="1" customFormat="1" spans="1:70">
      <c r="A205" s="1" t="s">
        <v>766</v>
      </c>
      <c r="B205" s="1" t="s">
        <v>767</v>
      </c>
      <c r="D205" s="4">
        <v>44930</v>
      </c>
      <c r="E205" s="4">
        <v>44938</v>
      </c>
      <c r="F205" s="7">
        <v>14732</v>
      </c>
      <c r="G205" s="1">
        <v>41</v>
      </c>
      <c r="H205" s="1">
        <v>9</v>
      </c>
      <c r="I205" s="1">
        <v>46</v>
      </c>
      <c r="J205" s="1">
        <v>9</v>
      </c>
      <c r="K205" s="1">
        <v>59</v>
      </c>
      <c r="N205" s="1">
        <v>13.8</v>
      </c>
      <c r="O205" s="7">
        <v>14732</v>
      </c>
      <c r="P205" s="4">
        <v>44930</v>
      </c>
      <c r="Q205" s="4">
        <v>44938</v>
      </c>
      <c r="R205" s="1" t="s">
        <v>80</v>
      </c>
      <c r="AO205" s="7">
        <v>14732</v>
      </c>
      <c r="AP205" s="5" t="s">
        <v>522</v>
      </c>
      <c r="AQ205" s="5" t="s">
        <v>500</v>
      </c>
      <c r="AR205" s="5" t="s">
        <v>446</v>
      </c>
      <c r="AS205" s="5" t="s">
        <v>768</v>
      </c>
      <c r="AT205" s="5" t="s">
        <v>769</v>
      </c>
      <c r="AU205" s="5" t="s">
        <v>193</v>
      </c>
      <c r="AV205" s="5" t="s">
        <v>770</v>
      </c>
      <c r="AW205" s="5" t="s">
        <v>771</v>
      </c>
      <c r="AX205" s="5" t="s">
        <v>772</v>
      </c>
      <c r="AY205" s="5" t="s">
        <v>76</v>
      </c>
      <c r="AZ205" s="5" t="s">
        <v>76</v>
      </c>
      <c r="BA205" s="5" t="s">
        <v>76</v>
      </c>
      <c r="BB205" s="12" t="s">
        <v>76</v>
      </c>
      <c r="BC205" s="5" t="s">
        <v>773</v>
      </c>
      <c r="BD205" s="5" t="s">
        <v>500</v>
      </c>
      <c r="BE205" s="5" t="s">
        <v>76</v>
      </c>
      <c r="BF205" s="5" t="s">
        <v>76</v>
      </c>
      <c r="BG205" s="15">
        <v>36.5</v>
      </c>
      <c r="BH205" s="5" t="s">
        <v>76</v>
      </c>
      <c r="BI205" s="5" t="s">
        <v>429</v>
      </c>
      <c r="BJ205" s="5" t="s">
        <v>293</v>
      </c>
      <c r="BK205" s="5" t="s">
        <v>774</v>
      </c>
      <c r="BL205" s="5" t="s">
        <v>350</v>
      </c>
      <c r="BM205" s="5" t="s">
        <v>772</v>
      </c>
      <c r="BN205" s="5">
        <v>170</v>
      </c>
      <c r="BO205" s="5">
        <f t="shared" si="3"/>
        <v>23.1833910034602</v>
      </c>
      <c r="BP205" s="5" t="s">
        <v>321</v>
      </c>
      <c r="BQ205" s="5" t="s">
        <v>76</v>
      </c>
      <c r="BR205" s="5">
        <v>3231</v>
      </c>
    </row>
    <row r="206" s="1" customFormat="1" spans="1:70">
      <c r="A206" s="1">
        <v>3246011</v>
      </c>
      <c r="B206" s="1" t="s">
        <v>775</v>
      </c>
      <c r="D206" s="4">
        <v>44895</v>
      </c>
      <c r="E206" s="4">
        <v>44908</v>
      </c>
      <c r="F206" s="7">
        <v>14734</v>
      </c>
      <c r="G206" s="1">
        <v>43</v>
      </c>
      <c r="H206" s="1">
        <v>10</v>
      </c>
      <c r="I206" s="1">
        <v>55</v>
      </c>
      <c r="J206" s="1">
        <v>10</v>
      </c>
      <c r="K206" s="1">
        <v>58</v>
      </c>
      <c r="L206" s="1">
        <v>31</v>
      </c>
      <c r="M206" s="1">
        <v>0.64</v>
      </c>
      <c r="N206" s="1">
        <v>14.4</v>
      </c>
      <c r="O206" s="7">
        <v>14734</v>
      </c>
      <c r="P206" s="4">
        <v>44895</v>
      </c>
      <c r="Q206" s="4">
        <v>44908</v>
      </c>
      <c r="R206" s="1" t="s">
        <v>73</v>
      </c>
      <c r="S206" s="1">
        <v>82</v>
      </c>
      <c r="T206" s="1">
        <v>15895233695</v>
      </c>
      <c r="V206" s="1">
        <v>1</v>
      </c>
      <c r="Z206" s="1">
        <v>1</v>
      </c>
      <c r="AA206" s="1">
        <v>1</v>
      </c>
      <c r="AI206" s="1">
        <v>1</v>
      </c>
      <c r="AK206" s="1">
        <v>1</v>
      </c>
      <c r="AM206" s="1">
        <v>1</v>
      </c>
      <c r="AN206" s="1">
        <v>1</v>
      </c>
      <c r="AO206" s="7">
        <v>14734</v>
      </c>
      <c r="AP206" s="5">
        <v>8.6</v>
      </c>
      <c r="AQ206" s="5">
        <v>88</v>
      </c>
      <c r="AR206" s="5">
        <v>29.7</v>
      </c>
      <c r="AS206" s="5">
        <v>1.8</v>
      </c>
      <c r="AT206" s="5">
        <v>15</v>
      </c>
      <c r="AU206" s="5">
        <v>9</v>
      </c>
      <c r="AV206" s="5">
        <v>28.2</v>
      </c>
      <c r="AW206" s="5">
        <v>22.59</v>
      </c>
      <c r="AX206" s="5">
        <v>224</v>
      </c>
      <c r="AY206" s="5">
        <v>22.92</v>
      </c>
      <c r="AZ206" s="5">
        <v>4.4</v>
      </c>
      <c r="BA206" s="5">
        <v>7.05</v>
      </c>
      <c r="BB206" s="12" t="s">
        <v>76</v>
      </c>
      <c r="BC206" s="5" t="s">
        <v>4</v>
      </c>
      <c r="BD206" s="5">
        <v>88</v>
      </c>
      <c r="BE206" s="5">
        <v>1.75</v>
      </c>
      <c r="BF206" s="5">
        <v>4.51</v>
      </c>
      <c r="BG206" s="15">
        <v>36.5</v>
      </c>
      <c r="BH206" s="5">
        <v>72</v>
      </c>
      <c r="BI206" s="5" t="s">
        <v>76</v>
      </c>
      <c r="BJ206" s="5">
        <v>15</v>
      </c>
      <c r="BK206" s="5">
        <v>169</v>
      </c>
      <c r="BL206" s="5">
        <v>74</v>
      </c>
      <c r="BM206" s="5">
        <v>68</v>
      </c>
      <c r="BN206" s="5">
        <v>154</v>
      </c>
      <c r="BO206" s="5">
        <f t="shared" si="3"/>
        <v>28.6726260752235</v>
      </c>
      <c r="BP206" s="5" t="s">
        <v>415</v>
      </c>
      <c r="BQ206" s="5">
        <v>6.4</v>
      </c>
      <c r="BR206" s="5">
        <v>3492</v>
      </c>
    </row>
    <row r="207" s="1" customFormat="1" spans="1:70">
      <c r="A207" s="1">
        <v>3276153</v>
      </c>
      <c r="B207" s="1" t="s">
        <v>775</v>
      </c>
      <c r="D207" s="4">
        <v>44958</v>
      </c>
      <c r="E207" s="4">
        <v>44971</v>
      </c>
      <c r="F207" s="7">
        <v>14734</v>
      </c>
      <c r="G207" s="1">
        <v>43</v>
      </c>
      <c r="H207" s="1">
        <v>10</v>
      </c>
      <c r="I207" s="1">
        <v>55</v>
      </c>
      <c r="J207" s="1">
        <v>10</v>
      </c>
      <c r="K207" s="1">
        <v>58</v>
      </c>
      <c r="L207" s="1">
        <v>31</v>
      </c>
      <c r="M207" s="1">
        <v>0.64</v>
      </c>
      <c r="N207" s="1">
        <v>14.4</v>
      </c>
      <c r="O207" s="7">
        <v>14734</v>
      </c>
      <c r="P207" s="4">
        <v>44958</v>
      </c>
      <c r="Q207" s="4">
        <v>44971</v>
      </c>
      <c r="R207" s="1" t="s">
        <v>73</v>
      </c>
      <c r="AO207" s="7">
        <v>14734</v>
      </c>
      <c r="AP207" s="5">
        <v>8.6</v>
      </c>
      <c r="AQ207" s="5">
        <v>81</v>
      </c>
      <c r="AR207" s="5">
        <v>26.8</v>
      </c>
      <c r="AS207" s="5">
        <v>8.3</v>
      </c>
      <c r="AT207" s="5">
        <v>22</v>
      </c>
      <c r="AU207" s="5">
        <v>9</v>
      </c>
      <c r="AV207" s="5">
        <v>31.5</v>
      </c>
      <c r="AW207" s="5">
        <v>18.97</v>
      </c>
      <c r="AX207" s="5">
        <v>251</v>
      </c>
      <c r="AY207" s="5">
        <v>21.87</v>
      </c>
      <c r="AZ207" s="5">
        <v>7.44</v>
      </c>
      <c r="BA207" s="5">
        <v>4.41</v>
      </c>
      <c r="BB207" s="12" t="s">
        <v>76</v>
      </c>
      <c r="BC207" s="5" t="s">
        <v>4</v>
      </c>
      <c r="BD207" s="5">
        <v>81</v>
      </c>
      <c r="BE207" s="5">
        <v>1.37</v>
      </c>
      <c r="BF207" s="5">
        <v>2.49</v>
      </c>
      <c r="BG207" s="15">
        <v>36.7</v>
      </c>
      <c r="BH207" s="5" t="s">
        <v>76</v>
      </c>
      <c r="BI207" s="5">
        <v>74</v>
      </c>
      <c r="BJ207" s="5">
        <v>20</v>
      </c>
      <c r="BK207" s="5">
        <v>150</v>
      </c>
      <c r="BL207" s="5">
        <v>56</v>
      </c>
      <c r="BM207" s="5">
        <v>70</v>
      </c>
      <c r="BN207" s="5">
        <v>155</v>
      </c>
      <c r="BO207" s="5">
        <f t="shared" si="3"/>
        <v>29.1363163371488</v>
      </c>
      <c r="BP207" s="5" t="s">
        <v>415</v>
      </c>
      <c r="BQ207" s="5">
        <v>5.6</v>
      </c>
      <c r="BR207" s="5">
        <v>33890</v>
      </c>
    </row>
    <row r="208" s="1" customFormat="1" spans="1:70">
      <c r="A208" s="1">
        <v>3266891</v>
      </c>
      <c r="B208" s="1" t="s">
        <v>776</v>
      </c>
      <c r="D208" s="4">
        <v>44940</v>
      </c>
      <c r="E208" s="4">
        <v>44955</v>
      </c>
      <c r="F208" s="7">
        <v>14741</v>
      </c>
      <c r="G208" s="1">
        <v>48</v>
      </c>
      <c r="H208" s="1">
        <v>8</v>
      </c>
      <c r="I208" s="1">
        <v>53</v>
      </c>
      <c r="J208" s="1">
        <v>8</v>
      </c>
      <c r="K208" s="1">
        <v>52</v>
      </c>
      <c r="L208" s="1">
        <v>27</v>
      </c>
      <c r="M208" s="1">
        <v>1.83</v>
      </c>
      <c r="N208" s="1">
        <v>12.7</v>
      </c>
      <c r="O208" s="7">
        <v>14741</v>
      </c>
      <c r="P208" s="4">
        <v>44940</v>
      </c>
      <c r="Q208" s="4">
        <v>44955</v>
      </c>
      <c r="R208" s="1" t="s">
        <v>73</v>
      </c>
      <c r="S208" s="1">
        <v>82</v>
      </c>
      <c r="T208" s="1" t="s">
        <v>777</v>
      </c>
      <c r="Z208" s="1" t="s">
        <v>155</v>
      </c>
      <c r="AC208" s="1" t="s">
        <v>155</v>
      </c>
      <c r="AG208" s="1">
        <v>1</v>
      </c>
      <c r="AH208" s="1">
        <v>1</v>
      </c>
      <c r="AM208" s="1">
        <v>1</v>
      </c>
      <c r="AO208" s="7">
        <v>14741</v>
      </c>
      <c r="AP208" s="5">
        <v>6.6</v>
      </c>
      <c r="AQ208" s="5">
        <v>132</v>
      </c>
      <c r="AR208" s="5">
        <v>43.7</v>
      </c>
      <c r="AS208" s="5">
        <v>32.1</v>
      </c>
      <c r="AT208" s="5">
        <v>97</v>
      </c>
      <c r="AU208" s="5">
        <v>79</v>
      </c>
      <c r="AV208" s="5">
        <v>38.3</v>
      </c>
      <c r="AW208" s="5">
        <v>8.49</v>
      </c>
      <c r="AX208" s="5">
        <v>91</v>
      </c>
      <c r="AY208" s="5">
        <v>54.57</v>
      </c>
      <c r="AZ208" s="5">
        <v>6.74</v>
      </c>
      <c r="BA208" s="5">
        <v>3.26</v>
      </c>
      <c r="BB208" s="12" t="s">
        <v>76</v>
      </c>
      <c r="BC208" s="5">
        <v>4.71</v>
      </c>
      <c r="BD208" s="5">
        <v>132</v>
      </c>
      <c r="BE208" s="5">
        <v>0.94</v>
      </c>
      <c r="BF208" s="5">
        <v>2</v>
      </c>
      <c r="BG208" s="15">
        <v>36.6</v>
      </c>
      <c r="BH208" s="5">
        <v>76</v>
      </c>
      <c r="BI208" s="5" t="s">
        <v>76</v>
      </c>
      <c r="BJ208" s="5">
        <v>20</v>
      </c>
      <c r="BK208" s="5">
        <v>103</v>
      </c>
      <c r="BL208" s="5">
        <v>73</v>
      </c>
      <c r="BM208" s="5">
        <v>45</v>
      </c>
      <c r="BN208" s="5">
        <v>158</v>
      </c>
      <c r="BO208" s="5">
        <f t="shared" si="3"/>
        <v>18.0259573786252</v>
      </c>
      <c r="BP208" s="5" t="s">
        <v>457</v>
      </c>
      <c r="BQ208" s="5" t="s">
        <v>76</v>
      </c>
      <c r="BR208" s="5">
        <v>6908</v>
      </c>
    </row>
    <row r="209" s="1" customFormat="1" spans="1:70">
      <c r="A209" s="1">
        <v>3495448</v>
      </c>
      <c r="B209" s="1" t="s">
        <v>778</v>
      </c>
      <c r="D209" s="4">
        <v>45260</v>
      </c>
      <c r="E209" s="4">
        <v>45267</v>
      </c>
      <c r="F209" s="7">
        <v>14771</v>
      </c>
      <c r="G209" s="1">
        <v>40</v>
      </c>
      <c r="H209" s="1">
        <v>8</v>
      </c>
      <c r="I209" s="1">
        <v>48</v>
      </c>
      <c r="J209" s="1">
        <v>8</v>
      </c>
      <c r="K209" s="1">
        <v>47</v>
      </c>
      <c r="L209" s="1">
        <v>24</v>
      </c>
      <c r="M209" s="1">
        <v>0.76</v>
      </c>
      <c r="N209" s="1">
        <v>10.9</v>
      </c>
      <c r="O209" s="7">
        <v>14771</v>
      </c>
      <c r="P209" s="4">
        <v>45260</v>
      </c>
      <c r="Q209" s="4">
        <v>45267</v>
      </c>
      <c r="R209" s="1" t="s">
        <v>80</v>
      </c>
      <c r="AO209" s="7">
        <v>14771</v>
      </c>
      <c r="AP209" s="5">
        <v>6.6</v>
      </c>
      <c r="AQ209" s="5">
        <v>132</v>
      </c>
      <c r="AR209" s="5">
        <v>40.8</v>
      </c>
      <c r="AS209" s="5">
        <v>73.5</v>
      </c>
      <c r="AT209" s="5">
        <v>26</v>
      </c>
      <c r="AU209" s="5">
        <v>14</v>
      </c>
      <c r="AV209" s="5">
        <v>36.5</v>
      </c>
      <c r="AW209" s="5">
        <v>8.5</v>
      </c>
      <c r="AX209" s="5">
        <v>64</v>
      </c>
      <c r="AY209" s="5" t="s">
        <v>76</v>
      </c>
      <c r="AZ209" s="5">
        <v>4.99</v>
      </c>
      <c r="BA209" s="5">
        <v>3.03</v>
      </c>
      <c r="BB209" s="12" t="s">
        <v>76</v>
      </c>
      <c r="BC209" s="5">
        <v>3.9</v>
      </c>
      <c r="BD209" s="5">
        <v>132</v>
      </c>
      <c r="BE209" s="5">
        <v>1.01</v>
      </c>
      <c r="BF209" s="5">
        <v>1.28</v>
      </c>
      <c r="BG209" s="15">
        <v>36.5</v>
      </c>
      <c r="BH209" s="5">
        <v>92</v>
      </c>
      <c r="BI209" s="5">
        <v>92</v>
      </c>
      <c r="BJ209" s="5">
        <v>20</v>
      </c>
      <c r="BK209" s="5">
        <v>106</v>
      </c>
      <c r="BL209" s="5">
        <v>67</v>
      </c>
      <c r="BM209" s="5">
        <v>65</v>
      </c>
      <c r="BN209" s="5">
        <v>169</v>
      </c>
      <c r="BO209" s="5">
        <f t="shared" si="3"/>
        <v>22.7583067819754</v>
      </c>
      <c r="BP209" s="5" t="s">
        <v>156</v>
      </c>
      <c r="BQ209" s="5">
        <v>6.4</v>
      </c>
      <c r="BR209" s="5">
        <v>6948</v>
      </c>
    </row>
    <row r="210" s="1" customFormat="1" spans="1:70">
      <c r="A210" s="1" t="s">
        <v>779</v>
      </c>
      <c r="B210" s="1" t="s">
        <v>780</v>
      </c>
      <c r="D210" s="4">
        <v>45273</v>
      </c>
      <c r="E210" s="4">
        <v>45294</v>
      </c>
      <c r="F210" s="7">
        <v>14771</v>
      </c>
      <c r="G210" s="1">
        <v>41</v>
      </c>
      <c r="H210" s="1">
        <v>10</v>
      </c>
      <c r="I210" s="1">
        <v>53</v>
      </c>
      <c r="J210" s="1">
        <v>9</v>
      </c>
      <c r="K210" s="1">
        <v>58</v>
      </c>
      <c r="L210" s="1">
        <v>31</v>
      </c>
      <c r="M210" s="1">
        <v>0.63</v>
      </c>
      <c r="N210" s="1">
        <v>13.2</v>
      </c>
      <c r="O210" s="7">
        <v>14771</v>
      </c>
      <c r="P210" s="4">
        <v>45273</v>
      </c>
      <c r="Q210" s="4">
        <v>45294</v>
      </c>
      <c r="R210" s="1" t="s">
        <v>80</v>
      </c>
      <c r="AO210" s="7">
        <v>14771</v>
      </c>
      <c r="AP210" s="5" t="s">
        <v>221</v>
      </c>
      <c r="AQ210" s="5" t="s">
        <v>407</v>
      </c>
      <c r="AR210" s="5" t="s">
        <v>781</v>
      </c>
      <c r="AS210" s="5" t="s">
        <v>374</v>
      </c>
      <c r="AT210" s="5" t="s">
        <v>101</v>
      </c>
      <c r="AU210" s="5" t="s">
        <v>171</v>
      </c>
      <c r="AV210" s="5" t="s">
        <v>782</v>
      </c>
      <c r="AW210" s="5" t="s">
        <v>783</v>
      </c>
      <c r="AX210" s="5" t="s">
        <v>784</v>
      </c>
      <c r="AY210" s="5" t="s">
        <v>785</v>
      </c>
      <c r="AZ210" s="5" t="s">
        <v>530</v>
      </c>
      <c r="BA210" s="5" t="s">
        <v>76</v>
      </c>
      <c r="BB210" s="12" t="s">
        <v>76</v>
      </c>
      <c r="BC210" s="5" t="s">
        <v>786</v>
      </c>
      <c r="BD210" s="5" t="s">
        <v>407</v>
      </c>
      <c r="BE210" s="5" t="s">
        <v>76</v>
      </c>
      <c r="BF210" s="5" t="s">
        <v>76</v>
      </c>
      <c r="BG210" s="15">
        <v>36.5</v>
      </c>
      <c r="BH210" s="5" t="s">
        <v>482</v>
      </c>
      <c r="BI210" s="5" t="s">
        <v>482</v>
      </c>
      <c r="BJ210" s="5" t="s">
        <v>246</v>
      </c>
      <c r="BK210" s="5" t="s">
        <v>696</v>
      </c>
      <c r="BL210" s="5" t="s">
        <v>468</v>
      </c>
      <c r="BM210" s="5" t="s">
        <v>205</v>
      </c>
      <c r="BN210" s="5">
        <v>180</v>
      </c>
      <c r="BO210" s="5">
        <f t="shared" si="3"/>
        <v>17.9012345679012</v>
      </c>
      <c r="BP210" s="5" t="s">
        <v>542</v>
      </c>
      <c r="BQ210" s="5" t="s">
        <v>76</v>
      </c>
      <c r="BR210" s="5">
        <v>8121</v>
      </c>
    </row>
    <row r="211" s="1" customFormat="1" spans="1:70">
      <c r="A211" s="1">
        <v>3506806</v>
      </c>
      <c r="B211" s="1" t="s">
        <v>787</v>
      </c>
      <c r="D211" s="4">
        <v>45275</v>
      </c>
      <c r="E211" s="4">
        <v>45283</v>
      </c>
      <c r="F211" s="7">
        <v>14798</v>
      </c>
      <c r="G211" s="1">
        <v>41</v>
      </c>
      <c r="H211" s="1">
        <v>9</v>
      </c>
      <c r="I211" s="1">
        <v>48</v>
      </c>
      <c r="J211" s="1">
        <v>9</v>
      </c>
      <c r="K211" s="1">
        <v>40</v>
      </c>
      <c r="L211" s="1">
        <v>19</v>
      </c>
      <c r="N211" s="10">
        <v>19</v>
      </c>
      <c r="O211" s="7">
        <v>14798</v>
      </c>
      <c r="P211" s="4">
        <v>45275</v>
      </c>
      <c r="Q211" s="4">
        <v>45283</v>
      </c>
      <c r="R211" s="1" t="s">
        <v>73</v>
      </c>
      <c r="AO211" s="7">
        <v>14798</v>
      </c>
      <c r="AP211" s="5">
        <v>9.8</v>
      </c>
      <c r="AQ211" s="5">
        <v>164</v>
      </c>
      <c r="AR211" s="5">
        <v>50.7</v>
      </c>
      <c r="AS211" s="5">
        <v>16</v>
      </c>
      <c r="AT211" s="5">
        <v>20</v>
      </c>
      <c r="AU211" s="5">
        <v>15</v>
      </c>
      <c r="AV211" s="5">
        <v>38.6</v>
      </c>
      <c r="AW211" s="5">
        <v>10.95</v>
      </c>
      <c r="AX211" s="5">
        <v>94</v>
      </c>
      <c r="AY211" s="5">
        <v>52.43</v>
      </c>
      <c r="AZ211" s="5">
        <v>4.77</v>
      </c>
      <c r="BA211" s="5">
        <v>3.76</v>
      </c>
      <c r="BB211" s="12" t="s">
        <v>76</v>
      </c>
      <c r="BC211" s="5">
        <v>4.55</v>
      </c>
      <c r="BD211" s="5">
        <v>164</v>
      </c>
      <c r="BE211" s="5">
        <v>0.93</v>
      </c>
      <c r="BF211" s="5">
        <v>1.98</v>
      </c>
      <c r="BG211" s="15">
        <v>36.7</v>
      </c>
      <c r="BH211" s="5">
        <v>75</v>
      </c>
      <c r="BI211" s="5">
        <v>95</v>
      </c>
      <c r="BJ211" s="5">
        <v>18</v>
      </c>
      <c r="BK211" s="5">
        <v>107</v>
      </c>
      <c r="BL211" s="5">
        <v>79</v>
      </c>
      <c r="BM211" s="5">
        <v>50</v>
      </c>
      <c r="BN211" s="5">
        <v>157</v>
      </c>
      <c r="BO211" s="5">
        <f t="shared" si="3"/>
        <v>20.2847985719502</v>
      </c>
      <c r="BP211" s="5" t="s">
        <v>107</v>
      </c>
      <c r="BQ211" s="5" t="s">
        <v>76</v>
      </c>
      <c r="BR211" s="5">
        <v>7548</v>
      </c>
    </row>
    <row r="212" s="1" customFormat="1" spans="1:70">
      <c r="A212" s="1">
        <v>3321306</v>
      </c>
      <c r="B212" s="1" t="s">
        <v>788</v>
      </c>
      <c r="D212" s="4">
        <v>45020</v>
      </c>
      <c r="E212" s="4">
        <v>45029</v>
      </c>
      <c r="F212" s="7">
        <v>14798</v>
      </c>
      <c r="G212" s="1">
        <v>53</v>
      </c>
      <c r="H212" s="1">
        <v>11</v>
      </c>
      <c r="I212" s="1">
        <v>45</v>
      </c>
      <c r="J212" s="1">
        <v>24</v>
      </c>
      <c r="K212" s="1">
        <v>68</v>
      </c>
      <c r="L212" s="1">
        <v>38</v>
      </c>
      <c r="O212" s="7">
        <v>14798</v>
      </c>
      <c r="P212" s="4">
        <v>45020</v>
      </c>
      <c r="Q212" s="4">
        <v>45029</v>
      </c>
      <c r="R212" s="1" t="s">
        <v>80</v>
      </c>
      <c r="AO212" s="7">
        <v>14798</v>
      </c>
      <c r="AP212" s="5">
        <v>6.1</v>
      </c>
      <c r="AQ212" s="5">
        <v>137</v>
      </c>
      <c r="AR212" s="5">
        <v>41.3</v>
      </c>
      <c r="AS212" s="5">
        <v>7.7</v>
      </c>
      <c r="AT212" s="5">
        <v>28</v>
      </c>
      <c r="AU212" s="5">
        <v>17</v>
      </c>
      <c r="AV212" s="5">
        <v>37.4</v>
      </c>
      <c r="AW212" s="5">
        <v>9.97</v>
      </c>
      <c r="AX212" s="5">
        <v>155</v>
      </c>
      <c r="AY212" s="5">
        <v>62.35</v>
      </c>
      <c r="AZ212" s="5" t="s">
        <v>75</v>
      </c>
      <c r="BA212" s="5">
        <v>2.15</v>
      </c>
      <c r="BB212" s="12" t="s">
        <v>76</v>
      </c>
      <c r="BC212" s="5">
        <v>4.12</v>
      </c>
      <c r="BD212" s="5">
        <v>137</v>
      </c>
      <c r="BE212" s="5">
        <v>0.88</v>
      </c>
      <c r="BF212" s="5">
        <v>0.86</v>
      </c>
      <c r="BG212" s="15">
        <v>36.5</v>
      </c>
      <c r="BH212" s="5">
        <v>78</v>
      </c>
      <c r="BI212" s="5">
        <v>78</v>
      </c>
      <c r="BJ212" s="5">
        <v>20</v>
      </c>
      <c r="BK212" s="5">
        <v>141</v>
      </c>
      <c r="BL212" s="5">
        <v>93</v>
      </c>
      <c r="BM212" s="5">
        <v>70</v>
      </c>
      <c r="BN212" s="5">
        <v>169</v>
      </c>
      <c r="BO212" s="5">
        <f t="shared" si="3"/>
        <v>24.5089457652043</v>
      </c>
      <c r="BP212" s="5" t="s">
        <v>438</v>
      </c>
      <c r="BQ212" s="5" t="s">
        <v>76</v>
      </c>
      <c r="BR212" s="5">
        <v>4927</v>
      </c>
    </row>
    <row r="213" s="1" customFormat="1" spans="1:70">
      <c r="A213" s="1">
        <v>3305990</v>
      </c>
      <c r="B213" s="1" t="s">
        <v>789</v>
      </c>
      <c r="D213" s="4">
        <v>44998</v>
      </c>
      <c r="E213" s="4">
        <v>45009</v>
      </c>
      <c r="F213" s="7">
        <v>14799</v>
      </c>
      <c r="G213" s="1">
        <v>27</v>
      </c>
      <c r="H213" s="1">
        <v>9</v>
      </c>
      <c r="I213" s="1">
        <v>40</v>
      </c>
      <c r="J213" s="1">
        <v>9</v>
      </c>
      <c r="K213" s="1">
        <v>56</v>
      </c>
      <c r="L213" s="1">
        <v>29</v>
      </c>
      <c r="M213" s="1">
        <v>0.88</v>
      </c>
      <c r="O213" s="7">
        <v>14799</v>
      </c>
      <c r="P213" s="4">
        <v>44998</v>
      </c>
      <c r="Q213" s="4">
        <v>45009</v>
      </c>
      <c r="R213" s="1" t="s">
        <v>73</v>
      </c>
      <c r="AO213" s="7">
        <v>14799</v>
      </c>
      <c r="AP213" s="5">
        <v>9.4</v>
      </c>
      <c r="AQ213" s="5">
        <v>99</v>
      </c>
      <c r="AR213" s="5">
        <v>45.5</v>
      </c>
      <c r="AS213" s="5">
        <v>8.7</v>
      </c>
      <c r="AT213" s="5">
        <v>84</v>
      </c>
      <c r="AU213" s="5">
        <v>91</v>
      </c>
      <c r="AV213" s="5">
        <v>38.6</v>
      </c>
      <c r="AW213" s="5">
        <v>9.73</v>
      </c>
      <c r="AX213" s="5">
        <v>98</v>
      </c>
      <c r="AY213" s="5">
        <v>75.1</v>
      </c>
      <c r="AZ213" s="5" t="s">
        <v>75</v>
      </c>
      <c r="BA213" s="5" t="s">
        <v>76</v>
      </c>
      <c r="BB213" s="12" t="s">
        <v>76</v>
      </c>
      <c r="BC213" s="5">
        <v>4.3</v>
      </c>
      <c r="BD213" s="5">
        <v>99</v>
      </c>
      <c r="BE213" s="5" t="s">
        <v>76</v>
      </c>
      <c r="BF213" s="5" t="s">
        <v>76</v>
      </c>
      <c r="BG213" s="15">
        <v>37.1</v>
      </c>
      <c r="BH213" s="5">
        <v>95</v>
      </c>
      <c r="BI213" s="5">
        <v>95</v>
      </c>
      <c r="BJ213" s="5">
        <v>20</v>
      </c>
      <c r="BK213" s="5">
        <v>121</v>
      </c>
      <c r="BL213" s="5">
        <v>87</v>
      </c>
      <c r="BM213" s="5" t="s">
        <v>77</v>
      </c>
      <c r="BN213" s="5" t="s">
        <v>77</v>
      </c>
      <c r="BO213" s="5" t="e">
        <f t="shared" si="3"/>
        <v>#VALUE!</v>
      </c>
      <c r="BP213" s="5" t="s">
        <v>323</v>
      </c>
      <c r="BQ213" s="5" t="s">
        <v>76</v>
      </c>
      <c r="BR213" s="5" t="s">
        <v>118</v>
      </c>
    </row>
    <row r="214" s="1" customFormat="1" spans="1:70">
      <c r="A214" s="1" t="s">
        <v>790</v>
      </c>
      <c r="B214" s="1" t="s">
        <v>791</v>
      </c>
      <c r="D214" s="4">
        <v>44976</v>
      </c>
      <c r="E214" s="4">
        <v>44985</v>
      </c>
      <c r="F214" s="7">
        <v>14799</v>
      </c>
      <c r="G214" s="1">
        <v>30</v>
      </c>
      <c r="H214" s="1">
        <v>8</v>
      </c>
      <c r="I214" s="1">
        <v>35</v>
      </c>
      <c r="J214" s="1">
        <v>8</v>
      </c>
      <c r="K214" s="1">
        <v>65</v>
      </c>
      <c r="L214" s="1">
        <v>35</v>
      </c>
      <c r="M214" s="1">
        <v>0.55</v>
      </c>
      <c r="N214" s="1">
        <v>8.2</v>
      </c>
      <c r="O214" s="7">
        <v>14799</v>
      </c>
      <c r="P214" s="4">
        <v>44976</v>
      </c>
      <c r="Q214" s="4">
        <v>44985</v>
      </c>
      <c r="R214" s="1" t="s">
        <v>73</v>
      </c>
      <c r="AO214" s="7">
        <v>14799</v>
      </c>
      <c r="AP214" s="5" t="s">
        <v>792</v>
      </c>
      <c r="AQ214" s="5" t="s">
        <v>222</v>
      </c>
      <c r="AR214" s="5" t="s">
        <v>793</v>
      </c>
      <c r="AS214" s="5" t="s">
        <v>794</v>
      </c>
      <c r="AT214" s="5" t="s">
        <v>100</v>
      </c>
      <c r="AU214" s="5" t="s">
        <v>193</v>
      </c>
      <c r="AV214" s="5" t="s">
        <v>793</v>
      </c>
      <c r="AW214" s="5" t="s">
        <v>795</v>
      </c>
      <c r="AX214" s="5" t="s">
        <v>131</v>
      </c>
      <c r="AY214" s="5" t="s">
        <v>76</v>
      </c>
      <c r="AZ214" s="5" t="s">
        <v>796</v>
      </c>
      <c r="BA214" s="5" t="s">
        <v>76</v>
      </c>
      <c r="BB214" s="12" t="s">
        <v>76</v>
      </c>
      <c r="BC214" s="5" t="s">
        <v>797</v>
      </c>
      <c r="BD214" s="5" t="s">
        <v>222</v>
      </c>
      <c r="BE214" s="5" t="s">
        <v>76</v>
      </c>
      <c r="BF214" s="5" t="s">
        <v>76</v>
      </c>
      <c r="BG214" s="15">
        <v>37</v>
      </c>
      <c r="BH214" s="5" t="s">
        <v>76</v>
      </c>
      <c r="BI214" s="5" t="s">
        <v>222</v>
      </c>
      <c r="BJ214" s="5" t="s">
        <v>193</v>
      </c>
      <c r="BK214" s="5" t="s">
        <v>798</v>
      </c>
      <c r="BL214" s="5" t="s">
        <v>347</v>
      </c>
      <c r="BM214" s="5" t="s">
        <v>104</v>
      </c>
      <c r="BN214" s="5">
        <v>150</v>
      </c>
      <c r="BO214" s="5">
        <f t="shared" si="3"/>
        <v>15.5555555555556</v>
      </c>
      <c r="BP214" s="5" t="s">
        <v>799</v>
      </c>
      <c r="BQ214" s="5" t="s">
        <v>76</v>
      </c>
      <c r="BR214" s="5">
        <v>4233</v>
      </c>
    </row>
    <row r="215" s="1" customFormat="1" spans="1:70">
      <c r="A215" s="1">
        <v>3495589</v>
      </c>
      <c r="B215" s="1" t="s">
        <v>800</v>
      </c>
      <c r="D215" s="4">
        <v>45260</v>
      </c>
      <c r="E215" s="4">
        <v>45271</v>
      </c>
      <c r="F215" s="7">
        <v>14809</v>
      </c>
      <c r="G215" s="1">
        <v>37</v>
      </c>
      <c r="H215" s="1">
        <v>9</v>
      </c>
      <c r="I215" s="1">
        <v>53</v>
      </c>
      <c r="J215" s="1">
        <v>9</v>
      </c>
      <c r="K215" s="1">
        <v>43</v>
      </c>
      <c r="L215" s="1">
        <v>21</v>
      </c>
      <c r="M215" s="1">
        <v>0.46</v>
      </c>
      <c r="N215" s="1">
        <v>12.5</v>
      </c>
      <c r="O215" s="7">
        <v>14809</v>
      </c>
      <c r="P215" s="4">
        <v>45260</v>
      </c>
      <c r="Q215" s="4">
        <v>45271</v>
      </c>
      <c r="R215" s="1" t="s">
        <v>80</v>
      </c>
      <c r="AO215" s="7">
        <v>14809</v>
      </c>
      <c r="AP215" s="5">
        <v>12.6</v>
      </c>
      <c r="AQ215" s="5">
        <v>138</v>
      </c>
      <c r="AR215" s="5">
        <v>45</v>
      </c>
      <c r="AS215" s="5">
        <v>234.3</v>
      </c>
      <c r="AT215" s="5">
        <v>24</v>
      </c>
      <c r="AU215" s="5">
        <v>34</v>
      </c>
      <c r="AV215" s="5">
        <v>37</v>
      </c>
      <c r="AW215" s="5">
        <v>9.86</v>
      </c>
      <c r="AX215" s="5">
        <v>83</v>
      </c>
      <c r="AY215" s="5" t="s">
        <v>125</v>
      </c>
      <c r="AZ215" s="5">
        <v>8.38</v>
      </c>
      <c r="BA215" s="5">
        <v>4.32</v>
      </c>
      <c r="BB215" s="12" t="s">
        <v>76</v>
      </c>
      <c r="BC215" s="5">
        <v>4.94</v>
      </c>
      <c r="BD215" s="5">
        <v>138</v>
      </c>
      <c r="BE215" s="5">
        <v>1.02</v>
      </c>
      <c r="BF215" s="5">
        <v>2.15</v>
      </c>
      <c r="BG215" s="15">
        <v>36.5</v>
      </c>
      <c r="BH215" s="5">
        <v>88</v>
      </c>
      <c r="BI215" s="5">
        <v>88</v>
      </c>
      <c r="BJ215" s="5">
        <v>19</v>
      </c>
      <c r="BK215" s="5">
        <v>132</v>
      </c>
      <c r="BL215" s="5">
        <v>78</v>
      </c>
      <c r="BM215" s="5">
        <v>70</v>
      </c>
      <c r="BN215" s="5">
        <v>170</v>
      </c>
      <c r="BO215" s="5">
        <f t="shared" si="3"/>
        <v>24.2214532871972</v>
      </c>
      <c r="BP215" s="5" t="s">
        <v>107</v>
      </c>
      <c r="BQ215" s="5">
        <v>7.8</v>
      </c>
      <c r="BR215" s="5">
        <v>4315.42</v>
      </c>
    </row>
    <row r="216" s="1" customFormat="1" spans="1:70">
      <c r="A216" s="1">
        <v>3265281</v>
      </c>
      <c r="B216" s="1" t="s">
        <v>801</v>
      </c>
      <c r="D216" s="4">
        <v>44937</v>
      </c>
      <c r="E216" s="4">
        <v>44945</v>
      </c>
      <c r="F216" s="7">
        <v>14818</v>
      </c>
      <c r="G216" s="1">
        <v>41</v>
      </c>
      <c r="H216" s="1">
        <v>8</v>
      </c>
      <c r="I216" s="1">
        <v>40</v>
      </c>
      <c r="J216" s="1">
        <v>8</v>
      </c>
      <c r="K216" s="1">
        <v>63</v>
      </c>
      <c r="L216" s="1">
        <v>34</v>
      </c>
      <c r="M216" s="1">
        <v>1.33</v>
      </c>
      <c r="N216" s="1">
        <v>11.8</v>
      </c>
      <c r="O216" s="7">
        <v>14818</v>
      </c>
      <c r="P216" s="4">
        <v>44937</v>
      </c>
      <c r="Q216" s="4">
        <v>44945</v>
      </c>
      <c r="R216" s="1" t="s">
        <v>73</v>
      </c>
      <c r="S216" s="1">
        <v>82</v>
      </c>
      <c r="T216" s="1" t="s">
        <v>802</v>
      </c>
      <c r="V216" s="1">
        <v>1</v>
      </c>
      <c r="Y216" s="1">
        <v>1</v>
      </c>
      <c r="AC216" s="1">
        <v>1</v>
      </c>
      <c r="AG216" s="1">
        <v>1</v>
      </c>
      <c r="AH216" s="1">
        <v>1</v>
      </c>
      <c r="AO216" s="7">
        <v>14818</v>
      </c>
      <c r="AP216" s="5">
        <v>7.4</v>
      </c>
      <c r="AQ216" s="5">
        <v>87</v>
      </c>
      <c r="AR216" s="5">
        <v>27.1</v>
      </c>
      <c r="AS216" s="5">
        <v>66</v>
      </c>
      <c r="AT216" s="5">
        <v>22</v>
      </c>
      <c r="AU216" s="5">
        <v>11</v>
      </c>
      <c r="AV216" s="5">
        <v>25.6</v>
      </c>
      <c r="AW216" s="5">
        <v>2.98</v>
      </c>
      <c r="AX216" s="5">
        <v>59</v>
      </c>
      <c r="AY216" s="5">
        <v>89.97</v>
      </c>
      <c r="AZ216" s="5" t="s">
        <v>75</v>
      </c>
      <c r="BA216" s="5">
        <v>4.32</v>
      </c>
      <c r="BB216" s="12" t="s">
        <v>76</v>
      </c>
      <c r="BC216" s="5">
        <v>3.68</v>
      </c>
      <c r="BD216" s="5">
        <v>87</v>
      </c>
      <c r="BE216" s="5">
        <v>0.64</v>
      </c>
      <c r="BF216" s="5">
        <v>3</v>
      </c>
      <c r="BG216" s="15">
        <v>37.1</v>
      </c>
      <c r="BH216" s="5">
        <v>70</v>
      </c>
      <c r="BI216" s="5">
        <v>70</v>
      </c>
      <c r="BJ216" s="5">
        <v>20</v>
      </c>
      <c r="BK216" s="5">
        <v>171</v>
      </c>
      <c r="BL216" s="5">
        <v>82</v>
      </c>
      <c r="BM216" s="5">
        <v>50</v>
      </c>
      <c r="BN216" s="5">
        <v>150</v>
      </c>
      <c r="BO216" s="5">
        <f t="shared" si="3"/>
        <v>22.2222222222222</v>
      </c>
      <c r="BP216" s="5" t="s">
        <v>161</v>
      </c>
      <c r="BQ216" s="5">
        <v>6.2</v>
      </c>
      <c r="BR216" s="5">
        <v>2037</v>
      </c>
    </row>
    <row r="217" s="1" customFormat="1" spans="1:70">
      <c r="A217" s="1">
        <v>3245340</v>
      </c>
      <c r="B217" s="1" t="s">
        <v>803</v>
      </c>
      <c r="D217" s="4">
        <v>44892</v>
      </c>
      <c r="E217" s="4">
        <v>44894</v>
      </c>
      <c r="F217" s="7">
        <v>14820</v>
      </c>
      <c r="G217" s="1">
        <v>39</v>
      </c>
      <c r="H217" s="1">
        <v>9</v>
      </c>
      <c r="I217" s="1">
        <v>42</v>
      </c>
      <c r="J217" s="1">
        <v>9</v>
      </c>
      <c r="K217" s="1">
        <v>54</v>
      </c>
      <c r="L217" s="1">
        <v>27</v>
      </c>
      <c r="M217" s="1">
        <v>0.55</v>
      </c>
      <c r="N217" s="1">
        <v>11.9</v>
      </c>
      <c r="O217" s="7">
        <v>14820</v>
      </c>
      <c r="P217" s="4">
        <v>44892</v>
      </c>
      <c r="Q217" s="4">
        <v>44894</v>
      </c>
      <c r="R217" s="1" t="s">
        <v>73</v>
      </c>
      <c r="AO217" s="7">
        <v>14820</v>
      </c>
      <c r="AP217" s="5">
        <v>8.8</v>
      </c>
      <c r="AQ217" s="5">
        <v>153</v>
      </c>
      <c r="AR217" s="5">
        <v>46.6</v>
      </c>
      <c r="AS217" s="5">
        <v>274.8</v>
      </c>
      <c r="AT217" s="5">
        <v>74</v>
      </c>
      <c r="AU217" s="5">
        <v>33</v>
      </c>
      <c r="AV217" s="5">
        <v>37.7</v>
      </c>
      <c r="AW217" s="5">
        <v>8.99</v>
      </c>
      <c r="AX217" s="5">
        <v>63</v>
      </c>
      <c r="AY217" s="5">
        <v>83.41</v>
      </c>
      <c r="AZ217" s="5" t="s">
        <v>804</v>
      </c>
      <c r="BA217" s="5">
        <v>3.95</v>
      </c>
      <c r="BB217" s="12" t="s">
        <v>76</v>
      </c>
      <c r="BC217" s="5">
        <v>3.43</v>
      </c>
      <c r="BD217" s="5">
        <v>153</v>
      </c>
      <c r="BE217" s="5">
        <v>1.55</v>
      </c>
      <c r="BF217" s="5">
        <v>1.57</v>
      </c>
      <c r="BG217" s="15">
        <v>36.5</v>
      </c>
      <c r="BH217" s="5">
        <v>105</v>
      </c>
      <c r="BI217" s="5">
        <v>105</v>
      </c>
      <c r="BJ217" s="5">
        <v>16</v>
      </c>
      <c r="BK217" s="5">
        <v>98</v>
      </c>
      <c r="BL217" s="5">
        <v>62</v>
      </c>
      <c r="BM217" s="5">
        <v>60</v>
      </c>
      <c r="BN217" s="5">
        <v>155</v>
      </c>
      <c r="BO217" s="5">
        <f t="shared" si="3"/>
        <v>24.9739854318418</v>
      </c>
      <c r="BP217" s="5" t="s">
        <v>323</v>
      </c>
      <c r="BQ217" s="5">
        <v>11.3</v>
      </c>
      <c r="BR217" s="5">
        <v>2926</v>
      </c>
    </row>
    <row r="218" s="1" customFormat="1" spans="1:70">
      <c r="A218" s="1" t="s">
        <v>805</v>
      </c>
      <c r="B218" s="1" t="s">
        <v>806</v>
      </c>
      <c r="C218" s="1">
        <v>1</v>
      </c>
      <c r="D218" s="4">
        <v>45288</v>
      </c>
      <c r="E218" s="4">
        <v>45300</v>
      </c>
      <c r="F218" s="7">
        <v>14824</v>
      </c>
      <c r="G218" s="1">
        <v>39</v>
      </c>
      <c r="H218" s="1">
        <v>9</v>
      </c>
      <c r="I218" s="1">
        <v>53</v>
      </c>
      <c r="J218" s="1">
        <v>9</v>
      </c>
      <c r="K218" s="1">
        <v>27</v>
      </c>
      <c r="L218" s="1">
        <v>13</v>
      </c>
      <c r="M218" s="1">
        <v>1.94</v>
      </c>
      <c r="N218" s="1">
        <v>18.6</v>
      </c>
      <c r="O218" s="7">
        <v>14824</v>
      </c>
      <c r="P218" s="4">
        <v>45288</v>
      </c>
      <c r="Q218" s="4">
        <v>45300</v>
      </c>
      <c r="R218" s="1" t="s">
        <v>80</v>
      </c>
      <c r="AO218" s="7">
        <v>14824</v>
      </c>
      <c r="AP218" s="5" t="s">
        <v>807</v>
      </c>
      <c r="AQ218" s="5" t="s">
        <v>295</v>
      </c>
      <c r="AR218" s="5" t="s">
        <v>808</v>
      </c>
      <c r="AS218" s="5" t="s">
        <v>809</v>
      </c>
      <c r="AT218" s="5" t="s">
        <v>755</v>
      </c>
      <c r="AU218" s="5" t="s">
        <v>89</v>
      </c>
      <c r="AV218" s="5" t="s">
        <v>810</v>
      </c>
      <c r="AW218" s="5" t="s">
        <v>645</v>
      </c>
      <c r="AX218" s="5" t="s">
        <v>222</v>
      </c>
      <c r="AY218" s="5" t="s">
        <v>76</v>
      </c>
      <c r="AZ218" s="5" t="s">
        <v>811</v>
      </c>
      <c r="BA218" s="5" t="s">
        <v>812</v>
      </c>
      <c r="BB218" s="12" t="s">
        <v>76</v>
      </c>
      <c r="BC218" s="5" t="s">
        <v>813</v>
      </c>
      <c r="BD218" s="5" t="s">
        <v>295</v>
      </c>
      <c r="BE218" s="5" t="s">
        <v>76</v>
      </c>
      <c r="BF218" s="5" t="s">
        <v>76</v>
      </c>
      <c r="BG218" s="15">
        <v>36.4</v>
      </c>
      <c r="BH218" s="5" t="s">
        <v>140</v>
      </c>
      <c r="BI218" s="5" t="s">
        <v>140</v>
      </c>
      <c r="BJ218" s="5" t="s">
        <v>193</v>
      </c>
      <c r="BK218" s="5" t="s">
        <v>351</v>
      </c>
      <c r="BL218" s="5" t="s">
        <v>347</v>
      </c>
      <c r="BM218" s="5" t="s">
        <v>205</v>
      </c>
      <c r="BN218" s="5">
        <v>160</v>
      </c>
      <c r="BO218" s="5">
        <f t="shared" si="3"/>
        <v>22.65625</v>
      </c>
      <c r="BP218" s="5" t="s">
        <v>684</v>
      </c>
      <c r="BQ218" s="5" t="s">
        <v>76</v>
      </c>
      <c r="BR218" s="5" t="s">
        <v>814</v>
      </c>
    </row>
    <row r="219" s="1" customFormat="1" spans="1:70">
      <c r="A219" s="1">
        <v>3496607</v>
      </c>
      <c r="B219" s="1" t="s">
        <v>815</v>
      </c>
      <c r="C219" s="1" t="s">
        <v>273</v>
      </c>
      <c r="D219" s="4">
        <v>45262</v>
      </c>
      <c r="E219" s="4">
        <v>45268</v>
      </c>
      <c r="F219" s="7">
        <v>14824</v>
      </c>
      <c r="G219" s="1">
        <v>52</v>
      </c>
      <c r="H219" s="1">
        <v>9</v>
      </c>
      <c r="I219" s="1">
        <v>53</v>
      </c>
      <c r="J219" s="1">
        <v>9</v>
      </c>
      <c r="K219" s="1">
        <v>52</v>
      </c>
      <c r="L219" s="1">
        <v>27</v>
      </c>
      <c r="N219" s="10">
        <v>13</v>
      </c>
      <c r="O219" s="7">
        <v>14824</v>
      </c>
      <c r="P219" s="4">
        <v>45262</v>
      </c>
      <c r="Q219" s="4">
        <v>45268</v>
      </c>
      <c r="R219" s="1" t="s">
        <v>80</v>
      </c>
      <c r="AO219" s="7">
        <v>14824</v>
      </c>
      <c r="AP219" s="5" t="s">
        <v>76</v>
      </c>
      <c r="AQ219" s="5" t="s">
        <v>76</v>
      </c>
      <c r="AR219" s="5" t="s">
        <v>76</v>
      </c>
      <c r="AS219" s="5" t="s">
        <v>76</v>
      </c>
      <c r="AT219" s="5" t="s">
        <v>76</v>
      </c>
      <c r="AU219" s="5" t="s">
        <v>76</v>
      </c>
      <c r="AV219" s="5" t="s">
        <v>76</v>
      </c>
      <c r="AW219" s="5" t="s">
        <v>76</v>
      </c>
      <c r="AX219" s="5" t="s">
        <v>76</v>
      </c>
      <c r="AY219" s="5" t="s">
        <v>76</v>
      </c>
      <c r="AZ219" s="5" t="s">
        <v>75</v>
      </c>
      <c r="BA219" s="5" t="s">
        <v>76</v>
      </c>
      <c r="BB219" s="12" t="s">
        <v>76</v>
      </c>
      <c r="BC219" s="5" t="s">
        <v>76</v>
      </c>
      <c r="BD219" s="5" t="s">
        <v>76</v>
      </c>
      <c r="BE219" s="5" t="s">
        <v>76</v>
      </c>
      <c r="BF219" s="5" t="s">
        <v>76</v>
      </c>
      <c r="BG219" s="15">
        <v>36.3</v>
      </c>
      <c r="BH219" s="5">
        <v>77</v>
      </c>
      <c r="BI219" s="5">
        <v>77</v>
      </c>
      <c r="BJ219" s="5">
        <v>12</v>
      </c>
      <c r="BK219" s="5">
        <v>137</v>
      </c>
      <c r="BL219" s="5">
        <v>89</v>
      </c>
      <c r="BM219" s="5">
        <v>70</v>
      </c>
      <c r="BN219" s="5">
        <v>175</v>
      </c>
      <c r="BO219" s="5">
        <f t="shared" si="3"/>
        <v>22.8571428571429</v>
      </c>
      <c r="BP219" s="5" t="s">
        <v>438</v>
      </c>
      <c r="BQ219" s="5">
        <v>6.9</v>
      </c>
      <c r="BR219" s="5">
        <v>3357</v>
      </c>
    </row>
    <row r="220" s="1" customFormat="1" spans="1:70">
      <c r="A220" s="1" t="s">
        <v>816</v>
      </c>
      <c r="B220" s="1" t="s">
        <v>817</v>
      </c>
      <c r="D220" s="4">
        <v>44990</v>
      </c>
      <c r="E220" s="4">
        <v>44995</v>
      </c>
      <c r="F220" s="7">
        <v>14824</v>
      </c>
      <c r="G220" s="1">
        <v>37</v>
      </c>
      <c r="H220" s="1">
        <v>9</v>
      </c>
      <c r="I220" s="1">
        <v>44</v>
      </c>
      <c r="J220" s="1">
        <v>8</v>
      </c>
      <c r="K220" s="1">
        <v>58</v>
      </c>
      <c r="L220" s="1">
        <v>30</v>
      </c>
      <c r="M220" s="1">
        <v>0.71</v>
      </c>
      <c r="N220" s="1">
        <v>10.9</v>
      </c>
      <c r="O220" s="7">
        <v>14824</v>
      </c>
      <c r="P220" s="4">
        <v>44990</v>
      </c>
      <c r="Q220" s="4">
        <v>44995</v>
      </c>
      <c r="R220" s="1" t="s">
        <v>73</v>
      </c>
      <c r="AO220" s="7">
        <v>14824</v>
      </c>
      <c r="AP220" s="5" t="s">
        <v>674</v>
      </c>
      <c r="AQ220" s="5" t="s">
        <v>818</v>
      </c>
      <c r="AR220" s="5" t="s">
        <v>819</v>
      </c>
      <c r="AS220" s="5" t="s">
        <v>820</v>
      </c>
      <c r="AT220" s="5" t="s">
        <v>422</v>
      </c>
      <c r="AU220" s="5" t="s">
        <v>93</v>
      </c>
      <c r="AV220" s="5" t="s">
        <v>821</v>
      </c>
      <c r="AW220" s="5" t="s">
        <v>822</v>
      </c>
      <c r="AX220" s="5" t="s">
        <v>511</v>
      </c>
      <c r="AY220" s="5" t="s">
        <v>76</v>
      </c>
      <c r="AZ220" s="5" t="s">
        <v>823</v>
      </c>
      <c r="BA220" s="5" t="s">
        <v>76</v>
      </c>
      <c r="BB220" s="12" t="s">
        <v>76</v>
      </c>
      <c r="BC220" s="5" t="s">
        <v>824</v>
      </c>
      <c r="BD220" s="5" t="s">
        <v>818</v>
      </c>
      <c r="BE220" s="5" t="s">
        <v>76</v>
      </c>
      <c r="BF220" s="5" t="s">
        <v>76</v>
      </c>
      <c r="BG220" s="15">
        <v>36.2</v>
      </c>
      <c r="BH220" s="5" t="s">
        <v>192</v>
      </c>
      <c r="BI220" s="5" t="s">
        <v>76</v>
      </c>
      <c r="BJ220" s="5" t="s">
        <v>193</v>
      </c>
      <c r="BK220" s="5" t="s">
        <v>798</v>
      </c>
      <c r="BL220" s="5" t="s">
        <v>825</v>
      </c>
      <c r="BM220" s="5" t="s">
        <v>352</v>
      </c>
      <c r="BN220" s="5">
        <v>150</v>
      </c>
      <c r="BO220" s="5">
        <f t="shared" si="3"/>
        <v>24.4444444444444</v>
      </c>
      <c r="BP220" s="5" t="s">
        <v>616</v>
      </c>
      <c r="BQ220" s="5" t="s">
        <v>76</v>
      </c>
      <c r="BR220" s="5">
        <v>8607</v>
      </c>
    </row>
    <row r="221" s="1" customFormat="1" spans="1:70">
      <c r="A221" s="1">
        <v>3511841</v>
      </c>
      <c r="B221" s="1" t="s">
        <v>826</v>
      </c>
      <c r="D221" s="4">
        <v>45282</v>
      </c>
      <c r="E221" s="4">
        <v>45300</v>
      </c>
      <c r="F221" s="7">
        <v>14826</v>
      </c>
      <c r="G221" s="1">
        <v>40</v>
      </c>
      <c r="H221" s="1">
        <v>8</v>
      </c>
      <c r="I221" s="1">
        <v>47</v>
      </c>
      <c r="J221" s="1">
        <v>8</v>
      </c>
      <c r="K221" s="1">
        <v>56</v>
      </c>
      <c r="L221" s="1">
        <v>30</v>
      </c>
      <c r="M221" s="1">
        <v>0.77</v>
      </c>
      <c r="N221" s="10">
        <v>18</v>
      </c>
      <c r="O221" s="7">
        <v>14826</v>
      </c>
      <c r="P221" s="4">
        <v>45282</v>
      </c>
      <c r="Q221" s="4">
        <v>45300</v>
      </c>
      <c r="R221" s="1" t="s">
        <v>73</v>
      </c>
      <c r="AO221" s="7">
        <v>14826</v>
      </c>
      <c r="AP221" s="5">
        <v>60</v>
      </c>
      <c r="AQ221" s="5">
        <v>83</v>
      </c>
      <c r="AR221" s="5">
        <v>25.6</v>
      </c>
      <c r="AS221" s="5">
        <v>2</v>
      </c>
      <c r="AT221" s="5">
        <v>22</v>
      </c>
      <c r="AU221" s="5">
        <v>8</v>
      </c>
      <c r="AV221" s="5">
        <v>8.6</v>
      </c>
      <c r="AW221" s="5">
        <v>30.4</v>
      </c>
      <c r="AX221" s="5">
        <v>375</v>
      </c>
      <c r="AY221" s="5">
        <v>16.5</v>
      </c>
      <c r="AZ221" s="5">
        <v>4.73</v>
      </c>
      <c r="BA221" s="5">
        <v>6.8</v>
      </c>
      <c r="BB221" s="12" t="s">
        <v>76</v>
      </c>
      <c r="BC221" s="5">
        <v>5.43</v>
      </c>
      <c r="BD221" s="5">
        <v>83</v>
      </c>
      <c r="BE221" s="5" t="s">
        <v>76</v>
      </c>
      <c r="BF221" s="5" t="s">
        <v>76</v>
      </c>
      <c r="BG221" s="15">
        <v>37</v>
      </c>
      <c r="BH221" s="5" t="s">
        <v>76</v>
      </c>
      <c r="BI221" s="5">
        <v>80</v>
      </c>
      <c r="BJ221" s="5">
        <v>20</v>
      </c>
      <c r="BK221" s="5">
        <v>180</v>
      </c>
      <c r="BL221" s="5">
        <v>84</v>
      </c>
      <c r="BM221" s="5">
        <v>60</v>
      </c>
      <c r="BN221" s="5">
        <v>150</v>
      </c>
      <c r="BO221" s="5">
        <f t="shared" si="3"/>
        <v>26.6666666666667</v>
      </c>
      <c r="BP221" s="5" t="s">
        <v>164</v>
      </c>
      <c r="BQ221" s="5">
        <v>5.2</v>
      </c>
      <c r="BR221" s="5">
        <v>5434</v>
      </c>
    </row>
    <row r="222" s="1" customFormat="1" spans="1:70">
      <c r="A222" s="1">
        <v>3249042</v>
      </c>
      <c r="B222" s="1" t="s">
        <v>827</v>
      </c>
      <c r="D222" s="4">
        <v>44899</v>
      </c>
      <c r="E222" s="4">
        <v>44904</v>
      </c>
      <c r="F222" s="7">
        <v>14829</v>
      </c>
      <c r="G222" s="1">
        <v>36</v>
      </c>
      <c r="H222" s="1">
        <v>7</v>
      </c>
      <c r="I222" s="1">
        <v>63</v>
      </c>
      <c r="J222" s="1">
        <v>7</v>
      </c>
      <c r="K222" s="1">
        <v>39</v>
      </c>
      <c r="L222" s="1">
        <v>19</v>
      </c>
      <c r="M222" s="1">
        <v>2.65</v>
      </c>
      <c r="N222" s="1">
        <v>19.3</v>
      </c>
      <c r="O222" s="7">
        <v>14829</v>
      </c>
      <c r="P222" s="4">
        <v>44899</v>
      </c>
      <c r="Q222" s="4">
        <v>44904</v>
      </c>
      <c r="R222" s="1" t="s">
        <v>73</v>
      </c>
      <c r="AO222" s="7">
        <v>14829</v>
      </c>
      <c r="AP222" s="5">
        <v>7.6</v>
      </c>
      <c r="AQ222" s="5">
        <v>118</v>
      </c>
      <c r="AR222" s="5">
        <v>35.9</v>
      </c>
      <c r="AS222" s="5">
        <v>8.7</v>
      </c>
      <c r="AT222" s="5">
        <v>20</v>
      </c>
      <c r="AU222" s="5">
        <v>29</v>
      </c>
      <c r="AV222" s="5">
        <v>38</v>
      </c>
      <c r="AW222" s="5">
        <v>7</v>
      </c>
      <c r="AX222" s="5">
        <v>86</v>
      </c>
      <c r="AY222" s="5">
        <v>63.32</v>
      </c>
      <c r="AZ222" s="5">
        <v>5.25</v>
      </c>
      <c r="BA222" s="5">
        <v>3.2</v>
      </c>
      <c r="BB222" s="12" t="s">
        <v>76</v>
      </c>
      <c r="BC222" s="5">
        <v>4.22</v>
      </c>
      <c r="BD222" s="5">
        <v>118</v>
      </c>
      <c r="BE222" s="5">
        <v>0.88</v>
      </c>
      <c r="BF222" s="5">
        <v>2.1</v>
      </c>
      <c r="BG222" s="15">
        <v>36.5</v>
      </c>
      <c r="BH222" s="5">
        <v>62</v>
      </c>
      <c r="BI222" s="5">
        <v>70</v>
      </c>
      <c r="BJ222" s="5">
        <v>17</v>
      </c>
      <c r="BK222" s="5">
        <v>120</v>
      </c>
      <c r="BL222" s="5">
        <v>71</v>
      </c>
      <c r="BM222" s="5">
        <v>60</v>
      </c>
      <c r="BN222" s="5">
        <v>160</v>
      </c>
      <c r="BO222" s="5">
        <f t="shared" si="3"/>
        <v>23.4375</v>
      </c>
      <c r="BP222" s="5" t="s">
        <v>357</v>
      </c>
      <c r="BQ222" s="5" t="s">
        <v>76</v>
      </c>
      <c r="BR222" s="5">
        <v>7948</v>
      </c>
    </row>
    <row r="223" s="1" customFormat="1" spans="1:70">
      <c r="A223" s="1">
        <v>3331900</v>
      </c>
      <c r="B223" s="1" t="s">
        <v>828</v>
      </c>
      <c r="D223" s="4">
        <v>45034</v>
      </c>
      <c r="E223" s="4">
        <v>45043</v>
      </c>
      <c r="F223" s="7">
        <v>14830</v>
      </c>
      <c r="G223" s="1">
        <v>40</v>
      </c>
      <c r="H223" s="1">
        <v>9</v>
      </c>
      <c r="I223" s="1">
        <v>52</v>
      </c>
      <c r="J223" s="1">
        <v>9</v>
      </c>
      <c r="K223" s="1">
        <v>42</v>
      </c>
      <c r="L223" s="1">
        <v>21</v>
      </c>
      <c r="O223" s="7">
        <v>14830</v>
      </c>
      <c r="P223" s="4">
        <v>45034</v>
      </c>
      <c r="Q223" s="4">
        <v>45043</v>
      </c>
      <c r="R223" s="1" t="s">
        <v>80</v>
      </c>
      <c r="AO223" s="7">
        <v>14830</v>
      </c>
      <c r="AP223" s="5">
        <v>7.5</v>
      </c>
      <c r="AQ223" s="5">
        <v>95</v>
      </c>
      <c r="AR223" s="5">
        <v>44.3</v>
      </c>
      <c r="AS223" s="5">
        <v>92</v>
      </c>
      <c r="AT223" s="5">
        <v>52</v>
      </c>
      <c r="AU223" s="5">
        <v>87</v>
      </c>
      <c r="AV223" s="5">
        <v>31.6</v>
      </c>
      <c r="AW223" s="5">
        <v>22.67</v>
      </c>
      <c r="AX223" s="5">
        <v>99</v>
      </c>
      <c r="AY223" s="5">
        <v>96.36</v>
      </c>
      <c r="AZ223" s="5">
        <v>9.1</v>
      </c>
      <c r="BA223" s="5" t="s">
        <v>76</v>
      </c>
      <c r="BB223" s="12" t="s">
        <v>76</v>
      </c>
      <c r="BC223" s="5">
        <v>4.09</v>
      </c>
      <c r="BD223" s="5">
        <v>95</v>
      </c>
      <c r="BE223" s="5" t="s">
        <v>76</v>
      </c>
      <c r="BF223" s="5" t="s">
        <v>76</v>
      </c>
      <c r="BG223" s="15">
        <v>37.4</v>
      </c>
      <c r="BH223" s="5">
        <v>94</v>
      </c>
      <c r="BI223" s="5">
        <v>94</v>
      </c>
      <c r="BJ223" s="5">
        <v>24</v>
      </c>
      <c r="BK223" s="5">
        <v>134</v>
      </c>
      <c r="BL223" s="5">
        <v>86</v>
      </c>
      <c r="BM223" s="5" t="s">
        <v>77</v>
      </c>
      <c r="BN223" s="5" t="s">
        <v>77</v>
      </c>
      <c r="BO223" s="5" t="e">
        <f t="shared" si="3"/>
        <v>#VALUE!</v>
      </c>
      <c r="BP223" s="5" t="s">
        <v>117</v>
      </c>
      <c r="BQ223" s="5">
        <v>7.2</v>
      </c>
      <c r="BR223" s="5">
        <v>8695</v>
      </c>
    </row>
    <row r="224" s="1" customFormat="1" spans="1:70">
      <c r="A224" s="1">
        <v>3242984</v>
      </c>
      <c r="B224" s="1" t="s">
        <v>829</v>
      </c>
      <c r="D224" s="4">
        <v>44887</v>
      </c>
      <c r="E224" s="4">
        <v>44892</v>
      </c>
      <c r="F224" s="7">
        <v>14831</v>
      </c>
      <c r="G224" s="1">
        <v>47</v>
      </c>
      <c r="H224" s="1">
        <v>8</v>
      </c>
      <c r="I224" s="1">
        <v>45</v>
      </c>
      <c r="J224" s="1">
        <v>8</v>
      </c>
      <c r="K224" s="1">
        <v>61</v>
      </c>
      <c r="L224" s="1">
        <v>32</v>
      </c>
      <c r="N224" s="1">
        <v>12.5</v>
      </c>
      <c r="O224" s="7">
        <v>14831</v>
      </c>
      <c r="P224" s="4">
        <v>44887</v>
      </c>
      <c r="Q224" s="4">
        <v>44892</v>
      </c>
      <c r="R224" s="1" t="s">
        <v>80</v>
      </c>
      <c r="AO224" s="7">
        <v>14831</v>
      </c>
      <c r="AP224" s="5">
        <v>9.4</v>
      </c>
      <c r="AQ224" s="5">
        <v>151</v>
      </c>
      <c r="AR224" s="5">
        <v>48.7</v>
      </c>
      <c r="AS224" s="5">
        <v>4.8</v>
      </c>
      <c r="AT224" s="5">
        <v>58</v>
      </c>
      <c r="AU224" s="5">
        <v>23</v>
      </c>
      <c r="AV224" s="5">
        <v>38.4</v>
      </c>
      <c r="AW224" s="5">
        <v>8.57</v>
      </c>
      <c r="AX224" s="5">
        <v>91</v>
      </c>
      <c r="AY224" s="5">
        <v>63.75</v>
      </c>
      <c r="AZ224" s="5" t="s">
        <v>75</v>
      </c>
      <c r="BA224" s="5">
        <v>4.43</v>
      </c>
      <c r="BB224" s="12" t="s">
        <v>76</v>
      </c>
      <c r="BC224" s="5">
        <v>5.35</v>
      </c>
      <c r="BD224" s="5">
        <v>151</v>
      </c>
      <c r="BE224" s="5">
        <v>1.1</v>
      </c>
      <c r="BF224" s="5">
        <v>2.92</v>
      </c>
      <c r="BG224" s="15">
        <v>36.5</v>
      </c>
      <c r="BH224" s="5">
        <v>59</v>
      </c>
      <c r="BI224" s="5">
        <v>69</v>
      </c>
      <c r="BJ224" s="5">
        <v>18</v>
      </c>
      <c r="BK224" s="5">
        <v>131</v>
      </c>
      <c r="BL224" s="5">
        <v>63</v>
      </c>
      <c r="BM224" s="5">
        <v>72</v>
      </c>
      <c r="BN224" s="5">
        <v>170</v>
      </c>
      <c r="BO224" s="5">
        <f t="shared" si="3"/>
        <v>24.9134948096886</v>
      </c>
      <c r="BP224" s="5" t="s">
        <v>323</v>
      </c>
      <c r="BQ224" s="5">
        <v>5.7</v>
      </c>
      <c r="BR224" s="5">
        <v>5115.27</v>
      </c>
    </row>
    <row r="225" s="1" customFormat="1" spans="1:70">
      <c r="A225" s="1" t="s">
        <v>830</v>
      </c>
      <c r="B225" s="1" t="s">
        <v>831</v>
      </c>
      <c r="D225" s="4">
        <v>44918</v>
      </c>
      <c r="E225" s="4">
        <v>44929</v>
      </c>
      <c r="F225" s="7">
        <v>14832</v>
      </c>
      <c r="G225" s="1">
        <v>33</v>
      </c>
      <c r="H225" s="1">
        <v>9</v>
      </c>
      <c r="I225" s="1">
        <v>45</v>
      </c>
      <c r="J225" s="1">
        <v>8</v>
      </c>
      <c r="K225" s="1">
        <v>58</v>
      </c>
      <c r="L225" s="1">
        <v>31</v>
      </c>
      <c r="M225" s="1">
        <v>0.59</v>
      </c>
      <c r="N225" s="1">
        <v>16.8</v>
      </c>
      <c r="O225" s="7">
        <v>14832</v>
      </c>
      <c r="P225" s="4">
        <v>44918</v>
      </c>
      <c r="Q225" s="4">
        <v>44929</v>
      </c>
      <c r="R225" s="1" t="s">
        <v>73</v>
      </c>
      <c r="AO225" s="7">
        <v>14832</v>
      </c>
      <c r="AP225" s="5" t="s">
        <v>381</v>
      </c>
      <c r="AQ225" s="5" t="s">
        <v>140</v>
      </c>
      <c r="AR225" s="5" t="s">
        <v>130</v>
      </c>
      <c r="AS225" s="5" t="s">
        <v>832</v>
      </c>
      <c r="AT225" s="5" t="s">
        <v>352</v>
      </c>
      <c r="AU225" s="5" t="s">
        <v>594</v>
      </c>
      <c r="AV225" s="5" t="s">
        <v>833</v>
      </c>
      <c r="AW225" s="5" t="s">
        <v>834</v>
      </c>
      <c r="AX225" s="5" t="s">
        <v>233</v>
      </c>
      <c r="AY225" s="5" t="s">
        <v>835</v>
      </c>
      <c r="AZ225" s="5" t="s">
        <v>836</v>
      </c>
      <c r="BA225" s="5" t="s">
        <v>76</v>
      </c>
      <c r="BB225" s="12" t="s">
        <v>76</v>
      </c>
      <c r="BC225" s="5" t="s">
        <v>837</v>
      </c>
      <c r="BD225" s="5" t="s">
        <v>140</v>
      </c>
      <c r="BE225" s="5" t="s">
        <v>76</v>
      </c>
      <c r="BF225" s="5" t="s">
        <v>76</v>
      </c>
      <c r="BG225" s="15">
        <v>36.6</v>
      </c>
      <c r="BH225" s="5" t="s">
        <v>212</v>
      </c>
      <c r="BI225" s="5" t="s">
        <v>76</v>
      </c>
      <c r="BJ225" s="5" t="s">
        <v>101</v>
      </c>
      <c r="BK225" s="5" t="s">
        <v>759</v>
      </c>
      <c r="BL225" s="5" t="s">
        <v>195</v>
      </c>
      <c r="BM225" s="5" t="s">
        <v>352</v>
      </c>
      <c r="BN225" s="5">
        <v>150</v>
      </c>
      <c r="BO225" s="5">
        <f t="shared" si="3"/>
        <v>24.4444444444444</v>
      </c>
      <c r="BP225" s="5" t="s">
        <v>105</v>
      </c>
      <c r="BQ225" s="5" t="s">
        <v>76</v>
      </c>
      <c r="BR225" s="5">
        <v>4630</v>
      </c>
    </row>
    <row r="226" s="1" customFormat="1" spans="1:70">
      <c r="A226" s="1">
        <v>3503018</v>
      </c>
      <c r="B226" s="1" t="s">
        <v>838</v>
      </c>
      <c r="D226" s="4">
        <v>45271</v>
      </c>
      <c r="E226" s="4">
        <v>45277</v>
      </c>
      <c r="F226" s="7">
        <v>14839</v>
      </c>
      <c r="G226" s="1">
        <v>32</v>
      </c>
      <c r="H226" s="1">
        <v>8</v>
      </c>
      <c r="I226" s="1">
        <v>43</v>
      </c>
      <c r="J226" s="1">
        <v>8</v>
      </c>
      <c r="K226" s="1">
        <v>69</v>
      </c>
      <c r="L226" s="1">
        <v>39</v>
      </c>
      <c r="M226" s="1">
        <v>0.69</v>
      </c>
      <c r="N226" s="1">
        <v>5.8</v>
      </c>
      <c r="O226" s="7">
        <v>14839</v>
      </c>
      <c r="P226" s="4">
        <v>45271</v>
      </c>
      <c r="Q226" s="4">
        <v>45277</v>
      </c>
      <c r="R226" s="1" t="s">
        <v>80</v>
      </c>
      <c r="AO226" s="7">
        <v>14839</v>
      </c>
      <c r="AP226" s="5">
        <v>7.6</v>
      </c>
      <c r="AQ226" s="5">
        <v>166</v>
      </c>
      <c r="AR226" s="5">
        <v>56.7</v>
      </c>
      <c r="AS226" s="5">
        <v>2.5</v>
      </c>
      <c r="AT226" s="5">
        <v>51</v>
      </c>
      <c r="AU226" s="5">
        <v>28</v>
      </c>
      <c r="AV226" s="5">
        <v>38.9</v>
      </c>
      <c r="AW226" s="5">
        <v>10.25</v>
      </c>
      <c r="AX226" s="5">
        <v>51</v>
      </c>
      <c r="AY226" s="5" t="s">
        <v>125</v>
      </c>
      <c r="AZ226" s="5" t="s">
        <v>75</v>
      </c>
      <c r="BA226" s="5" t="s">
        <v>76</v>
      </c>
      <c r="BB226" s="12" t="s">
        <v>76</v>
      </c>
      <c r="BC226" s="5">
        <v>4.08</v>
      </c>
      <c r="BD226" s="5">
        <v>166</v>
      </c>
      <c r="BE226" s="5" t="s">
        <v>76</v>
      </c>
      <c r="BF226" s="5" t="s">
        <v>76</v>
      </c>
      <c r="BG226" s="15">
        <v>36.5</v>
      </c>
      <c r="BH226" s="5">
        <v>66</v>
      </c>
      <c r="BI226" s="5">
        <v>66</v>
      </c>
      <c r="BJ226" s="5">
        <v>22</v>
      </c>
      <c r="BK226" s="5">
        <v>98</v>
      </c>
      <c r="BL226" s="5">
        <v>56</v>
      </c>
      <c r="BM226" s="5">
        <v>54</v>
      </c>
      <c r="BN226" s="5">
        <v>158</v>
      </c>
      <c r="BO226" s="5">
        <f t="shared" si="3"/>
        <v>21.6311488543503</v>
      </c>
      <c r="BP226" s="5" t="s">
        <v>271</v>
      </c>
      <c r="BQ226" s="5" t="s">
        <v>76</v>
      </c>
      <c r="BR226" s="5">
        <v>9374</v>
      </c>
    </row>
    <row r="227" s="1" customFormat="1" spans="1:70">
      <c r="A227" s="1">
        <v>3268844</v>
      </c>
      <c r="B227" s="1" t="s">
        <v>839</v>
      </c>
      <c r="D227" s="4">
        <v>44945</v>
      </c>
      <c r="E227" s="4">
        <v>44972</v>
      </c>
      <c r="F227" s="7">
        <v>14872</v>
      </c>
      <c r="G227" s="1">
        <v>34</v>
      </c>
      <c r="H227" s="1">
        <v>9</v>
      </c>
      <c r="I227" s="1">
        <v>41</v>
      </c>
      <c r="J227" s="1">
        <v>9</v>
      </c>
      <c r="K227" s="1">
        <v>65</v>
      </c>
      <c r="L227" s="1">
        <v>36</v>
      </c>
      <c r="M227" s="1">
        <v>0.56</v>
      </c>
      <c r="O227" s="7">
        <v>14872</v>
      </c>
      <c r="P227" s="4">
        <v>44945</v>
      </c>
      <c r="Q227" s="4">
        <v>44972</v>
      </c>
      <c r="R227" s="1" t="s">
        <v>73</v>
      </c>
      <c r="AO227" s="7">
        <v>14872</v>
      </c>
      <c r="AP227" s="5">
        <v>9.4</v>
      </c>
      <c r="AQ227" s="5">
        <v>97</v>
      </c>
      <c r="AR227" s="5">
        <v>58</v>
      </c>
      <c r="AS227" s="5">
        <v>9.2</v>
      </c>
      <c r="AT227" s="5">
        <v>37</v>
      </c>
      <c r="AU227" s="5">
        <v>9</v>
      </c>
      <c r="AV227" s="5">
        <v>36.4</v>
      </c>
      <c r="AW227" s="5">
        <v>9.96</v>
      </c>
      <c r="AX227" s="5">
        <v>54</v>
      </c>
      <c r="AY227" s="5" t="s">
        <v>125</v>
      </c>
      <c r="AZ227" s="5">
        <v>9.9</v>
      </c>
      <c r="BA227" s="5">
        <v>4.33</v>
      </c>
      <c r="BB227" s="12" t="s">
        <v>76</v>
      </c>
      <c r="BC227" s="5">
        <v>5.03</v>
      </c>
      <c r="BD227" s="5">
        <v>97</v>
      </c>
      <c r="BE227" s="5">
        <v>1.2</v>
      </c>
      <c r="BF227" s="5">
        <v>2.24</v>
      </c>
      <c r="BG227" s="15">
        <v>36.1</v>
      </c>
      <c r="BH227" s="5" t="s">
        <v>76</v>
      </c>
      <c r="BI227" s="5">
        <v>98</v>
      </c>
      <c r="BJ227" s="5">
        <v>27</v>
      </c>
      <c r="BK227" s="5">
        <v>173</v>
      </c>
      <c r="BL227" s="5">
        <v>85</v>
      </c>
      <c r="BM227" s="5" t="s">
        <v>77</v>
      </c>
      <c r="BN227" s="5" t="s">
        <v>77</v>
      </c>
      <c r="BO227" s="5" t="e">
        <f t="shared" si="3"/>
        <v>#VALUE!</v>
      </c>
      <c r="BP227" s="5" t="s">
        <v>117</v>
      </c>
      <c r="BQ227" s="5">
        <v>5.7</v>
      </c>
      <c r="BR227" s="5">
        <v>9945</v>
      </c>
    </row>
    <row r="228" s="1" customFormat="1" spans="1:70">
      <c r="A228" s="1">
        <v>3491376</v>
      </c>
      <c r="B228" s="1" t="s">
        <v>840</v>
      </c>
      <c r="D228" s="4">
        <v>45254</v>
      </c>
      <c r="E228" s="4">
        <v>45261</v>
      </c>
      <c r="F228" s="7">
        <v>14879</v>
      </c>
      <c r="G228" s="1">
        <v>40</v>
      </c>
      <c r="H228" s="1">
        <v>9</v>
      </c>
      <c r="I228" s="1">
        <v>59</v>
      </c>
      <c r="J228" s="1">
        <v>9</v>
      </c>
      <c r="K228" s="1">
        <v>46</v>
      </c>
      <c r="L228" s="1">
        <v>23</v>
      </c>
      <c r="M228" s="1">
        <v>1.83</v>
      </c>
      <c r="N228" s="1">
        <v>29.3</v>
      </c>
      <c r="O228" s="7">
        <v>14879</v>
      </c>
      <c r="P228" s="4">
        <v>45254</v>
      </c>
      <c r="Q228" s="4">
        <v>45261</v>
      </c>
      <c r="R228" s="1" t="s">
        <v>80</v>
      </c>
      <c r="AO228" s="7">
        <v>14879</v>
      </c>
      <c r="AP228" s="5">
        <v>5.6</v>
      </c>
      <c r="AQ228" s="5">
        <v>134</v>
      </c>
      <c r="AR228" s="5">
        <v>41.1</v>
      </c>
      <c r="AS228" s="5" t="s">
        <v>76</v>
      </c>
      <c r="AT228" s="5">
        <v>66</v>
      </c>
      <c r="AU228" s="5">
        <v>11</v>
      </c>
      <c r="AV228" s="5">
        <v>37.6</v>
      </c>
      <c r="AW228" s="5">
        <v>3.36</v>
      </c>
      <c r="AX228" s="5">
        <v>85</v>
      </c>
      <c r="AY228" s="5">
        <v>79.37</v>
      </c>
      <c r="AZ228" s="5" t="s">
        <v>75</v>
      </c>
      <c r="BA228" s="5">
        <v>5.25</v>
      </c>
      <c r="BB228" s="12" t="s">
        <v>76</v>
      </c>
      <c r="BC228" s="5">
        <v>3.93</v>
      </c>
      <c r="BD228" s="5">
        <v>134</v>
      </c>
      <c r="BE228" s="5">
        <v>1.46</v>
      </c>
      <c r="BF228" s="5">
        <v>2.44</v>
      </c>
      <c r="BG228" s="15">
        <v>36.4</v>
      </c>
      <c r="BH228" s="5">
        <v>92</v>
      </c>
      <c r="BI228" s="5">
        <v>92</v>
      </c>
      <c r="BJ228" s="5">
        <v>18</v>
      </c>
      <c r="BK228" s="5">
        <v>161</v>
      </c>
      <c r="BL228" s="5">
        <v>108</v>
      </c>
      <c r="BM228" s="5">
        <v>60</v>
      </c>
      <c r="BN228" s="5">
        <v>165</v>
      </c>
      <c r="BO228" s="5">
        <f t="shared" si="3"/>
        <v>22.038567493113</v>
      </c>
      <c r="BP228" s="5" t="s">
        <v>121</v>
      </c>
      <c r="BQ228" s="5">
        <v>5.3</v>
      </c>
      <c r="BR228" s="5">
        <v>3851</v>
      </c>
    </row>
    <row r="229" s="1" customFormat="1" spans="1:70">
      <c r="A229" s="1">
        <v>3314794</v>
      </c>
      <c r="B229" s="1" t="s">
        <v>841</v>
      </c>
      <c r="D229" s="4">
        <v>45011</v>
      </c>
      <c r="E229" s="4">
        <v>45016</v>
      </c>
      <c r="F229" s="7">
        <v>14893</v>
      </c>
      <c r="G229" s="1">
        <v>40</v>
      </c>
      <c r="H229" s="1">
        <v>10</v>
      </c>
      <c r="I229" s="1">
        <v>46</v>
      </c>
      <c r="J229" s="1">
        <v>10</v>
      </c>
      <c r="K229" s="1">
        <v>48</v>
      </c>
      <c r="L229" s="1">
        <v>24</v>
      </c>
      <c r="M229" s="1">
        <v>1.07</v>
      </c>
      <c r="O229" s="7">
        <v>14893</v>
      </c>
      <c r="P229" s="4">
        <v>45011</v>
      </c>
      <c r="Q229" s="4">
        <v>45016</v>
      </c>
      <c r="R229" s="1" t="s">
        <v>73</v>
      </c>
      <c r="AO229" s="7">
        <v>14893</v>
      </c>
      <c r="AP229" s="5">
        <v>6.4</v>
      </c>
      <c r="AQ229" s="5">
        <v>124</v>
      </c>
      <c r="AR229" s="5">
        <v>38.6</v>
      </c>
      <c r="AS229" s="5" t="s">
        <v>81</v>
      </c>
      <c r="AT229" s="5">
        <v>94</v>
      </c>
      <c r="AU229" s="5">
        <v>22</v>
      </c>
      <c r="AV229" s="5">
        <v>38.2</v>
      </c>
      <c r="AW229" s="5">
        <v>6.25</v>
      </c>
      <c r="AX229" s="5">
        <v>64</v>
      </c>
      <c r="AY229" s="5">
        <v>93.63</v>
      </c>
      <c r="AZ229" s="5" t="s">
        <v>75</v>
      </c>
      <c r="BA229" s="5">
        <v>4.8</v>
      </c>
      <c r="BB229" s="12" t="s">
        <v>76</v>
      </c>
      <c r="BC229" s="5">
        <v>3.96</v>
      </c>
      <c r="BD229" s="5">
        <v>124</v>
      </c>
      <c r="BE229" s="5">
        <v>1.25</v>
      </c>
      <c r="BF229" s="5">
        <v>2.9</v>
      </c>
      <c r="BG229" s="15">
        <v>36.5</v>
      </c>
      <c r="BH229" s="5">
        <v>118</v>
      </c>
      <c r="BI229" s="5">
        <v>140</v>
      </c>
      <c r="BJ229" s="5">
        <v>20</v>
      </c>
      <c r="BK229" s="5">
        <v>139</v>
      </c>
      <c r="BL229" s="5">
        <v>87</v>
      </c>
      <c r="BM229" s="5">
        <v>45</v>
      </c>
      <c r="BN229" s="5">
        <v>148</v>
      </c>
      <c r="BO229" s="5">
        <f t="shared" si="3"/>
        <v>20.5441928414901</v>
      </c>
      <c r="BP229" s="5" t="s">
        <v>323</v>
      </c>
      <c r="BQ229" s="5">
        <v>6.4</v>
      </c>
      <c r="BR229" s="5">
        <v>6280</v>
      </c>
    </row>
    <row r="230" s="1" customFormat="1" spans="1:70">
      <c r="A230" s="1" t="s">
        <v>842</v>
      </c>
      <c r="B230" s="1" t="s">
        <v>843</v>
      </c>
      <c r="D230" s="4">
        <v>45264</v>
      </c>
      <c r="E230" s="4">
        <v>45268</v>
      </c>
      <c r="F230" s="7">
        <v>14910</v>
      </c>
      <c r="G230" s="1">
        <v>49</v>
      </c>
      <c r="H230" s="1">
        <v>9</v>
      </c>
      <c r="I230" s="1">
        <v>51</v>
      </c>
      <c r="J230" s="1">
        <v>9</v>
      </c>
      <c r="K230" s="1">
        <v>62</v>
      </c>
      <c r="L230" s="1">
        <v>33</v>
      </c>
      <c r="N230" s="1">
        <v>10</v>
      </c>
      <c r="O230" s="7">
        <v>14910</v>
      </c>
      <c r="P230" s="4">
        <v>45264</v>
      </c>
      <c r="Q230" s="4">
        <v>45268</v>
      </c>
      <c r="R230" s="1" t="s">
        <v>80</v>
      </c>
      <c r="AO230" s="7">
        <v>14910</v>
      </c>
      <c r="AP230" s="5" t="s">
        <v>844</v>
      </c>
      <c r="AQ230" s="5" t="s">
        <v>192</v>
      </c>
      <c r="AR230" s="5" t="s">
        <v>845</v>
      </c>
      <c r="AS230" s="5" t="s">
        <v>846</v>
      </c>
      <c r="AT230" s="5" t="s">
        <v>319</v>
      </c>
      <c r="AU230" s="5" t="s">
        <v>93</v>
      </c>
      <c r="AV230" s="5" t="s">
        <v>847</v>
      </c>
      <c r="AW230" s="5" t="s">
        <v>848</v>
      </c>
      <c r="AX230" s="5" t="s">
        <v>290</v>
      </c>
      <c r="AY230" s="5" t="s">
        <v>849</v>
      </c>
      <c r="AZ230" s="5" t="s">
        <v>75</v>
      </c>
      <c r="BA230" s="5" t="s">
        <v>76</v>
      </c>
      <c r="BB230" s="12" t="s">
        <v>76</v>
      </c>
      <c r="BC230" s="5" t="s">
        <v>850</v>
      </c>
      <c r="BD230" s="5" t="s">
        <v>192</v>
      </c>
      <c r="BE230" s="5" t="s">
        <v>76</v>
      </c>
      <c r="BF230" s="5" t="s">
        <v>76</v>
      </c>
      <c r="BG230" s="15">
        <v>36.4</v>
      </c>
      <c r="BH230" s="5" t="s">
        <v>215</v>
      </c>
      <c r="BI230" s="5" t="s">
        <v>214</v>
      </c>
      <c r="BJ230" s="5" t="s">
        <v>293</v>
      </c>
      <c r="BK230" s="5" t="s">
        <v>709</v>
      </c>
      <c r="BL230" s="5" t="s">
        <v>96</v>
      </c>
      <c r="BM230" s="5" t="s">
        <v>658</v>
      </c>
      <c r="BN230" s="5">
        <v>174</v>
      </c>
      <c r="BO230" s="5">
        <f t="shared" si="3"/>
        <v>28.075042938301</v>
      </c>
      <c r="BP230" s="5" t="s">
        <v>542</v>
      </c>
      <c r="BQ230" s="5" t="s">
        <v>76</v>
      </c>
      <c r="BR230" s="5">
        <v>2018</v>
      </c>
    </row>
    <row r="231" s="1" customFormat="1" spans="1:70">
      <c r="A231" s="1">
        <v>3260978</v>
      </c>
      <c r="B231" s="1" t="s">
        <v>851</v>
      </c>
      <c r="D231" s="4">
        <v>44930</v>
      </c>
      <c r="E231" s="4">
        <v>44942</v>
      </c>
      <c r="F231" s="7">
        <v>14934</v>
      </c>
      <c r="G231" s="1">
        <v>43</v>
      </c>
      <c r="H231" s="1">
        <v>10</v>
      </c>
      <c r="I231" s="1">
        <v>52</v>
      </c>
      <c r="J231" s="1">
        <v>10</v>
      </c>
      <c r="K231" s="1">
        <v>69</v>
      </c>
      <c r="L231" s="1">
        <v>39</v>
      </c>
      <c r="M231" s="1">
        <v>0.68</v>
      </c>
      <c r="N231" s="1">
        <v>13.5</v>
      </c>
      <c r="O231" s="7">
        <v>14934</v>
      </c>
      <c r="P231" s="4">
        <v>44930</v>
      </c>
      <c r="Q231" s="4">
        <v>44942</v>
      </c>
      <c r="R231" s="1" t="s">
        <v>80</v>
      </c>
      <c r="AO231" s="7">
        <v>14934</v>
      </c>
      <c r="AP231" s="5">
        <v>581.6</v>
      </c>
      <c r="AQ231" s="5">
        <v>92</v>
      </c>
      <c r="AR231" s="5">
        <v>28.5</v>
      </c>
      <c r="AS231" s="5">
        <v>6.9</v>
      </c>
      <c r="AT231" s="5">
        <v>18</v>
      </c>
      <c r="AU231" s="5">
        <v>13</v>
      </c>
      <c r="AV231" s="5">
        <v>6.2</v>
      </c>
      <c r="AW231" s="5">
        <v>25.91</v>
      </c>
      <c r="AX231" s="5">
        <v>429</v>
      </c>
      <c r="AY231" s="5">
        <v>16.87</v>
      </c>
      <c r="AZ231" s="5" t="s">
        <v>75</v>
      </c>
      <c r="BA231" s="5">
        <v>5.92</v>
      </c>
      <c r="BB231" s="12" t="s">
        <v>76</v>
      </c>
      <c r="BC231" s="5">
        <v>3.76</v>
      </c>
      <c r="BD231" s="5">
        <v>92</v>
      </c>
      <c r="BE231" s="5" t="s">
        <v>76</v>
      </c>
      <c r="BF231" s="5" t="s">
        <v>76</v>
      </c>
      <c r="BG231" s="15">
        <v>36.3</v>
      </c>
      <c r="BH231" s="5" t="s">
        <v>76</v>
      </c>
      <c r="BI231" s="5">
        <v>63</v>
      </c>
      <c r="BJ231" s="5">
        <v>21</v>
      </c>
      <c r="BK231" s="5">
        <v>164</v>
      </c>
      <c r="BL231" s="5">
        <v>64</v>
      </c>
      <c r="BM231" s="5">
        <v>70</v>
      </c>
      <c r="BN231" s="5">
        <v>166</v>
      </c>
      <c r="BO231" s="5">
        <f t="shared" si="3"/>
        <v>25.4028160836116</v>
      </c>
      <c r="BP231" s="5" t="s">
        <v>415</v>
      </c>
      <c r="BQ231" s="5" t="s">
        <v>76</v>
      </c>
      <c r="BR231" s="5">
        <v>5070</v>
      </c>
    </row>
    <row r="232" s="1" customFormat="1" spans="1:70">
      <c r="A232" s="1">
        <v>3268396</v>
      </c>
      <c r="B232" s="1" t="s">
        <v>852</v>
      </c>
      <c r="D232" s="4">
        <v>44944</v>
      </c>
      <c r="E232" s="4">
        <v>44956</v>
      </c>
      <c r="F232" s="7">
        <v>14935</v>
      </c>
      <c r="G232" s="1">
        <v>43</v>
      </c>
      <c r="H232" s="1">
        <v>10</v>
      </c>
      <c r="I232" s="1">
        <v>51</v>
      </c>
      <c r="J232" s="1">
        <v>10</v>
      </c>
      <c r="K232" s="1">
        <v>57</v>
      </c>
      <c r="L232" s="1">
        <v>30</v>
      </c>
      <c r="N232" s="1">
        <v>12.8</v>
      </c>
      <c r="O232" s="7">
        <v>14935</v>
      </c>
      <c r="P232" s="4">
        <v>44944</v>
      </c>
      <c r="Q232" s="4">
        <v>44956</v>
      </c>
      <c r="R232" s="1" t="s">
        <v>80</v>
      </c>
      <c r="AO232" s="7">
        <v>14935</v>
      </c>
      <c r="AP232" s="5">
        <v>7.4</v>
      </c>
      <c r="AQ232" s="5">
        <v>85</v>
      </c>
      <c r="AR232" s="5">
        <v>26.6</v>
      </c>
      <c r="AS232" s="5">
        <v>79.9</v>
      </c>
      <c r="AT232" s="5">
        <v>18</v>
      </c>
      <c r="AU232" s="5" t="s">
        <v>171</v>
      </c>
      <c r="AV232" s="5">
        <v>34.1</v>
      </c>
      <c r="AW232" s="5">
        <v>9.82</v>
      </c>
      <c r="AX232" s="5">
        <v>95</v>
      </c>
      <c r="AY232" s="5">
        <v>69.98</v>
      </c>
      <c r="AZ232" s="5">
        <v>5.19</v>
      </c>
      <c r="BA232" s="5" t="s">
        <v>76</v>
      </c>
      <c r="BB232" s="12" t="s">
        <v>76</v>
      </c>
      <c r="BC232" s="5">
        <v>5.5</v>
      </c>
      <c r="BD232" s="5">
        <v>85</v>
      </c>
      <c r="BE232" s="5" t="s">
        <v>76</v>
      </c>
      <c r="BF232" s="5" t="s">
        <v>76</v>
      </c>
      <c r="BG232" s="15">
        <v>36.5</v>
      </c>
      <c r="BH232" s="5">
        <v>90</v>
      </c>
      <c r="BI232" s="5">
        <v>115</v>
      </c>
      <c r="BJ232" s="5">
        <v>18</v>
      </c>
      <c r="BK232" s="5">
        <v>109</v>
      </c>
      <c r="BL232" s="5">
        <v>71</v>
      </c>
      <c r="BM232" s="5">
        <v>70</v>
      </c>
      <c r="BN232" s="5">
        <v>172</v>
      </c>
      <c r="BO232" s="5">
        <f t="shared" si="3"/>
        <v>23.6614386154678</v>
      </c>
      <c r="BP232" s="5" t="s">
        <v>107</v>
      </c>
      <c r="BQ232" s="5">
        <v>5.7</v>
      </c>
      <c r="BR232" s="5">
        <v>3424</v>
      </c>
    </row>
    <row r="233" s="1" customFormat="1" spans="1:70">
      <c r="A233" s="1">
        <v>3284170</v>
      </c>
      <c r="B233" s="1" t="s">
        <v>853</v>
      </c>
      <c r="D233" s="4">
        <v>44969</v>
      </c>
      <c r="E233" s="4">
        <v>44972</v>
      </c>
      <c r="F233" s="7">
        <v>14946</v>
      </c>
      <c r="G233" s="1">
        <v>44</v>
      </c>
      <c r="H233" s="1">
        <v>10</v>
      </c>
      <c r="I233" s="1">
        <v>46</v>
      </c>
      <c r="J233" s="1">
        <v>10</v>
      </c>
      <c r="K233" s="1">
        <v>66</v>
      </c>
      <c r="L233" s="1">
        <v>36</v>
      </c>
      <c r="M233" s="1">
        <v>2.95</v>
      </c>
      <c r="N233" s="1">
        <v>7.9</v>
      </c>
      <c r="O233" s="7">
        <v>14946</v>
      </c>
      <c r="P233" s="4">
        <v>44969</v>
      </c>
      <c r="Q233" s="4">
        <v>44972</v>
      </c>
      <c r="R233" s="1" t="s">
        <v>73</v>
      </c>
      <c r="AO233" s="7">
        <v>14946</v>
      </c>
      <c r="AP233" s="5">
        <v>5.6</v>
      </c>
      <c r="AQ233" s="5">
        <v>99</v>
      </c>
      <c r="AR233" s="5">
        <v>34.7</v>
      </c>
      <c r="AS233" s="5">
        <v>6.6</v>
      </c>
      <c r="AT233" s="5">
        <v>8</v>
      </c>
      <c r="AU233" s="5">
        <v>7</v>
      </c>
      <c r="AV233" s="5">
        <v>31.4</v>
      </c>
      <c r="AW233" s="5">
        <v>8.63</v>
      </c>
      <c r="AX233" s="5">
        <v>76</v>
      </c>
      <c r="AY233" s="5">
        <v>86.58</v>
      </c>
      <c r="AZ233" s="5" t="s">
        <v>75</v>
      </c>
      <c r="BA233" s="5">
        <v>2.26</v>
      </c>
      <c r="BB233" s="12" t="s">
        <v>76</v>
      </c>
      <c r="BC233" s="5">
        <v>4.17</v>
      </c>
      <c r="BD233" s="5">
        <v>99</v>
      </c>
      <c r="BE233" s="5">
        <v>0.95</v>
      </c>
      <c r="BF233" s="5">
        <v>0.82</v>
      </c>
      <c r="BG233" s="15">
        <v>36.5</v>
      </c>
      <c r="BH233" s="5">
        <v>68</v>
      </c>
      <c r="BI233" s="5">
        <v>68</v>
      </c>
      <c r="BJ233" s="5">
        <v>19</v>
      </c>
      <c r="BK233" s="5">
        <v>132</v>
      </c>
      <c r="BL233" s="5">
        <v>63</v>
      </c>
      <c r="BM233" s="5">
        <v>65</v>
      </c>
      <c r="BN233" s="5">
        <v>165</v>
      </c>
      <c r="BO233" s="5">
        <f t="shared" si="3"/>
        <v>23.8751147842057</v>
      </c>
      <c r="BP233" s="5" t="s">
        <v>323</v>
      </c>
      <c r="BQ233" s="5">
        <v>6.5</v>
      </c>
      <c r="BR233" s="5">
        <v>2901</v>
      </c>
    </row>
    <row r="234" s="1" customFormat="1" spans="1:70">
      <c r="A234" s="1">
        <v>3303774</v>
      </c>
      <c r="B234" s="1" t="s">
        <v>854</v>
      </c>
      <c r="D234" s="4">
        <v>44995</v>
      </c>
      <c r="E234" s="4">
        <v>45001</v>
      </c>
      <c r="F234" s="7">
        <v>14950</v>
      </c>
      <c r="G234" s="1">
        <v>50</v>
      </c>
      <c r="H234" s="1">
        <v>9</v>
      </c>
      <c r="I234" s="1">
        <v>53</v>
      </c>
      <c r="J234" s="1">
        <v>9</v>
      </c>
      <c r="K234" s="1">
        <v>62</v>
      </c>
      <c r="L234" s="1">
        <v>32</v>
      </c>
      <c r="M234" s="1">
        <v>2.15</v>
      </c>
      <c r="N234" s="1">
        <v>20.7</v>
      </c>
      <c r="O234" s="7">
        <v>14950</v>
      </c>
      <c r="P234" s="4">
        <v>44995</v>
      </c>
      <c r="Q234" s="4">
        <v>45001</v>
      </c>
      <c r="R234" s="1" t="s">
        <v>73</v>
      </c>
      <c r="S234" s="1">
        <v>82</v>
      </c>
      <c r="T234" s="1">
        <v>13396162645</v>
      </c>
      <c r="V234" s="1">
        <v>1</v>
      </c>
      <c r="Y234" s="1">
        <v>1</v>
      </c>
      <c r="Z234" s="1">
        <v>1</v>
      </c>
      <c r="AG234" s="1">
        <v>1</v>
      </c>
      <c r="AH234" s="1">
        <v>1</v>
      </c>
      <c r="AL234" s="1">
        <v>1</v>
      </c>
      <c r="AM234" s="1">
        <v>1</v>
      </c>
      <c r="AO234" s="7">
        <v>14950</v>
      </c>
      <c r="AP234" s="5">
        <v>5.5</v>
      </c>
      <c r="AQ234" s="5">
        <v>107</v>
      </c>
      <c r="AR234" s="5">
        <v>33.5</v>
      </c>
      <c r="AS234" s="5">
        <v>46.8</v>
      </c>
      <c r="AT234" s="5">
        <v>21</v>
      </c>
      <c r="AU234" s="5">
        <v>14</v>
      </c>
      <c r="AV234" s="5">
        <v>43.4</v>
      </c>
      <c r="AW234" s="5">
        <v>13.06</v>
      </c>
      <c r="AX234" s="5">
        <v>143</v>
      </c>
      <c r="AY234" s="5">
        <v>37.83</v>
      </c>
      <c r="AZ234" s="5">
        <v>5.3</v>
      </c>
      <c r="BA234" s="5">
        <v>4.38</v>
      </c>
      <c r="BB234" s="12" t="s">
        <v>76</v>
      </c>
      <c r="BC234" s="5">
        <v>5.04</v>
      </c>
      <c r="BD234" s="5">
        <v>107</v>
      </c>
      <c r="BE234" s="5">
        <v>1.07</v>
      </c>
      <c r="BF234" s="5">
        <v>2.35</v>
      </c>
      <c r="BG234" s="15">
        <v>36.4</v>
      </c>
      <c r="BH234" s="5">
        <v>40</v>
      </c>
      <c r="BI234" s="5">
        <v>43</v>
      </c>
      <c r="BJ234" s="5">
        <v>22</v>
      </c>
      <c r="BK234" s="5">
        <v>151</v>
      </c>
      <c r="BL234" s="5">
        <v>58</v>
      </c>
      <c r="BM234" s="5" t="s">
        <v>77</v>
      </c>
      <c r="BN234" s="5" t="s">
        <v>77</v>
      </c>
      <c r="BO234" s="5" t="e">
        <f t="shared" si="3"/>
        <v>#VALUE!</v>
      </c>
      <c r="BP234" s="5" t="s">
        <v>78</v>
      </c>
      <c r="BQ234" s="5">
        <v>5.7</v>
      </c>
      <c r="BR234" s="5">
        <v>6868</v>
      </c>
    </row>
    <row r="235" s="1" customFormat="1" spans="1:70">
      <c r="A235" s="1">
        <v>3323326</v>
      </c>
      <c r="B235" s="1" t="s">
        <v>855</v>
      </c>
      <c r="D235" s="4">
        <v>45022</v>
      </c>
      <c r="E235" s="4">
        <v>45024</v>
      </c>
      <c r="F235" s="7">
        <v>14955</v>
      </c>
      <c r="G235" s="1">
        <v>28</v>
      </c>
      <c r="H235" s="1">
        <v>7</v>
      </c>
      <c r="I235" s="1">
        <v>39</v>
      </c>
      <c r="J235" s="1">
        <v>7</v>
      </c>
      <c r="K235" s="1">
        <v>56</v>
      </c>
      <c r="L235" s="1">
        <v>28</v>
      </c>
      <c r="M235" s="1">
        <v>0.39</v>
      </c>
      <c r="N235" s="1">
        <v>5.7</v>
      </c>
      <c r="O235" s="7">
        <v>14955</v>
      </c>
      <c r="P235" s="4">
        <v>45022</v>
      </c>
      <c r="Q235" s="4">
        <v>45024</v>
      </c>
      <c r="R235" s="1" t="s">
        <v>73</v>
      </c>
      <c r="AO235" s="7">
        <v>14955</v>
      </c>
      <c r="AP235" s="5">
        <v>27.5</v>
      </c>
      <c r="AQ235" s="5">
        <v>111</v>
      </c>
      <c r="AR235" s="5">
        <v>37.5</v>
      </c>
      <c r="AS235" s="5" t="s">
        <v>76</v>
      </c>
      <c r="AT235" s="5">
        <v>71</v>
      </c>
      <c r="AU235" s="5">
        <v>39</v>
      </c>
      <c r="AV235" s="5">
        <v>39.6</v>
      </c>
      <c r="AW235" s="5">
        <v>9.03</v>
      </c>
      <c r="AX235" s="5">
        <v>54</v>
      </c>
      <c r="AY235" s="5" t="s">
        <v>125</v>
      </c>
      <c r="AZ235" s="5">
        <v>8.7</v>
      </c>
      <c r="BA235" s="5" t="s">
        <v>76</v>
      </c>
      <c r="BB235" s="12" t="s">
        <v>76</v>
      </c>
      <c r="BC235" s="5">
        <v>2.91</v>
      </c>
      <c r="BD235" s="5">
        <v>111</v>
      </c>
      <c r="BE235" s="5" t="s">
        <v>76</v>
      </c>
      <c r="BF235" s="5" t="s">
        <v>76</v>
      </c>
      <c r="BG235" s="15">
        <v>37</v>
      </c>
      <c r="BH235" s="5" t="s">
        <v>76</v>
      </c>
      <c r="BI235" s="5">
        <v>83</v>
      </c>
      <c r="BJ235" s="5">
        <v>25</v>
      </c>
      <c r="BK235" s="5">
        <v>165</v>
      </c>
      <c r="BL235" s="5">
        <v>88</v>
      </c>
      <c r="BM235" s="5">
        <v>40</v>
      </c>
      <c r="BN235" s="5">
        <v>160</v>
      </c>
      <c r="BO235" s="5">
        <f t="shared" si="3"/>
        <v>15.625</v>
      </c>
      <c r="BP235" s="5" t="s">
        <v>85</v>
      </c>
      <c r="BQ235" s="5">
        <v>5.8</v>
      </c>
      <c r="BR235" s="5">
        <v>2652</v>
      </c>
    </row>
    <row r="236" s="1" customFormat="1" spans="1:70">
      <c r="A236" s="1">
        <v>3489365</v>
      </c>
      <c r="B236" s="1" t="s">
        <v>856</v>
      </c>
      <c r="D236" s="4">
        <v>45252</v>
      </c>
      <c r="E236" s="4">
        <v>45264</v>
      </c>
      <c r="F236" s="7">
        <v>14956</v>
      </c>
      <c r="G236" s="1">
        <v>43</v>
      </c>
      <c r="H236" s="1">
        <v>8</v>
      </c>
      <c r="I236" s="1">
        <v>55</v>
      </c>
      <c r="J236" s="1">
        <v>8</v>
      </c>
      <c r="K236" s="1">
        <v>41</v>
      </c>
      <c r="L236" s="1">
        <v>21</v>
      </c>
      <c r="N236" s="1">
        <v>15.2</v>
      </c>
      <c r="O236" s="7">
        <v>14956</v>
      </c>
      <c r="P236" s="4">
        <v>45252</v>
      </c>
      <c r="Q236" s="4">
        <v>45264</v>
      </c>
      <c r="R236" s="1" t="s">
        <v>80</v>
      </c>
      <c r="AO236" s="7">
        <v>14956</v>
      </c>
      <c r="AP236" s="5">
        <v>4</v>
      </c>
      <c r="AQ236" s="5">
        <v>99</v>
      </c>
      <c r="AR236" s="5">
        <v>31</v>
      </c>
      <c r="AS236" s="5">
        <v>32.3</v>
      </c>
      <c r="AT236" s="5">
        <v>29</v>
      </c>
      <c r="AU236" s="5">
        <v>80</v>
      </c>
      <c r="AV236" s="5">
        <v>31</v>
      </c>
      <c r="AW236" s="5">
        <v>6.1</v>
      </c>
      <c r="AX236" s="5">
        <v>46</v>
      </c>
      <c r="AY236" s="5" t="s">
        <v>125</v>
      </c>
      <c r="AZ236" s="5" t="s">
        <v>75</v>
      </c>
      <c r="BA236" s="5">
        <v>3.44</v>
      </c>
      <c r="BB236" s="12" t="s">
        <v>76</v>
      </c>
      <c r="BC236" s="5">
        <v>3.64</v>
      </c>
      <c r="BD236" s="5">
        <v>99</v>
      </c>
      <c r="BE236" s="5" t="s">
        <v>76</v>
      </c>
      <c r="BF236" s="5" t="s">
        <v>76</v>
      </c>
      <c r="BG236" s="15">
        <v>36.4</v>
      </c>
      <c r="BH236" s="5">
        <v>86</v>
      </c>
      <c r="BI236" s="5">
        <v>115</v>
      </c>
      <c r="BJ236" s="5">
        <v>22</v>
      </c>
      <c r="BK236" s="5">
        <v>103</v>
      </c>
      <c r="BL236" s="5">
        <v>67</v>
      </c>
      <c r="BM236" s="5">
        <v>60</v>
      </c>
      <c r="BN236" s="5">
        <v>180</v>
      </c>
      <c r="BO236" s="5">
        <f t="shared" si="3"/>
        <v>18.5185185185185</v>
      </c>
      <c r="BP236" s="5" t="s">
        <v>164</v>
      </c>
      <c r="BQ236" s="5">
        <v>6</v>
      </c>
      <c r="BR236" s="5">
        <v>5107</v>
      </c>
    </row>
    <row r="237" s="1" customFormat="1" spans="1:70">
      <c r="A237" s="1">
        <v>3269268</v>
      </c>
      <c r="B237" s="1" t="s">
        <v>857</v>
      </c>
      <c r="D237" s="4">
        <v>44948</v>
      </c>
      <c r="E237" s="4">
        <v>44955</v>
      </c>
      <c r="F237" s="7">
        <v>14958</v>
      </c>
      <c r="G237" s="1">
        <v>39</v>
      </c>
      <c r="H237" s="1">
        <v>8</v>
      </c>
      <c r="I237" s="1">
        <v>50</v>
      </c>
      <c r="J237" s="1">
        <v>8</v>
      </c>
      <c r="K237" s="1">
        <v>64</v>
      </c>
      <c r="L237" s="1">
        <v>35</v>
      </c>
      <c r="M237" s="1">
        <v>0.69</v>
      </c>
      <c r="N237" s="1">
        <v>13.8</v>
      </c>
      <c r="O237" s="7">
        <v>14958</v>
      </c>
      <c r="P237" s="4">
        <v>44948</v>
      </c>
      <c r="Q237" s="4">
        <v>44955</v>
      </c>
      <c r="R237" s="1" t="s">
        <v>80</v>
      </c>
      <c r="AO237" s="7">
        <v>14958</v>
      </c>
      <c r="AP237" s="5">
        <v>9.7</v>
      </c>
      <c r="AQ237" s="5">
        <v>129</v>
      </c>
      <c r="AR237" s="5">
        <v>41.1</v>
      </c>
      <c r="AS237" s="5">
        <v>51.5</v>
      </c>
      <c r="AT237" s="5">
        <v>25</v>
      </c>
      <c r="AU237" s="5">
        <v>29</v>
      </c>
      <c r="AV237" s="5">
        <v>33.4</v>
      </c>
      <c r="AW237" s="5">
        <v>9.36</v>
      </c>
      <c r="AX237" s="5">
        <v>78</v>
      </c>
      <c r="AY237" s="5">
        <v>99.55</v>
      </c>
      <c r="AZ237" s="5" t="s">
        <v>75</v>
      </c>
      <c r="BA237" s="5" t="s">
        <v>76</v>
      </c>
      <c r="BB237" s="12" t="s">
        <v>76</v>
      </c>
      <c r="BC237" s="5">
        <v>3.47</v>
      </c>
      <c r="BD237" s="5">
        <v>129</v>
      </c>
      <c r="BE237" s="5" t="s">
        <v>76</v>
      </c>
      <c r="BF237" s="5" t="s">
        <v>76</v>
      </c>
      <c r="BG237" s="15">
        <v>36.5</v>
      </c>
      <c r="BH237" s="5">
        <v>95</v>
      </c>
      <c r="BI237" s="5" t="s">
        <v>76</v>
      </c>
      <c r="BJ237" s="5">
        <v>20</v>
      </c>
      <c r="BK237" s="5">
        <v>156</v>
      </c>
      <c r="BL237" s="5">
        <v>83</v>
      </c>
      <c r="BM237" s="5">
        <v>72.5</v>
      </c>
      <c r="BN237" s="5">
        <v>172</v>
      </c>
      <c r="BO237" s="5">
        <f t="shared" si="3"/>
        <v>24.5064899945917</v>
      </c>
      <c r="BP237" s="5" t="s">
        <v>109</v>
      </c>
      <c r="BQ237" s="5" t="s">
        <v>76</v>
      </c>
      <c r="BR237" s="5">
        <v>4101</v>
      </c>
    </row>
    <row r="238" s="1" customFormat="1" spans="1:70">
      <c r="A238" s="1">
        <v>3302871</v>
      </c>
      <c r="B238" s="1" t="s">
        <v>858</v>
      </c>
      <c r="D238" s="4">
        <v>44996</v>
      </c>
      <c r="E238" s="4">
        <v>45009</v>
      </c>
      <c r="F238" s="7">
        <v>14969</v>
      </c>
      <c r="G238" s="1">
        <v>39</v>
      </c>
      <c r="H238" s="1">
        <v>9</v>
      </c>
      <c r="I238" s="1">
        <v>44</v>
      </c>
      <c r="J238" s="1">
        <v>9</v>
      </c>
      <c r="K238" s="1">
        <v>63</v>
      </c>
      <c r="L238" s="1">
        <v>34</v>
      </c>
      <c r="M238" s="1">
        <v>0.5</v>
      </c>
      <c r="N238" s="1">
        <v>9.5</v>
      </c>
      <c r="O238" s="7">
        <v>14969</v>
      </c>
      <c r="P238" s="4">
        <v>44996</v>
      </c>
      <c r="Q238" s="4">
        <v>45009</v>
      </c>
      <c r="R238" s="1" t="s">
        <v>73</v>
      </c>
      <c r="AO238" s="7">
        <v>14969</v>
      </c>
      <c r="AP238" s="5">
        <v>8.9</v>
      </c>
      <c r="AQ238" s="5">
        <v>83</v>
      </c>
      <c r="AR238" s="5">
        <v>26.1</v>
      </c>
      <c r="AS238" s="5" t="s">
        <v>76</v>
      </c>
      <c r="AT238" s="5">
        <v>19</v>
      </c>
      <c r="AU238" s="5">
        <v>15</v>
      </c>
      <c r="AV238" s="5">
        <v>29.6</v>
      </c>
      <c r="AW238" s="5">
        <v>21.17</v>
      </c>
      <c r="AX238" s="5">
        <v>388</v>
      </c>
      <c r="AY238" s="5" t="s">
        <v>76</v>
      </c>
      <c r="AZ238" s="5" t="s">
        <v>75</v>
      </c>
      <c r="BA238" s="5">
        <v>3.62</v>
      </c>
      <c r="BB238" s="12" t="s">
        <v>76</v>
      </c>
      <c r="BC238" s="5">
        <v>4.19</v>
      </c>
      <c r="BD238" s="5">
        <v>83</v>
      </c>
      <c r="BE238" s="5" t="s">
        <v>76</v>
      </c>
      <c r="BF238" s="5" t="s">
        <v>76</v>
      </c>
      <c r="BG238" s="15">
        <v>36.6</v>
      </c>
      <c r="BH238" s="5">
        <v>72</v>
      </c>
      <c r="BI238" s="5">
        <v>72</v>
      </c>
      <c r="BJ238" s="5">
        <v>17</v>
      </c>
      <c r="BK238" s="5">
        <v>121</v>
      </c>
      <c r="BL238" s="5">
        <v>64</v>
      </c>
      <c r="BM238" s="5">
        <v>60</v>
      </c>
      <c r="BN238" s="5">
        <v>155</v>
      </c>
      <c r="BO238" s="5">
        <f t="shared" si="3"/>
        <v>24.9739854318418</v>
      </c>
      <c r="BP238" s="5" t="s">
        <v>158</v>
      </c>
      <c r="BQ238" s="5" t="s">
        <v>76</v>
      </c>
      <c r="BR238" s="5">
        <v>4255</v>
      </c>
    </row>
    <row r="239" s="1" customFormat="1" spans="1:70">
      <c r="A239" s="1">
        <v>3268042</v>
      </c>
      <c r="B239" s="1" t="s">
        <v>859</v>
      </c>
      <c r="D239" s="4">
        <v>44943</v>
      </c>
      <c r="E239" s="4">
        <v>44955</v>
      </c>
      <c r="F239" s="7">
        <v>14970</v>
      </c>
      <c r="G239" s="1">
        <v>43</v>
      </c>
      <c r="H239" s="1">
        <v>9</v>
      </c>
      <c r="I239" s="1">
        <v>46</v>
      </c>
      <c r="J239" s="1">
        <v>9</v>
      </c>
      <c r="K239" s="1">
        <v>62</v>
      </c>
      <c r="L239" s="1">
        <v>34</v>
      </c>
      <c r="N239" s="1">
        <v>11</v>
      </c>
      <c r="O239" s="7">
        <v>14970</v>
      </c>
      <c r="P239" s="4">
        <v>44943</v>
      </c>
      <c r="Q239" s="4">
        <v>44955</v>
      </c>
      <c r="R239" s="1" t="s">
        <v>80</v>
      </c>
      <c r="AO239" s="7">
        <v>14970</v>
      </c>
      <c r="AP239" s="5">
        <v>8</v>
      </c>
      <c r="AQ239" s="5">
        <v>136</v>
      </c>
      <c r="AR239" s="5">
        <v>44</v>
      </c>
      <c r="AS239" s="5">
        <v>3.6</v>
      </c>
      <c r="AT239" s="5">
        <v>21</v>
      </c>
      <c r="AU239" s="5">
        <v>27</v>
      </c>
      <c r="AV239" s="5">
        <v>43.8</v>
      </c>
      <c r="AW239" s="5">
        <v>18.66</v>
      </c>
      <c r="AX239" s="5">
        <v>121</v>
      </c>
      <c r="AY239" s="5">
        <v>63.75</v>
      </c>
      <c r="AZ239" s="5" t="s">
        <v>75</v>
      </c>
      <c r="BA239" s="5">
        <v>3.63</v>
      </c>
      <c r="BB239" s="12" t="s">
        <v>76</v>
      </c>
      <c r="BC239" s="5">
        <v>3.56</v>
      </c>
      <c r="BD239" s="5">
        <v>136</v>
      </c>
      <c r="BE239" s="5">
        <v>0.59</v>
      </c>
      <c r="BF239" s="5">
        <v>2.53</v>
      </c>
      <c r="BG239" s="15">
        <v>37</v>
      </c>
      <c r="BH239" s="5">
        <v>93</v>
      </c>
      <c r="BI239" s="5" t="s">
        <v>76</v>
      </c>
      <c r="BJ239" s="5">
        <v>18</v>
      </c>
      <c r="BK239" s="5">
        <v>119</v>
      </c>
      <c r="BL239" s="5">
        <v>71</v>
      </c>
      <c r="BM239" s="5" t="s">
        <v>274</v>
      </c>
      <c r="BN239" s="5" t="s">
        <v>274</v>
      </c>
      <c r="BO239" s="5" t="e">
        <f t="shared" si="3"/>
        <v>#VALUE!</v>
      </c>
      <c r="BP239" s="5" t="s">
        <v>109</v>
      </c>
      <c r="BQ239" s="5">
        <v>6.6</v>
      </c>
      <c r="BR239" s="5">
        <v>2173</v>
      </c>
    </row>
    <row r="240" s="1" customFormat="1" spans="1:70">
      <c r="A240" s="1">
        <v>3266586</v>
      </c>
      <c r="B240" s="1" t="s">
        <v>860</v>
      </c>
      <c r="D240" s="4">
        <v>44942</v>
      </c>
      <c r="E240" s="4">
        <v>44944</v>
      </c>
      <c r="F240" s="7">
        <v>14974</v>
      </c>
      <c r="G240" s="1">
        <v>38</v>
      </c>
      <c r="I240" s="1">
        <v>43</v>
      </c>
      <c r="K240" s="1">
        <v>64</v>
      </c>
      <c r="L240" s="1">
        <v>35</v>
      </c>
      <c r="M240" s="1">
        <v>0.82</v>
      </c>
      <c r="N240" s="1">
        <v>14.7</v>
      </c>
      <c r="O240" s="7">
        <v>14974</v>
      </c>
      <c r="P240" s="4">
        <v>44942</v>
      </c>
      <c r="Q240" s="4">
        <v>44944</v>
      </c>
      <c r="R240" s="1" t="s">
        <v>73</v>
      </c>
      <c r="AO240" s="7">
        <v>14974</v>
      </c>
      <c r="AP240" s="5">
        <v>9.5</v>
      </c>
      <c r="AQ240" s="5">
        <v>121</v>
      </c>
      <c r="AR240" s="5">
        <v>37</v>
      </c>
      <c r="AS240" s="5">
        <v>70.9</v>
      </c>
      <c r="AT240" s="5">
        <v>30</v>
      </c>
      <c r="AU240" s="5">
        <v>17</v>
      </c>
      <c r="AV240" s="5">
        <v>37.9</v>
      </c>
      <c r="AW240" s="5" t="s">
        <v>76</v>
      </c>
      <c r="AX240" s="5" t="s">
        <v>76</v>
      </c>
      <c r="AY240" s="5" t="s">
        <v>76</v>
      </c>
      <c r="AZ240" s="5" t="s">
        <v>75</v>
      </c>
      <c r="BA240" s="5">
        <v>4.09</v>
      </c>
      <c r="BB240" s="12" t="s">
        <v>76</v>
      </c>
      <c r="BC240" s="5">
        <v>3.23</v>
      </c>
      <c r="BD240" s="5">
        <v>121</v>
      </c>
      <c r="BE240" s="5">
        <v>0.67</v>
      </c>
      <c r="BF240" s="5">
        <v>3.12</v>
      </c>
      <c r="BG240" s="15">
        <v>36.3</v>
      </c>
      <c r="BH240" s="5">
        <v>68</v>
      </c>
      <c r="BI240" s="5">
        <v>74</v>
      </c>
      <c r="BJ240" s="5">
        <v>20</v>
      </c>
      <c r="BK240" s="5">
        <v>118</v>
      </c>
      <c r="BL240" s="5">
        <v>82</v>
      </c>
      <c r="BM240" s="5">
        <v>40</v>
      </c>
      <c r="BN240" s="5">
        <v>150</v>
      </c>
      <c r="BO240" s="5">
        <f t="shared" si="3"/>
        <v>17.7777777777778</v>
      </c>
      <c r="BP240" s="5" t="s">
        <v>121</v>
      </c>
      <c r="BQ240" s="5">
        <v>5.8</v>
      </c>
      <c r="BR240" s="5">
        <v>3621</v>
      </c>
    </row>
    <row r="241" s="1" customFormat="1" spans="1:70">
      <c r="A241" s="1">
        <v>3317848</v>
      </c>
      <c r="B241" s="1" t="s">
        <v>861</v>
      </c>
      <c r="D241" s="4">
        <v>45014</v>
      </c>
      <c r="E241" s="4">
        <v>45026</v>
      </c>
      <c r="F241" s="7">
        <v>14981</v>
      </c>
      <c r="G241" s="1">
        <v>49</v>
      </c>
      <c r="H241" s="1">
        <v>8</v>
      </c>
      <c r="I241" s="1">
        <v>58</v>
      </c>
      <c r="J241" s="1">
        <v>8</v>
      </c>
      <c r="K241" s="1">
        <v>66</v>
      </c>
      <c r="L241" s="1">
        <v>36</v>
      </c>
      <c r="M241" s="1">
        <v>0.99</v>
      </c>
      <c r="O241" s="7">
        <v>14981</v>
      </c>
      <c r="P241" s="4">
        <v>45014</v>
      </c>
      <c r="Q241" s="4">
        <v>45026</v>
      </c>
      <c r="R241" s="1" t="s">
        <v>80</v>
      </c>
      <c r="AO241" s="7">
        <v>14981</v>
      </c>
      <c r="AP241" s="5">
        <v>7.3</v>
      </c>
      <c r="AQ241" s="5">
        <v>85</v>
      </c>
      <c r="AR241" s="5">
        <v>27.9</v>
      </c>
      <c r="AS241" s="5">
        <v>99.9</v>
      </c>
      <c r="AT241" s="5">
        <v>57</v>
      </c>
      <c r="AU241" s="5">
        <v>59</v>
      </c>
      <c r="AV241" s="5">
        <v>23.4</v>
      </c>
      <c r="AW241" s="5">
        <v>9.41</v>
      </c>
      <c r="AX241" s="5">
        <v>67</v>
      </c>
      <c r="AY241" s="5" t="s">
        <v>125</v>
      </c>
      <c r="AZ241" s="5">
        <v>7.5</v>
      </c>
      <c r="BA241" s="5" t="s">
        <v>76</v>
      </c>
      <c r="BB241" s="12" t="s">
        <v>76</v>
      </c>
      <c r="BC241" s="5">
        <v>4.08</v>
      </c>
      <c r="BD241" s="5">
        <v>85</v>
      </c>
      <c r="BE241" s="5" t="s">
        <v>76</v>
      </c>
      <c r="BF241" s="5" t="s">
        <v>76</v>
      </c>
      <c r="BG241" s="15">
        <v>36.5</v>
      </c>
      <c r="BH241" s="5">
        <v>83</v>
      </c>
      <c r="BI241" s="5">
        <v>83</v>
      </c>
      <c r="BJ241" s="5">
        <v>21</v>
      </c>
      <c r="BK241" s="5">
        <v>116</v>
      </c>
      <c r="BL241" s="5">
        <v>56</v>
      </c>
      <c r="BM241" s="5" t="s">
        <v>77</v>
      </c>
      <c r="BN241" s="5" t="s">
        <v>77</v>
      </c>
      <c r="BO241" s="5" t="e">
        <f t="shared" si="3"/>
        <v>#VALUE!</v>
      </c>
      <c r="BP241" s="5" t="s">
        <v>168</v>
      </c>
      <c r="BQ241" s="5">
        <v>5.4</v>
      </c>
      <c r="BR241" s="5">
        <v>2031</v>
      </c>
    </row>
    <row r="242" s="1" customFormat="1" spans="1:70">
      <c r="A242" s="1">
        <v>3312070</v>
      </c>
      <c r="B242" s="1" t="s">
        <v>862</v>
      </c>
      <c r="C242" s="1">
        <v>1</v>
      </c>
      <c r="D242" s="4">
        <v>45007</v>
      </c>
      <c r="E242" s="4">
        <v>45017</v>
      </c>
      <c r="F242" s="7">
        <v>14990</v>
      </c>
      <c r="G242" s="1">
        <v>38</v>
      </c>
      <c r="H242" s="1">
        <v>9</v>
      </c>
      <c r="I242" s="1">
        <v>52</v>
      </c>
      <c r="J242" s="1">
        <v>9</v>
      </c>
      <c r="K242" s="1">
        <v>25</v>
      </c>
      <c r="M242" s="9">
        <v>1.3</v>
      </c>
      <c r="O242" s="7">
        <v>14990</v>
      </c>
      <c r="P242" s="4">
        <v>45007</v>
      </c>
      <c r="Q242" s="4">
        <v>45017</v>
      </c>
      <c r="R242" s="1" t="s">
        <v>73</v>
      </c>
      <c r="AO242" s="7">
        <v>14990</v>
      </c>
      <c r="AP242" s="5">
        <v>9.7</v>
      </c>
      <c r="AQ242" s="5">
        <v>98</v>
      </c>
      <c r="AR242" s="5">
        <v>41.8</v>
      </c>
      <c r="AS242" s="5">
        <v>85.6</v>
      </c>
      <c r="AT242" s="5">
        <v>94</v>
      </c>
      <c r="AU242" s="5">
        <v>368</v>
      </c>
      <c r="AV242" s="5">
        <v>34.4</v>
      </c>
      <c r="AW242" s="5">
        <v>9.18</v>
      </c>
      <c r="AX242" s="5">
        <v>94</v>
      </c>
      <c r="AY242" s="5">
        <v>65.19</v>
      </c>
      <c r="AZ242" s="5">
        <v>9.9</v>
      </c>
      <c r="BA242" s="5" t="s">
        <v>76</v>
      </c>
      <c r="BB242" s="12" t="s">
        <v>76</v>
      </c>
      <c r="BC242" s="5">
        <v>6.63</v>
      </c>
      <c r="BD242" s="5">
        <v>98</v>
      </c>
      <c r="BE242" s="5" t="s">
        <v>76</v>
      </c>
      <c r="BF242" s="5" t="s">
        <v>76</v>
      </c>
      <c r="BG242" s="15">
        <v>37.2</v>
      </c>
      <c r="BH242" s="5" t="s">
        <v>76</v>
      </c>
      <c r="BI242" s="5">
        <v>76</v>
      </c>
      <c r="BJ242" s="5">
        <v>15</v>
      </c>
      <c r="BK242" s="5">
        <v>133</v>
      </c>
      <c r="BL242" s="5">
        <v>70</v>
      </c>
      <c r="BM242" s="5" t="s">
        <v>77</v>
      </c>
      <c r="BN242" s="5" t="s">
        <v>77</v>
      </c>
      <c r="BO242" s="5" t="e">
        <f t="shared" si="3"/>
        <v>#VALUE!</v>
      </c>
      <c r="BP242" s="5" t="s">
        <v>117</v>
      </c>
      <c r="BQ242" s="5" t="s">
        <v>76</v>
      </c>
      <c r="BR242" s="5" t="s">
        <v>863</v>
      </c>
    </row>
    <row r="243" s="1" customFormat="1" spans="1:70">
      <c r="A243" s="1">
        <v>3501561</v>
      </c>
      <c r="B243" s="1" t="s">
        <v>864</v>
      </c>
      <c r="D243" s="4">
        <v>45268</v>
      </c>
      <c r="E243" s="4">
        <v>45279</v>
      </c>
      <c r="F243" s="7">
        <v>15021</v>
      </c>
      <c r="G243" s="1">
        <v>37</v>
      </c>
      <c r="H243" s="1">
        <v>9</v>
      </c>
      <c r="I243" s="1">
        <v>50</v>
      </c>
      <c r="J243" s="1">
        <v>9</v>
      </c>
      <c r="K243" s="1">
        <v>39</v>
      </c>
      <c r="L243" s="1">
        <v>19</v>
      </c>
      <c r="M243" s="1">
        <v>0.66</v>
      </c>
      <c r="N243" s="1">
        <v>6.2</v>
      </c>
      <c r="O243" s="7">
        <v>15021</v>
      </c>
      <c r="P243" s="4">
        <v>45268</v>
      </c>
      <c r="Q243" s="4">
        <v>45279</v>
      </c>
      <c r="R243" s="1" t="s">
        <v>80</v>
      </c>
      <c r="AO243" s="7">
        <v>15021</v>
      </c>
      <c r="AP243" s="5">
        <v>5.9</v>
      </c>
      <c r="AQ243" s="5">
        <v>135</v>
      </c>
      <c r="AR243" s="5">
        <v>41.7</v>
      </c>
      <c r="AS243" s="5" t="s">
        <v>76</v>
      </c>
      <c r="AT243" s="5">
        <v>20</v>
      </c>
      <c r="AU243" s="5">
        <v>17</v>
      </c>
      <c r="AV243" s="5">
        <v>45.3</v>
      </c>
      <c r="AW243" s="5">
        <v>7.96</v>
      </c>
      <c r="AX243" s="5">
        <v>75</v>
      </c>
      <c r="AY243" s="5">
        <v>91.93</v>
      </c>
      <c r="AZ243" s="5">
        <v>7.22</v>
      </c>
      <c r="BA243" s="5">
        <v>6.37</v>
      </c>
      <c r="BB243" s="12" t="s">
        <v>76</v>
      </c>
      <c r="BC243" s="5">
        <v>4.14</v>
      </c>
      <c r="BD243" s="5">
        <v>135</v>
      </c>
      <c r="BE243" s="5">
        <v>1.66</v>
      </c>
      <c r="BF243" s="5">
        <v>2.85</v>
      </c>
      <c r="BG243" s="15">
        <v>36.2</v>
      </c>
      <c r="BH243" s="5">
        <v>79</v>
      </c>
      <c r="BI243" s="5">
        <v>79</v>
      </c>
      <c r="BJ243" s="5">
        <v>18</v>
      </c>
      <c r="BK243" s="5">
        <v>104</v>
      </c>
      <c r="BL243" s="5">
        <v>63</v>
      </c>
      <c r="BM243" s="5">
        <v>60</v>
      </c>
      <c r="BN243" s="5">
        <v>170</v>
      </c>
      <c r="BO243" s="5">
        <f t="shared" si="3"/>
        <v>20.7612456747405</v>
      </c>
      <c r="BP243" s="5" t="s">
        <v>107</v>
      </c>
      <c r="BQ243" s="5">
        <v>7.4</v>
      </c>
      <c r="BR243" s="5">
        <v>3568.65</v>
      </c>
    </row>
    <row r="244" s="1" customFormat="1" spans="1:70">
      <c r="A244" s="1">
        <v>3274978</v>
      </c>
      <c r="B244" s="1" t="s">
        <v>865</v>
      </c>
      <c r="C244" s="1" t="s">
        <v>273</v>
      </c>
      <c r="D244" s="4">
        <v>44957</v>
      </c>
      <c r="E244" s="4">
        <v>44969</v>
      </c>
      <c r="F244" s="7">
        <v>15032</v>
      </c>
      <c r="G244" s="1">
        <v>43</v>
      </c>
      <c r="H244" s="1">
        <v>8</v>
      </c>
      <c r="I244" s="1">
        <v>58</v>
      </c>
      <c r="J244" s="1">
        <v>8</v>
      </c>
      <c r="K244" s="1">
        <v>38</v>
      </c>
      <c r="L244" s="1">
        <v>19</v>
      </c>
      <c r="M244" s="1">
        <v>1.75</v>
      </c>
      <c r="N244" s="1">
        <v>11.3</v>
      </c>
      <c r="O244" s="7">
        <v>15032</v>
      </c>
      <c r="P244" s="4">
        <v>44957</v>
      </c>
      <c r="Q244" s="4">
        <v>44969</v>
      </c>
      <c r="R244" s="1" t="s">
        <v>73</v>
      </c>
      <c r="AO244" s="7">
        <v>15032</v>
      </c>
      <c r="AP244" s="5">
        <v>9.2</v>
      </c>
      <c r="AQ244" s="5">
        <v>97</v>
      </c>
      <c r="AR244" s="5">
        <v>33.2</v>
      </c>
      <c r="AS244" s="5">
        <v>97.4</v>
      </c>
      <c r="AT244" s="5">
        <v>55</v>
      </c>
      <c r="AU244" s="5">
        <v>8</v>
      </c>
      <c r="AV244" s="5">
        <v>36.9</v>
      </c>
      <c r="AW244" s="5">
        <v>24.18</v>
      </c>
      <c r="AX244" s="5">
        <v>217</v>
      </c>
      <c r="AY244" s="5">
        <v>43.5</v>
      </c>
      <c r="AZ244" s="5">
        <v>8</v>
      </c>
      <c r="BA244" s="5" t="s">
        <v>76</v>
      </c>
      <c r="BB244" s="12" t="s">
        <v>76</v>
      </c>
      <c r="BC244" s="5">
        <v>3.88</v>
      </c>
      <c r="BD244" s="5">
        <v>97</v>
      </c>
      <c r="BE244" s="5" t="s">
        <v>76</v>
      </c>
      <c r="BF244" s="5" t="s">
        <v>76</v>
      </c>
      <c r="BG244" s="15">
        <v>37</v>
      </c>
      <c r="BH244" s="5" t="s">
        <v>76</v>
      </c>
      <c r="BI244" s="5">
        <v>107</v>
      </c>
      <c r="BJ244" s="5">
        <v>28</v>
      </c>
      <c r="BK244" s="5">
        <v>151</v>
      </c>
      <c r="BL244" s="5">
        <v>87</v>
      </c>
      <c r="BM244" s="5">
        <v>0</v>
      </c>
      <c r="BN244" s="5">
        <v>0</v>
      </c>
      <c r="BO244" s="5" t="e">
        <f t="shared" si="3"/>
        <v>#DIV/0!</v>
      </c>
      <c r="BP244" s="5" t="s">
        <v>174</v>
      </c>
      <c r="BQ244" s="5" t="s">
        <v>76</v>
      </c>
      <c r="BR244" s="5" t="s">
        <v>118</v>
      </c>
    </row>
    <row r="245" s="1" customFormat="1" spans="1:70">
      <c r="A245" s="1">
        <v>3248320</v>
      </c>
      <c r="B245" s="1" t="s">
        <v>831</v>
      </c>
      <c r="D245" s="4">
        <v>44897</v>
      </c>
      <c r="E245" s="4">
        <v>44904</v>
      </c>
      <c r="F245" s="7">
        <v>15041</v>
      </c>
      <c r="G245" s="1">
        <v>48</v>
      </c>
      <c r="H245" s="1">
        <v>10</v>
      </c>
      <c r="I245" s="1">
        <v>56</v>
      </c>
      <c r="J245" s="1">
        <v>7</v>
      </c>
      <c r="K245" s="1">
        <v>51</v>
      </c>
      <c r="L245" s="1">
        <v>26</v>
      </c>
      <c r="M245" s="1">
        <v>2.8</v>
      </c>
      <c r="N245" s="1">
        <v>13</v>
      </c>
      <c r="O245" s="7">
        <v>15041</v>
      </c>
      <c r="P245" s="4">
        <v>44897</v>
      </c>
      <c r="Q245" s="4">
        <v>44904</v>
      </c>
      <c r="R245" s="1" t="s">
        <v>73</v>
      </c>
      <c r="S245" s="1">
        <v>52</v>
      </c>
      <c r="T245" s="1">
        <v>13912030830</v>
      </c>
      <c r="AO245" s="7">
        <v>15041</v>
      </c>
      <c r="AP245" s="5">
        <v>4.6</v>
      </c>
      <c r="AQ245" s="5">
        <v>115</v>
      </c>
      <c r="AR245" s="5">
        <v>35.1</v>
      </c>
      <c r="AS245" s="5" t="s">
        <v>81</v>
      </c>
      <c r="AT245" s="5">
        <v>16</v>
      </c>
      <c r="AU245" s="5">
        <v>10</v>
      </c>
      <c r="AV245" s="5">
        <v>34</v>
      </c>
      <c r="AW245" s="5">
        <v>11.29</v>
      </c>
      <c r="AX245" s="5">
        <v>141</v>
      </c>
      <c r="AY245" s="5">
        <v>33</v>
      </c>
      <c r="AZ245" s="5" t="s">
        <v>75</v>
      </c>
      <c r="BA245" s="5">
        <v>2.48</v>
      </c>
      <c r="BB245" s="12" t="s">
        <v>76</v>
      </c>
      <c r="BC245" s="5">
        <v>4.41</v>
      </c>
      <c r="BD245" s="5">
        <v>115</v>
      </c>
      <c r="BE245" s="5">
        <v>0.98</v>
      </c>
      <c r="BF245" s="5">
        <v>1.2</v>
      </c>
      <c r="BG245" s="15">
        <v>36.3</v>
      </c>
      <c r="BH245" s="5">
        <v>72</v>
      </c>
      <c r="BI245" s="5" t="s">
        <v>76</v>
      </c>
      <c r="BJ245" s="5">
        <v>18</v>
      </c>
      <c r="BK245" s="5">
        <v>116</v>
      </c>
      <c r="BL245" s="5">
        <v>64</v>
      </c>
      <c r="BM245" s="5">
        <v>71</v>
      </c>
      <c r="BN245" s="5">
        <v>160</v>
      </c>
      <c r="BO245" s="5">
        <f t="shared" si="3"/>
        <v>27.734375</v>
      </c>
      <c r="BP245" s="5" t="s">
        <v>83</v>
      </c>
      <c r="BQ245" s="5" t="s">
        <v>76</v>
      </c>
      <c r="BR245" s="5">
        <v>2992</v>
      </c>
    </row>
    <row r="246" s="1" customFormat="1" spans="1:70">
      <c r="A246" s="1">
        <v>3320571</v>
      </c>
      <c r="B246" s="1" t="s">
        <v>866</v>
      </c>
      <c r="D246" s="4">
        <v>45019</v>
      </c>
      <c r="E246" s="4">
        <v>45029</v>
      </c>
      <c r="F246" s="7">
        <v>15047</v>
      </c>
      <c r="G246" s="1">
        <v>43</v>
      </c>
      <c r="H246" s="1">
        <v>10</v>
      </c>
      <c r="I246" s="1">
        <v>47</v>
      </c>
      <c r="J246" s="1">
        <v>10</v>
      </c>
      <c r="K246" s="1">
        <v>57</v>
      </c>
      <c r="L246" s="1">
        <v>30</v>
      </c>
      <c r="M246" s="1">
        <v>1.33</v>
      </c>
      <c r="N246" s="1">
        <v>25.9</v>
      </c>
      <c r="O246" s="7">
        <v>15047</v>
      </c>
      <c r="P246" s="4">
        <v>45019</v>
      </c>
      <c r="Q246" s="4">
        <v>45029</v>
      </c>
      <c r="R246" s="1" t="s">
        <v>80</v>
      </c>
      <c r="AO246" s="7">
        <v>15047</v>
      </c>
      <c r="AP246" s="5">
        <v>8</v>
      </c>
      <c r="AQ246" s="5">
        <v>90</v>
      </c>
      <c r="AR246" s="5">
        <v>29.7</v>
      </c>
      <c r="AS246" s="5">
        <v>4.1</v>
      </c>
      <c r="AT246" s="5">
        <v>12</v>
      </c>
      <c r="AU246" s="5">
        <v>9</v>
      </c>
      <c r="AV246" s="5">
        <v>32.2</v>
      </c>
      <c r="AW246" s="5">
        <v>12.2</v>
      </c>
      <c r="AX246" s="5">
        <v>85</v>
      </c>
      <c r="AY246" s="5">
        <v>86.58</v>
      </c>
      <c r="AZ246" s="5" t="s">
        <v>75</v>
      </c>
      <c r="BA246" s="5" t="s">
        <v>76</v>
      </c>
      <c r="BB246" s="12" t="s">
        <v>76</v>
      </c>
      <c r="BC246" s="5">
        <v>4.27</v>
      </c>
      <c r="BD246" s="5">
        <v>90</v>
      </c>
      <c r="BE246" s="5" t="s">
        <v>76</v>
      </c>
      <c r="BF246" s="5" t="s">
        <v>76</v>
      </c>
      <c r="BG246" s="15">
        <v>36.6</v>
      </c>
      <c r="BH246" s="5">
        <v>85</v>
      </c>
      <c r="BI246" s="5">
        <v>85</v>
      </c>
      <c r="BJ246" s="5">
        <v>20</v>
      </c>
      <c r="BK246" s="5">
        <v>145</v>
      </c>
      <c r="BL246" s="5">
        <v>77</v>
      </c>
      <c r="BM246" s="5" t="s">
        <v>77</v>
      </c>
      <c r="BN246" s="5" t="s">
        <v>77</v>
      </c>
      <c r="BO246" s="5" t="e">
        <f t="shared" si="3"/>
        <v>#VALUE!</v>
      </c>
      <c r="BP246" s="5" t="s">
        <v>168</v>
      </c>
      <c r="BQ246" s="5">
        <v>6.9</v>
      </c>
      <c r="BR246" s="5">
        <v>4102</v>
      </c>
    </row>
    <row r="247" s="1" customFormat="1" spans="1:70">
      <c r="A247" s="1">
        <v>3307276</v>
      </c>
      <c r="B247" s="1" t="s">
        <v>867</v>
      </c>
      <c r="D247" s="4">
        <v>45000</v>
      </c>
      <c r="E247" s="4">
        <v>45007</v>
      </c>
      <c r="F247" s="7">
        <v>15055</v>
      </c>
      <c r="G247" s="1">
        <v>46</v>
      </c>
      <c r="H247" s="1">
        <v>9</v>
      </c>
      <c r="I247" s="1">
        <v>48</v>
      </c>
      <c r="J247" s="1">
        <v>9</v>
      </c>
      <c r="K247" s="1">
        <v>57</v>
      </c>
      <c r="L247" s="1">
        <v>30</v>
      </c>
      <c r="N247" s="1">
        <v>13.6</v>
      </c>
      <c r="O247" s="7">
        <v>15055</v>
      </c>
      <c r="P247" s="4">
        <v>45000</v>
      </c>
      <c r="Q247" s="4">
        <v>45007</v>
      </c>
      <c r="R247" s="1" t="s">
        <v>73</v>
      </c>
      <c r="AO247" s="7">
        <v>15055</v>
      </c>
      <c r="AP247" s="5">
        <v>4.3</v>
      </c>
      <c r="AQ247" s="5">
        <v>151</v>
      </c>
      <c r="AR247" s="5">
        <v>47.6</v>
      </c>
      <c r="AS247" s="5" t="s">
        <v>81</v>
      </c>
      <c r="AT247" s="5">
        <v>20</v>
      </c>
      <c r="AU247" s="5">
        <v>18</v>
      </c>
      <c r="AV247" s="5">
        <v>46.1</v>
      </c>
      <c r="AW247" s="5">
        <v>5.58</v>
      </c>
      <c r="AX247" s="5">
        <v>65</v>
      </c>
      <c r="AY247" s="5">
        <v>80.66</v>
      </c>
      <c r="AZ247" s="5" t="s">
        <v>75</v>
      </c>
      <c r="BA247" s="5">
        <v>4.58</v>
      </c>
      <c r="BB247" s="12" t="s">
        <v>76</v>
      </c>
      <c r="BC247" s="5" t="s">
        <v>76</v>
      </c>
      <c r="BD247" s="5">
        <v>151</v>
      </c>
      <c r="BE247" s="5">
        <v>1.08</v>
      </c>
      <c r="BF247" s="5">
        <v>3.28</v>
      </c>
      <c r="BG247" s="15">
        <v>36.3</v>
      </c>
      <c r="BH247" s="5">
        <v>104</v>
      </c>
      <c r="BI247" s="5">
        <v>120</v>
      </c>
      <c r="BJ247" s="5">
        <v>17</v>
      </c>
      <c r="BK247" s="5">
        <v>160</v>
      </c>
      <c r="BL247" s="5">
        <v>110</v>
      </c>
      <c r="BM247" s="5">
        <v>68</v>
      </c>
      <c r="BN247" s="5">
        <v>162</v>
      </c>
      <c r="BO247" s="5">
        <f t="shared" si="3"/>
        <v>25.9106843468983</v>
      </c>
      <c r="BP247" s="5" t="s">
        <v>78</v>
      </c>
      <c r="BQ247" s="5">
        <v>6.2</v>
      </c>
      <c r="BR247" s="5">
        <v>2058</v>
      </c>
    </row>
    <row r="248" s="1" customFormat="1" spans="1:70">
      <c r="A248" s="1">
        <v>3317905</v>
      </c>
      <c r="B248" s="1" t="s">
        <v>868</v>
      </c>
      <c r="D248" s="4">
        <v>45015</v>
      </c>
      <c r="E248" s="4">
        <v>45028</v>
      </c>
      <c r="F248" s="7">
        <v>15057</v>
      </c>
      <c r="G248" s="1">
        <v>43</v>
      </c>
      <c r="H248" s="1">
        <v>10</v>
      </c>
      <c r="I248" s="1">
        <v>51</v>
      </c>
      <c r="J248" s="1">
        <v>10</v>
      </c>
      <c r="K248" s="1">
        <v>58</v>
      </c>
      <c r="L248" s="1">
        <v>31</v>
      </c>
      <c r="M248" s="1">
        <v>0.72</v>
      </c>
      <c r="N248" s="10">
        <v>17</v>
      </c>
      <c r="O248" s="7">
        <v>15057</v>
      </c>
      <c r="P248" s="4">
        <v>45015</v>
      </c>
      <c r="Q248" s="4">
        <v>45028</v>
      </c>
      <c r="R248" s="1" t="s">
        <v>80</v>
      </c>
      <c r="AO248" s="7">
        <v>15057</v>
      </c>
      <c r="AP248" s="5">
        <v>4.5</v>
      </c>
      <c r="AQ248" s="5">
        <v>87</v>
      </c>
      <c r="AR248" s="5">
        <v>27.1</v>
      </c>
      <c r="AS248" s="5">
        <v>4.5</v>
      </c>
      <c r="AT248" s="5">
        <v>20</v>
      </c>
      <c r="AU248" s="5" t="s">
        <v>76</v>
      </c>
      <c r="AV248" s="5" t="s">
        <v>76</v>
      </c>
      <c r="AW248" s="5">
        <v>19.67</v>
      </c>
      <c r="AX248" s="5">
        <v>206</v>
      </c>
      <c r="AY248" s="5">
        <v>42.96</v>
      </c>
      <c r="AZ248" s="5">
        <v>5.34</v>
      </c>
      <c r="BA248" s="5">
        <v>2.49</v>
      </c>
      <c r="BB248" s="12" t="s">
        <v>76</v>
      </c>
      <c r="BC248" s="5">
        <v>4.16</v>
      </c>
      <c r="BD248" s="5">
        <v>87</v>
      </c>
      <c r="BE248" s="5">
        <v>0.78</v>
      </c>
      <c r="BF248" s="5">
        <v>1.2</v>
      </c>
      <c r="BG248" s="15">
        <v>36.5</v>
      </c>
      <c r="BH248" s="5">
        <v>94</v>
      </c>
      <c r="BI248" s="5">
        <v>94</v>
      </c>
      <c r="BJ248" s="5">
        <v>20</v>
      </c>
      <c r="BK248" s="5">
        <v>132</v>
      </c>
      <c r="BL248" s="5">
        <v>55</v>
      </c>
      <c r="BM248" s="5">
        <v>57</v>
      </c>
      <c r="BN248" s="5">
        <v>160</v>
      </c>
      <c r="BO248" s="5">
        <f t="shared" si="3"/>
        <v>22.265625</v>
      </c>
      <c r="BP248" s="5" t="s">
        <v>107</v>
      </c>
      <c r="BQ248" s="5" t="s">
        <v>76</v>
      </c>
      <c r="BR248" s="5">
        <v>2688</v>
      </c>
    </row>
    <row r="249" s="1" customFormat="1" spans="1:70">
      <c r="A249" s="1">
        <v>3271909</v>
      </c>
      <c r="B249" s="1" t="s">
        <v>868</v>
      </c>
      <c r="D249" s="4">
        <v>44953</v>
      </c>
      <c r="E249" s="4">
        <v>44967</v>
      </c>
      <c r="F249" s="7">
        <v>15057</v>
      </c>
      <c r="G249" s="1">
        <v>40</v>
      </c>
      <c r="H249" s="1">
        <v>9</v>
      </c>
      <c r="I249" s="1">
        <v>47</v>
      </c>
      <c r="J249" s="1">
        <v>9</v>
      </c>
      <c r="K249" s="1">
        <v>61</v>
      </c>
      <c r="L249" s="1">
        <v>33</v>
      </c>
      <c r="M249" s="1">
        <v>1.78</v>
      </c>
      <c r="N249" s="1">
        <v>16.4</v>
      </c>
      <c r="O249" s="7">
        <v>15057</v>
      </c>
      <c r="P249" s="4">
        <v>44953</v>
      </c>
      <c r="Q249" s="4">
        <v>44967</v>
      </c>
      <c r="R249" s="1" t="s">
        <v>80</v>
      </c>
      <c r="AO249" s="7">
        <v>15057</v>
      </c>
      <c r="AP249" s="5">
        <v>8.9</v>
      </c>
      <c r="AQ249" s="5">
        <v>96</v>
      </c>
      <c r="AR249" s="5">
        <v>31.6</v>
      </c>
      <c r="AS249" s="5">
        <v>72.9</v>
      </c>
      <c r="AT249" s="5">
        <v>33</v>
      </c>
      <c r="AU249" s="5">
        <v>9</v>
      </c>
      <c r="AV249" s="5">
        <v>33.5</v>
      </c>
      <c r="AW249" s="5">
        <v>9.84</v>
      </c>
      <c r="AX249" s="5">
        <v>148</v>
      </c>
      <c r="AY249" s="5">
        <v>48</v>
      </c>
      <c r="AZ249" s="5">
        <v>6.89</v>
      </c>
      <c r="BA249" s="5">
        <v>3.93</v>
      </c>
      <c r="BB249" s="12" t="s">
        <v>76</v>
      </c>
      <c r="BC249" s="5">
        <v>4.07</v>
      </c>
      <c r="BD249" s="5">
        <v>96</v>
      </c>
      <c r="BE249" s="5">
        <v>0.97</v>
      </c>
      <c r="BF249" s="5">
        <v>2.63</v>
      </c>
      <c r="BG249" s="15">
        <v>36.5</v>
      </c>
      <c r="BH249" s="5" t="s">
        <v>76</v>
      </c>
      <c r="BI249" s="5">
        <v>70</v>
      </c>
      <c r="BJ249" s="5">
        <v>17</v>
      </c>
      <c r="BK249" s="5">
        <v>174</v>
      </c>
      <c r="BL249" s="5">
        <v>82</v>
      </c>
      <c r="BM249" s="5">
        <v>70</v>
      </c>
      <c r="BN249" s="5">
        <v>165</v>
      </c>
      <c r="BO249" s="5">
        <f t="shared" si="3"/>
        <v>25.7116620752984</v>
      </c>
      <c r="BP249" s="5" t="s">
        <v>78</v>
      </c>
      <c r="BQ249" s="5">
        <v>6.3</v>
      </c>
      <c r="BR249" s="5">
        <v>8682</v>
      </c>
    </row>
    <row r="250" s="1" customFormat="1" spans="1:70">
      <c r="A250" s="1">
        <v>3325835</v>
      </c>
      <c r="B250" s="1" t="s">
        <v>869</v>
      </c>
      <c r="C250" s="1" t="s">
        <v>273</v>
      </c>
      <c r="D250" s="4">
        <v>45026</v>
      </c>
      <c r="E250" s="4">
        <v>45031</v>
      </c>
      <c r="F250" s="7">
        <v>15068</v>
      </c>
      <c r="G250" s="1">
        <v>39</v>
      </c>
      <c r="H250" s="1">
        <v>9</v>
      </c>
      <c r="I250" s="1">
        <v>43</v>
      </c>
      <c r="J250" s="1">
        <v>9</v>
      </c>
      <c r="K250" s="1">
        <v>58</v>
      </c>
      <c r="L250" s="1">
        <v>30</v>
      </c>
      <c r="M250" s="1">
        <v>0.74</v>
      </c>
      <c r="N250" s="1">
        <v>13.3</v>
      </c>
      <c r="O250" s="7">
        <v>15068</v>
      </c>
      <c r="P250" s="4">
        <v>45026</v>
      </c>
      <c r="Q250" s="4">
        <v>45031</v>
      </c>
      <c r="R250" s="1" t="s">
        <v>80</v>
      </c>
      <c r="AO250" s="7">
        <v>15068</v>
      </c>
      <c r="AP250" s="5">
        <v>9.2</v>
      </c>
      <c r="AQ250" s="5">
        <v>97</v>
      </c>
      <c r="AR250" s="5">
        <v>30.5</v>
      </c>
      <c r="AS250" s="5">
        <v>251.6</v>
      </c>
      <c r="AT250" s="5">
        <v>37</v>
      </c>
      <c r="AU250" s="5">
        <v>74</v>
      </c>
      <c r="AV250" s="5">
        <v>32.6</v>
      </c>
      <c r="AW250" s="5">
        <v>9.3</v>
      </c>
      <c r="AX250" s="5">
        <v>70</v>
      </c>
      <c r="AY250" s="5" t="s">
        <v>76</v>
      </c>
      <c r="AZ250" s="5" t="s">
        <v>75</v>
      </c>
      <c r="BA250" s="5">
        <v>2.37</v>
      </c>
      <c r="BB250" s="12" t="s">
        <v>76</v>
      </c>
      <c r="BC250" s="5">
        <v>5.44</v>
      </c>
      <c r="BD250" s="5">
        <v>97</v>
      </c>
      <c r="BE250" s="5" t="s">
        <v>76</v>
      </c>
      <c r="BF250" s="5" t="s">
        <v>76</v>
      </c>
      <c r="BG250" s="15">
        <v>36.5</v>
      </c>
      <c r="BH250" s="5">
        <v>82</v>
      </c>
      <c r="BI250" s="5">
        <v>82</v>
      </c>
      <c r="BJ250" s="5">
        <v>32</v>
      </c>
      <c r="BK250" s="5">
        <v>121</v>
      </c>
      <c r="BL250" s="5">
        <v>73</v>
      </c>
      <c r="BM250" s="5">
        <v>45</v>
      </c>
      <c r="BN250" s="5">
        <v>168</v>
      </c>
      <c r="BO250" s="5">
        <f t="shared" si="3"/>
        <v>15.9438775510204</v>
      </c>
      <c r="BP250" s="5" t="s">
        <v>394</v>
      </c>
      <c r="BQ250" s="5">
        <v>5.1</v>
      </c>
      <c r="BR250" s="5">
        <v>5675</v>
      </c>
    </row>
    <row r="251" s="1" customFormat="1" spans="1:70">
      <c r="A251" s="1">
        <v>3240989</v>
      </c>
      <c r="B251" s="1" t="s">
        <v>870</v>
      </c>
      <c r="D251" s="4">
        <v>44885</v>
      </c>
      <c r="E251" s="4">
        <v>44903</v>
      </c>
      <c r="F251" s="7">
        <v>15071</v>
      </c>
      <c r="G251" s="1">
        <v>42</v>
      </c>
      <c r="H251" s="1">
        <v>10</v>
      </c>
      <c r="I251" s="1">
        <v>44</v>
      </c>
      <c r="J251" s="1">
        <v>10</v>
      </c>
      <c r="K251" s="1">
        <v>57</v>
      </c>
      <c r="L251" s="1">
        <v>30</v>
      </c>
      <c r="N251" s="1">
        <v>13.2</v>
      </c>
      <c r="O251" s="7">
        <v>15071</v>
      </c>
      <c r="P251" s="4">
        <v>44885</v>
      </c>
      <c r="Q251" s="4">
        <v>44903</v>
      </c>
      <c r="R251" s="1" t="s">
        <v>73</v>
      </c>
      <c r="AO251" s="7">
        <v>15071</v>
      </c>
      <c r="AP251" s="5">
        <v>9</v>
      </c>
      <c r="AQ251" s="5">
        <v>130</v>
      </c>
      <c r="AR251" s="5">
        <v>38</v>
      </c>
      <c r="AS251" s="5">
        <v>7.6</v>
      </c>
      <c r="AT251" s="5">
        <v>36</v>
      </c>
      <c r="AU251" s="5">
        <v>27</v>
      </c>
      <c r="AV251" s="5">
        <v>39.2</v>
      </c>
      <c r="AW251" s="5">
        <v>8.91</v>
      </c>
      <c r="AX251" s="5">
        <v>72</v>
      </c>
      <c r="AY251" s="5">
        <v>77.89</v>
      </c>
      <c r="AZ251" s="5" t="s">
        <v>871</v>
      </c>
      <c r="BA251" s="5">
        <v>4.65</v>
      </c>
      <c r="BB251" s="12" t="s">
        <v>76</v>
      </c>
      <c r="BC251" s="5">
        <v>3.8</v>
      </c>
      <c r="BD251" s="5">
        <v>130</v>
      </c>
      <c r="BE251" s="5">
        <v>0.93</v>
      </c>
      <c r="BF251" s="5">
        <v>3.07</v>
      </c>
      <c r="BG251" s="15">
        <v>36.5</v>
      </c>
      <c r="BH251" s="5">
        <v>90</v>
      </c>
      <c r="BI251" s="5">
        <v>110</v>
      </c>
      <c r="BJ251" s="5">
        <v>14</v>
      </c>
      <c r="BK251" s="5">
        <v>173</v>
      </c>
      <c r="BL251" s="5">
        <v>69</v>
      </c>
      <c r="BM251" s="5" t="s">
        <v>77</v>
      </c>
      <c r="BN251" s="5" t="s">
        <v>77</v>
      </c>
      <c r="BO251" s="5" t="e">
        <f t="shared" si="3"/>
        <v>#VALUE!</v>
      </c>
      <c r="BP251" s="5" t="s">
        <v>144</v>
      </c>
      <c r="BQ251" s="5">
        <v>6.5</v>
      </c>
      <c r="BR251" s="5">
        <v>4644</v>
      </c>
    </row>
    <row r="252" s="1" customFormat="1" spans="1:70">
      <c r="A252" s="1">
        <v>3308059</v>
      </c>
      <c r="B252" s="1" t="s">
        <v>872</v>
      </c>
      <c r="D252" s="4">
        <v>45001</v>
      </c>
      <c r="E252" s="4">
        <v>45007</v>
      </c>
      <c r="F252" s="7">
        <v>15076</v>
      </c>
      <c r="G252" s="1">
        <v>39</v>
      </c>
      <c r="H252" s="1">
        <v>10</v>
      </c>
      <c r="I252" s="1">
        <v>50</v>
      </c>
      <c r="J252" s="1">
        <v>10</v>
      </c>
      <c r="K252" s="1">
        <v>57</v>
      </c>
      <c r="L252" s="1">
        <v>30</v>
      </c>
      <c r="M252" s="1">
        <v>0.93</v>
      </c>
      <c r="N252" s="1">
        <v>15.5</v>
      </c>
      <c r="O252" s="7">
        <v>15076</v>
      </c>
      <c r="P252" s="4">
        <v>45001</v>
      </c>
      <c r="Q252" s="4">
        <v>45007</v>
      </c>
      <c r="R252" s="1" t="s">
        <v>73</v>
      </c>
      <c r="AO252" s="7">
        <v>15076</v>
      </c>
      <c r="AP252" s="5">
        <v>272.7</v>
      </c>
      <c r="AQ252" s="5">
        <v>67</v>
      </c>
      <c r="AR252" s="5">
        <v>20.9</v>
      </c>
      <c r="AS252" s="5">
        <v>1.4</v>
      </c>
      <c r="AT252" s="5">
        <v>19</v>
      </c>
      <c r="AU252" s="5">
        <v>12</v>
      </c>
      <c r="AV252" s="5">
        <v>23.2</v>
      </c>
      <c r="AW252" s="5">
        <v>13.21</v>
      </c>
      <c r="AX252" s="5">
        <v>161</v>
      </c>
      <c r="AY252" s="5">
        <v>28.32</v>
      </c>
      <c r="AZ252" s="5" t="s">
        <v>75</v>
      </c>
      <c r="BA252" s="5" t="s">
        <v>76</v>
      </c>
      <c r="BB252" s="12" t="s">
        <v>76</v>
      </c>
      <c r="BC252" s="5" t="s">
        <v>4</v>
      </c>
      <c r="BD252" s="5">
        <v>67</v>
      </c>
      <c r="BE252" s="5" t="s">
        <v>76</v>
      </c>
      <c r="BF252" s="5" t="s">
        <v>76</v>
      </c>
      <c r="BG252" s="15">
        <v>36.3</v>
      </c>
      <c r="BH252" s="5">
        <v>88</v>
      </c>
      <c r="BI252" s="5">
        <v>88</v>
      </c>
      <c r="BJ252" s="5">
        <v>16</v>
      </c>
      <c r="BK252" s="5">
        <v>169</v>
      </c>
      <c r="BL252" s="5">
        <v>66</v>
      </c>
      <c r="BM252" s="5">
        <v>45</v>
      </c>
      <c r="BN252" s="5">
        <v>160</v>
      </c>
      <c r="BO252" s="5">
        <f t="shared" si="3"/>
        <v>17.578125</v>
      </c>
      <c r="BP252" s="5" t="s">
        <v>415</v>
      </c>
      <c r="BQ252" s="5">
        <v>4.4</v>
      </c>
      <c r="BR252" s="5">
        <v>4679</v>
      </c>
    </row>
    <row r="253" s="1" customFormat="1" spans="1:70">
      <c r="A253" s="1">
        <v>3288840</v>
      </c>
      <c r="B253" s="1" t="s">
        <v>873</v>
      </c>
      <c r="D253" s="4">
        <v>44975</v>
      </c>
      <c r="E253" s="4">
        <v>44986</v>
      </c>
      <c r="F253" s="7">
        <v>15112</v>
      </c>
      <c r="G253" s="1">
        <v>28</v>
      </c>
      <c r="H253" s="1">
        <v>9</v>
      </c>
      <c r="I253" s="1">
        <v>44</v>
      </c>
      <c r="J253" s="1">
        <v>9</v>
      </c>
      <c r="K253" s="1">
        <v>44</v>
      </c>
      <c r="L253" s="1">
        <v>21</v>
      </c>
      <c r="M253" s="1">
        <v>0.42</v>
      </c>
      <c r="O253" s="7">
        <v>15112</v>
      </c>
      <c r="P253" s="4">
        <v>44975</v>
      </c>
      <c r="Q253" s="4">
        <v>44986</v>
      </c>
      <c r="R253" s="1" t="s">
        <v>73</v>
      </c>
      <c r="AO253" s="7">
        <v>15112</v>
      </c>
      <c r="AP253" s="5">
        <v>9.3</v>
      </c>
      <c r="AQ253" s="5">
        <v>164</v>
      </c>
      <c r="AR253" s="5">
        <v>53.4</v>
      </c>
      <c r="AS253" s="5">
        <v>81.6</v>
      </c>
      <c r="AT253" s="5">
        <v>94</v>
      </c>
      <c r="AU253" s="5">
        <v>82</v>
      </c>
      <c r="AV253" s="5">
        <v>39.6</v>
      </c>
      <c r="AW253" s="5">
        <v>9.88</v>
      </c>
      <c r="AX253" s="5">
        <v>81</v>
      </c>
      <c r="AY253" s="5" t="s">
        <v>125</v>
      </c>
      <c r="AZ253" s="5">
        <v>9.5</v>
      </c>
      <c r="BA253" s="5" t="s">
        <v>76</v>
      </c>
      <c r="BB253" s="12" t="s">
        <v>76</v>
      </c>
      <c r="BC253" s="5">
        <v>5.12</v>
      </c>
      <c r="BD253" s="5">
        <v>164</v>
      </c>
      <c r="BE253" s="5" t="s">
        <v>76</v>
      </c>
      <c r="BF253" s="5" t="s">
        <v>76</v>
      </c>
      <c r="BG253" s="15">
        <v>36</v>
      </c>
      <c r="BH253" s="5" t="s">
        <v>76</v>
      </c>
      <c r="BI253" s="5">
        <v>134</v>
      </c>
      <c r="BJ253" s="5">
        <v>27</v>
      </c>
      <c r="BK253" s="5">
        <v>125</v>
      </c>
      <c r="BL253" s="5">
        <v>85</v>
      </c>
      <c r="BM253" s="5" t="s">
        <v>77</v>
      </c>
      <c r="BN253" s="5" t="s">
        <v>77</v>
      </c>
      <c r="BO253" s="5" t="e">
        <f t="shared" si="3"/>
        <v>#VALUE!</v>
      </c>
      <c r="BP253" s="5" t="s">
        <v>323</v>
      </c>
      <c r="BQ253" s="5" t="s">
        <v>76</v>
      </c>
      <c r="BR253" s="5">
        <v>5801</v>
      </c>
    </row>
    <row r="254" s="1" customFormat="1" spans="1:70">
      <c r="A254" s="1">
        <v>3256406</v>
      </c>
      <c r="B254" s="1" t="s">
        <v>874</v>
      </c>
      <c r="D254" s="4">
        <v>44921</v>
      </c>
      <c r="E254" s="4">
        <v>44934</v>
      </c>
      <c r="F254" s="7">
        <v>15117</v>
      </c>
      <c r="G254" s="1">
        <v>38</v>
      </c>
      <c r="H254" s="1">
        <v>9</v>
      </c>
      <c r="I254" s="1">
        <v>44</v>
      </c>
      <c r="J254" s="1">
        <v>9</v>
      </c>
      <c r="K254" s="1">
        <v>63</v>
      </c>
      <c r="L254" s="1">
        <v>34</v>
      </c>
      <c r="M254" s="1">
        <v>0.76</v>
      </c>
      <c r="N254" s="1">
        <v>8.4</v>
      </c>
      <c r="O254" s="7">
        <v>15117</v>
      </c>
      <c r="P254" s="4">
        <v>44921</v>
      </c>
      <c r="Q254" s="4">
        <v>44934</v>
      </c>
      <c r="R254" s="1" t="s">
        <v>73</v>
      </c>
      <c r="AO254" s="7">
        <v>15117</v>
      </c>
      <c r="AP254" s="5">
        <v>57.9</v>
      </c>
      <c r="AQ254" s="5">
        <v>146</v>
      </c>
      <c r="AR254" s="5">
        <v>45.7</v>
      </c>
      <c r="AS254" s="5" t="s">
        <v>81</v>
      </c>
      <c r="AT254" s="5">
        <v>96</v>
      </c>
      <c r="AU254" s="5">
        <v>69</v>
      </c>
      <c r="AV254" s="5">
        <v>37.8</v>
      </c>
      <c r="AW254" s="5">
        <v>9.42</v>
      </c>
      <c r="AX254" s="5">
        <v>71</v>
      </c>
      <c r="AY254" s="5">
        <v>97.81</v>
      </c>
      <c r="AZ254" s="5" t="s">
        <v>75</v>
      </c>
      <c r="BA254" s="5" t="s">
        <v>76</v>
      </c>
      <c r="BB254" s="12" t="s">
        <v>76</v>
      </c>
      <c r="BC254" s="5">
        <v>4.33</v>
      </c>
      <c r="BD254" s="5">
        <v>146</v>
      </c>
      <c r="BE254" s="5" t="s">
        <v>76</v>
      </c>
      <c r="BF254" s="5" t="s">
        <v>76</v>
      </c>
      <c r="BG254" s="15">
        <v>36.2</v>
      </c>
      <c r="BH254" s="5" t="s">
        <v>76</v>
      </c>
      <c r="BI254" s="5">
        <v>96</v>
      </c>
      <c r="BJ254" s="5">
        <v>16</v>
      </c>
      <c r="BK254" s="5">
        <v>188</v>
      </c>
      <c r="BL254" s="5">
        <v>109</v>
      </c>
      <c r="BM254" s="5" t="s">
        <v>77</v>
      </c>
      <c r="BN254" s="5" t="s">
        <v>77</v>
      </c>
      <c r="BO254" s="5" t="e">
        <f t="shared" si="3"/>
        <v>#VALUE!</v>
      </c>
      <c r="BP254" s="5" t="s">
        <v>168</v>
      </c>
      <c r="BQ254" s="5" t="s">
        <v>76</v>
      </c>
      <c r="BR254" s="5">
        <v>8337</v>
      </c>
    </row>
    <row r="255" s="1" customFormat="1" spans="1:70">
      <c r="A255" s="1">
        <v>3294693</v>
      </c>
      <c r="B255" s="1" t="s">
        <v>875</v>
      </c>
      <c r="D255" s="4">
        <v>44986</v>
      </c>
      <c r="E255" s="4">
        <v>44991</v>
      </c>
      <c r="F255" s="7">
        <v>15134</v>
      </c>
      <c r="G255" s="1">
        <v>35</v>
      </c>
      <c r="H255" s="1">
        <v>12</v>
      </c>
      <c r="I255" s="1">
        <v>46</v>
      </c>
      <c r="J255" s="1">
        <v>12</v>
      </c>
      <c r="K255" s="1">
        <v>48</v>
      </c>
      <c r="L255" s="1">
        <v>25</v>
      </c>
      <c r="M255" s="1">
        <v>0.87</v>
      </c>
      <c r="N255" s="1">
        <v>27.3</v>
      </c>
      <c r="O255" s="7">
        <v>15134</v>
      </c>
      <c r="P255" s="4">
        <v>44986</v>
      </c>
      <c r="Q255" s="4">
        <v>44991</v>
      </c>
      <c r="R255" s="1" t="s">
        <v>73</v>
      </c>
      <c r="AO255" s="7">
        <v>15134</v>
      </c>
      <c r="AP255" s="5">
        <v>9.1</v>
      </c>
      <c r="AQ255" s="5">
        <v>128</v>
      </c>
      <c r="AR255" s="5">
        <v>38.4</v>
      </c>
      <c r="AS255" s="5" t="s">
        <v>76</v>
      </c>
      <c r="AT255" s="5">
        <v>31</v>
      </c>
      <c r="AU255" s="5">
        <v>15</v>
      </c>
      <c r="AV255" s="5">
        <v>39.3</v>
      </c>
      <c r="AW255" s="5">
        <v>6.4</v>
      </c>
      <c r="AX255" s="5">
        <v>44</v>
      </c>
      <c r="AY255" s="5" t="s">
        <v>125</v>
      </c>
      <c r="AZ255" s="5" t="s">
        <v>75</v>
      </c>
      <c r="BA255" s="5">
        <v>3.64</v>
      </c>
      <c r="BB255" s="12" t="s">
        <v>76</v>
      </c>
      <c r="BC255" s="5">
        <v>3.46</v>
      </c>
      <c r="BD255" s="5">
        <v>128</v>
      </c>
      <c r="BE255" s="5">
        <v>1.59</v>
      </c>
      <c r="BF255" s="5">
        <v>1.59</v>
      </c>
      <c r="BG255" s="15">
        <v>36.6</v>
      </c>
      <c r="BH255" s="5">
        <v>62</v>
      </c>
      <c r="BI255" s="5" t="s">
        <v>76</v>
      </c>
      <c r="BJ255" s="5">
        <v>20</v>
      </c>
      <c r="BK255" s="5">
        <v>128</v>
      </c>
      <c r="BL255" s="5">
        <v>68</v>
      </c>
      <c r="BM255" s="5">
        <v>60</v>
      </c>
      <c r="BN255" s="5">
        <v>150</v>
      </c>
      <c r="BO255" s="5">
        <f t="shared" si="3"/>
        <v>26.6666666666667</v>
      </c>
      <c r="BP255" s="5" t="s">
        <v>156</v>
      </c>
      <c r="BQ255" s="5">
        <v>5.1</v>
      </c>
      <c r="BR255" s="5">
        <v>16337</v>
      </c>
    </row>
    <row r="256" s="1" customFormat="1" spans="1:70">
      <c r="A256" s="1">
        <v>3247885</v>
      </c>
      <c r="B256" s="1" t="s">
        <v>876</v>
      </c>
      <c r="D256" s="4">
        <v>44896</v>
      </c>
      <c r="E256" s="4">
        <v>44901</v>
      </c>
      <c r="F256" s="7">
        <v>15154</v>
      </c>
      <c r="G256" s="1">
        <v>33</v>
      </c>
      <c r="H256" s="1">
        <v>8</v>
      </c>
      <c r="I256" s="1">
        <v>46</v>
      </c>
      <c r="J256" s="1">
        <v>8</v>
      </c>
      <c r="K256" s="1">
        <v>66</v>
      </c>
      <c r="L256" s="1">
        <v>36</v>
      </c>
      <c r="M256" s="1">
        <v>0.51</v>
      </c>
      <c r="N256" s="1">
        <v>10.3</v>
      </c>
      <c r="O256" s="7">
        <v>15154</v>
      </c>
      <c r="P256" s="4">
        <v>44896</v>
      </c>
      <c r="Q256" s="4">
        <v>44901</v>
      </c>
      <c r="R256" s="1" t="s">
        <v>73</v>
      </c>
      <c r="S256" s="1">
        <v>81</v>
      </c>
      <c r="T256" s="1">
        <v>15852320783</v>
      </c>
      <c r="V256" s="1">
        <v>1</v>
      </c>
      <c r="AA256" s="1">
        <v>1</v>
      </c>
      <c r="AC256" s="1">
        <v>1</v>
      </c>
      <c r="AH256" s="1">
        <v>1</v>
      </c>
      <c r="AN256" s="1">
        <v>1</v>
      </c>
      <c r="AO256" s="7">
        <v>15154</v>
      </c>
      <c r="AP256" s="5">
        <v>3.7</v>
      </c>
      <c r="AQ256" s="5">
        <v>108</v>
      </c>
      <c r="AR256" s="5">
        <v>34</v>
      </c>
      <c r="AS256" s="5">
        <v>20.2</v>
      </c>
      <c r="AT256" s="5">
        <v>30</v>
      </c>
      <c r="AU256" s="5">
        <v>15</v>
      </c>
      <c r="AV256" s="5">
        <v>21</v>
      </c>
      <c r="AW256" s="5">
        <v>5.26</v>
      </c>
      <c r="AX256" s="5">
        <v>95</v>
      </c>
      <c r="AY256" s="5">
        <v>52.06</v>
      </c>
      <c r="AZ256" s="5" t="s">
        <v>75</v>
      </c>
      <c r="BA256" s="5">
        <v>8.31</v>
      </c>
      <c r="BB256" s="12" t="s">
        <v>76</v>
      </c>
      <c r="BC256" s="5">
        <v>3.96</v>
      </c>
      <c r="BD256" s="5">
        <v>108</v>
      </c>
      <c r="BE256" s="5">
        <v>1.11</v>
      </c>
      <c r="BF256" s="5">
        <v>5.26</v>
      </c>
      <c r="BG256" s="15">
        <v>35.8</v>
      </c>
      <c r="BH256" s="5">
        <v>80</v>
      </c>
      <c r="BI256" s="5" t="s">
        <v>76</v>
      </c>
      <c r="BJ256" s="5">
        <v>19</v>
      </c>
      <c r="BK256" s="5">
        <v>146</v>
      </c>
      <c r="BL256" s="5">
        <v>90</v>
      </c>
      <c r="BM256" s="5">
        <v>45</v>
      </c>
      <c r="BN256" s="5">
        <v>155</v>
      </c>
      <c r="BO256" s="5">
        <f t="shared" si="3"/>
        <v>18.7304890738814</v>
      </c>
      <c r="BP256" s="5" t="s">
        <v>83</v>
      </c>
      <c r="BQ256" s="5">
        <v>5.3</v>
      </c>
      <c r="BR256" s="5">
        <v>2706</v>
      </c>
    </row>
    <row r="257" s="1" customFormat="1" spans="1:70">
      <c r="A257" s="1">
        <v>3311037</v>
      </c>
      <c r="B257" s="1" t="s">
        <v>877</v>
      </c>
      <c r="C257" s="1" t="s">
        <v>273</v>
      </c>
      <c r="D257" s="4">
        <v>45005</v>
      </c>
      <c r="E257" s="4">
        <v>45015</v>
      </c>
      <c r="F257" s="7">
        <v>15161</v>
      </c>
      <c r="G257" s="1">
        <v>32</v>
      </c>
      <c r="H257" s="1">
        <v>8</v>
      </c>
      <c r="I257" s="1">
        <v>58</v>
      </c>
      <c r="J257" s="1">
        <v>8</v>
      </c>
      <c r="K257" s="1">
        <v>39</v>
      </c>
      <c r="L257" s="1">
        <v>19</v>
      </c>
      <c r="M257" s="1">
        <v>0.39</v>
      </c>
      <c r="N257" s="1">
        <v>8.2</v>
      </c>
      <c r="O257" s="7">
        <v>15161</v>
      </c>
      <c r="P257" s="4">
        <v>45005</v>
      </c>
      <c r="Q257" s="4">
        <v>45015</v>
      </c>
      <c r="R257" s="1" t="s">
        <v>80</v>
      </c>
      <c r="AO257" s="7">
        <v>15161</v>
      </c>
      <c r="AP257" s="5" t="s">
        <v>76</v>
      </c>
      <c r="AQ257" s="5" t="s">
        <v>76</v>
      </c>
      <c r="AR257" s="5" t="s">
        <v>76</v>
      </c>
      <c r="AS257" s="5" t="s">
        <v>76</v>
      </c>
      <c r="AT257" s="5">
        <v>57</v>
      </c>
      <c r="AU257" s="5">
        <v>88</v>
      </c>
      <c r="AV257" s="5">
        <v>32</v>
      </c>
      <c r="AW257" s="5">
        <v>9.2</v>
      </c>
      <c r="AX257" s="5">
        <v>138</v>
      </c>
      <c r="AY257" s="5">
        <v>62.5</v>
      </c>
      <c r="AZ257" s="5" t="s">
        <v>76</v>
      </c>
      <c r="BA257" s="5">
        <v>3.68</v>
      </c>
      <c r="BB257" s="12" t="s">
        <v>76</v>
      </c>
      <c r="BC257" s="5">
        <v>5.59</v>
      </c>
      <c r="BD257" s="5" t="s">
        <v>76</v>
      </c>
      <c r="BE257" s="5">
        <v>1.37</v>
      </c>
      <c r="BF257" s="5">
        <v>1.42</v>
      </c>
      <c r="BG257" s="15">
        <v>36.8</v>
      </c>
      <c r="BH257" s="5">
        <v>88</v>
      </c>
      <c r="BI257" s="5">
        <v>88</v>
      </c>
      <c r="BJ257" s="5">
        <v>18</v>
      </c>
      <c r="BK257" s="5">
        <v>148</v>
      </c>
      <c r="BL257" s="5">
        <v>78</v>
      </c>
      <c r="BM257" s="5">
        <v>45</v>
      </c>
      <c r="BN257" s="5">
        <v>168</v>
      </c>
      <c r="BO257" s="5">
        <f t="shared" si="3"/>
        <v>15.9438775510204</v>
      </c>
      <c r="BP257" s="5" t="s">
        <v>156</v>
      </c>
      <c r="BQ257" s="5">
        <v>6.1</v>
      </c>
      <c r="BR257" s="5">
        <v>6473</v>
      </c>
    </row>
    <row r="258" s="1" customFormat="1" spans="1:70">
      <c r="A258" s="1">
        <v>3316829</v>
      </c>
      <c r="B258" s="1" t="s">
        <v>878</v>
      </c>
      <c r="D258" s="4">
        <v>45013</v>
      </c>
      <c r="E258" s="4">
        <v>45026</v>
      </c>
      <c r="F258" s="7">
        <v>15162</v>
      </c>
      <c r="G258" s="1">
        <v>43</v>
      </c>
      <c r="H258" s="1">
        <v>8</v>
      </c>
      <c r="I258" s="1">
        <v>64</v>
      </c>
      <c r="J258" s="1">
        <v>8</v>
      </c>
      <c r="K258" s="1">
        <v>37</v>
      </c>
      <c r="L258" s="1">
        <v>19</v>
      </c>
      <c r="M258" s="1">
        <v>0.62</v>
      </c>
      <c r="N258" s="1">
        <v>5.8</v>
      </c>
      <c r="O258" s="7">
        <v>15162</v>
      </c>
      <c r="P258" s="4">
        <v>45013</v>
      </c>
      <c r="Q258" s="4">
        <v>45026</v>
      </c>
      <c r="R258" s="1" t="s">
        <v>80</v>
      </c>
      <c r="AO258" s="7">
        <v>15162</v>
      </c>
      <c r="AP258" s="5">
        <v>6.6</v>
      </c>
      <c r="AQ258" s="5">
        <v>130</v>
      </c>
      <c r="AR258" s="5">
        <v>40.4</v>
      </c>
      <c r="AS258" s="5">
        <v>38.6</v>
      </c>
      <c r="AT258" s="5">
        <v>34</v>
      </c>
      <c r="AU258" s="5">
        <v>57</v>
      </c>
      <c r="AV258" s="5">
        <v>40.2</v>
      </c>
      <c r="AW258" s="5">
        <v>24</v>
      </c>
      <c r="AX258" s="5">
        <v>244</v>
      </c>
      <c r="AY258" s="5">
        <v>36.09</v>
      </c>
      <c r="AZ258" s="5" t="s">
        <v>75</v>
      </c>
      <c r="BA258" s="5">
        <v>4.06</v>
      </c>
      <c r="BB258" s="12" t="s">
        <v>76</v>
      </c>
      <c r="BC258" s="5">
        <v>5.46</v>
      </c>
      <c r="BD258" s="5">
        <v>130</v>
      </c>
      <c r="BE258" s="5">
        <v>0.83</v>
      </c>
      <c r="BF258" s="5">
        <v>2.82</v>
      </c>
      <c r="BG258" s="15">
        <v>36.5</v>
      </c>
      <c r="BH258" s="5">
        <v>90</v>
      </c>
      <c r="BI258" s="5">
        <v>90</v>
      </c>
      <c r="BJ258" s="5">
        <v>18</v>
      </c>
      <c r="BK258" s="5">
        <v>135</v>
      </c>
      <c r="BL258" s="5">
        <v>84</v>
      </c>
      <c r="BM258" s="5">
        <v>85</v>
      </c>
      <c r="BN258" s="5">
        <v>170</v>
      </c>
      <c r="BO258" s="5">
        <f t="shared" si="3"/>
        <v>29.4117647058824</v>
      </c>
      <c r="BP258" s="5" t="s">
        <v>156</v>
      </c>
      <c r="BQ258" s="5" t="s">
        <v>76</v>
      </c>
      <c r="BR258" s="5">
        <v>3095</v>
      </c>
    </row>
    <row r="259" s="1" customFormat="1" spans="1:70">
      <c r="A259" s="1">
        <v>3244852</v>
      </c>
      <c r="B259" s="1" t="s">
        <v>879</v>
      </c>
      <c r="D259" s="4">
        <v>44890</v>
      </c>
      <c r="E259" s="4">
        <v>44901</v>
      </c>
      <c r="F259" s="7">
        <v>15162</v>
      </c>
      <c r="G259" s="1">
        <v>42</v>
      </c>
      <c r="H259" s="1">
        <v>9</v>
      </c>
      <c r="I259" s="1">
        <v>44</v>
      </c>
      <c r="J259" s="1">
        <v>9</v>
      </c>
      <c r="K259" s="1">
        <v>58</v>
      </c>
      <c r="L259" s="1">
        <v>31</v>
      </c>
      <c r="N259" s="1">
        <v>16.8</v>
      </c>
      <c r="O259" s="7">
        <v>15162</v>
      </c>
      <c r="P259" s="4">
        <v>44890</v>
      </c>
      <c r="Q259" s="4">
        <v>44901</v>
      </c>
      <c r="R259" s="1" t="s">
        <v>73</v>
      </c>
      <c r="AO259" s="7">
        <v>15162</v>
      </c>
      <c r="AP259" s="5">
        <v>9.5</v>
      </c>
      <c r="AQ259" s="5">
        <v>121</v>
      </c>
      <c r="AR259" s="5">
        <v>37.5</v>
      </c>
      <c r="AS259" s="5">
        <v>20.6</v>
      </c>
      <c r="AT259" s="5">
        <v>50</v>
      </c>
      <c r="AU259" s="5">
        <v>8</v>
      </c>
      <c r="AV259" s="5">
        <v>39.2</v>
      </c>
      <c r="AW259" s="5">
        <v>7.4</v>
      </c>
      <c r="AX259" s="5">
        <v>66</v>
      </c>
      <c r="AY259" s="5">
        <v>83.62</v>
      </c>
      <c r="AZ259" s="5">
        <v>9.04</v>
      </c>
      <c r="BA259" s="5">
        <v>4.47</v>
      </c>
      <c r="BB259" s="12" t="s">
        <v>76</v>
      </c>
      <c r="BC259" s="5">
        <v>4.06</v>
      </c>
      <c r="BD259" s="5">
        <v>121</v>
      </c>
      <c r="BE259" s="5">
        <v>1.01</v>
      </c>
      <c r="BF259" s="5">
        <v>2.92</v>
      </c>
      <c r="BG259" s="15">
        <v>36.5</v>
      </c>
      <c r="BH259" s="5">
        <v>80</v>
      </c>
      <c r="BI259" s="5">
        <v>98</v>
      </c>
      <c r="BJ259" s="5">
        <v>20</v>
      </c>
      <c r="BK259" s="5">
        <v>185</v>
      </c>
      <c r="BL259" s="5">
        <v>96</v>
      </c>
      <c r="BM259" s="5">
        <v>70</v>
      </c>
      <c r="BN259" s="5">
        <v>160</v>
      </c>
      <c r="BO259" s="5">
        <f t="shared" ref="BO259:BO322" si="4">BM259/(BN259/100)^2</f>
        <v>27.34375</v>
      </c>
      <c r="BP259" s="5" t="s">
        <v>357</v>
      </c>
      <c r="BQ259" s="5" t="s">
        <v>76</v>
      </c>
      <c r="BR259" s="5">
        <v>3621</v>
      </c>
    </row>
    <row r="260" s="1" customFormat="1" spans="1:70">
      <c r="A260" s="1">
        <v>3287826</v>
      </c>
      <c r="B260" s="1" t="s">
        <v>880</v>
      </c>
      <c r="D260" s="4">
        <v>44973</v>
      </c>
      <c r="E260" s="4">
        <v>45010</v>
      </c>
      <c r="F260" s="7">
        <v>15164</v>
      </c>
      <c r="G260" s="1">
        <v>41</v>
      </c>
      <c r="H260" s="1">
        <v>10</v>
      </c>
      <c r="I260" s="1">
        <v>47</v>
      </c>
      <c r="J260" s="1">
        <v>10</v>
      </c>
      <c r="K260" s="1">
        <v>56</v>
      </c>
      <c r="L260" s="1">
        <v>30</v>
      </c>
      <c r="M260" s="1">
        <v>1.64</v>
      </c>
      <c r="N260" s="10">
        <v>29</v>
      </c>
      <c r="O260" s="7">
        <v>15164</v>
      </c>
      <c r="P260" s="4">
        <v>44973</v>
      </c>
      <c r="Q260" s="4">
        <v>45010</v>
      </c>
      <c r="R260" s="1" t="s">
        <v>73</v>
      </c>
      <c r="AO260" s="7">
        <v>15164</v>
      </c>
      <c r="AP260" s="5">
        <v>9.3</v>
      </c>
      <c r="AQ260" s="5">
        <v>99</v>
      </c>
      <c r="AR260" s="5">
        <v>39</v>
      </c>
      <c r="AS260" s="5" t="s">
        <v>881</v>
      </c>
      <c r="AT260" s="5">
        <v>9</v>
      </c>
      <c r="AU260" s="5">
        <v>9</v>
      </c>
      <c r="AV260" s="5">
        <v>7.3</v>
      </c>
      <c r="AW260" s="5">
        <v>8.88</v>
      </c>
      <c r="AX260" s="5">
        <v>87</v>
      </c>
      <c r="AY260" s="5" t="s">
        <v>125</v>
      </c>
      <c r="AZ260" s="5" t="s">
        <v>75</v>
      </c>
      <c r="BA260" s="5" t="s">
        <v>76</v>
      </c>
      <c r="BB260" s="12" t="s">
        <v>76</v>
      </c>
      <c r="BC260" s="5">
        <v>4.83</v>
      </c>
      <c r="BD260" s="5">
        <v>99</v>
      </c>
      <c r="BE260" s="5" t="s">
        <v>76</v>
      </c>
      <c r="BF260" s="5" t="s">
        <v>76</v>
      </c>
      <c r="BG260" s="15">
        <v>36.3</v>
      </c>
      <c r="BH260" s="5">
        <v>100</v>
      </c>
      <c r="BI260" s="5">
        <v>100</v>
      </c>
      <c r="BJ260" s="5">
        <v>19</v>
      </c>
      <c r="BK260" s="5">
        <v>104</v>
      </c>
      <c r="BL260" s="5">
        <v>74</v>
      </c>
      <c r="BM260" s="5">
        <v>65</v>
      </c>
      <c r="BN260" s="5">
        <v>155</v>
      </c>
      <c r="BO260" s="5">
        <f t="shared" si="4"/>
        <v>27.0551508844953</v>
      </c>
      <c r="BP260" s="5" t="s">
        <v>117</v>
      </c>
      <c r="BQ260" s="5" t="s">
        <v>76</v>
      </c>
      <c r="BR260" s="5">
        <v>9448</v>
      </c>
    </row>
    <row r="261" s="1" customFormat="1" spans="1:70">
      <c r="A261" s="1">
        <v>3283622</v>
      </c>
      <c r="B261" s="1" t="s">
        <v>882</v>
      </c>
      <c r="D261" s="4">
        <v>44968</v>
      </c>
      <c r="E261" s="4">
        <v>44977</v>
      </c>
      <c r="F261" s="7">
        <v>15180</v>
      </c>
      <c r="G261" s="1">
        <v>41</v>
      </c>
      <c r="H261" s="1">
        <v>9</v>
      </c>
      <c r="I261" s="1">
        <v>48</v>
      </c>
      <c r="J261" s="1">
        <v>9</v>
      </c>
      <c r="K261" s="1">
        <v>65</v>
      </c>
      <c r="L261" s="1">
        <v>36</v>
      </c>
      <c r="N261" s="1">
        <v>8.9</v>
      </c>
      <c r="O261" s="7">
        <v>15180</v>
      </c>
      <c r="P261" s="4">
        <v>44968</v>
      </c>
      <c r="Q261" s="4">
        <v>44977</v>
      </c>
      <c r="R261" s="1" t="s">
        <v>80</v>
      </c>
      <c r="AO261" s="7">
        <v>15180</v>
      </c>
      <c r="AP261" s="5">
        <v>7.7</v>
      </c>
      <c r="AQ261" s="5">
        <v>134</v>
      </c>
      <c r="AR261" s="5">
        <v>41</v>
      </c>
      <c r="AS261" s="5">
        <v>4.1</v>
      </c>
      <c r="AT261" s="5">
        <v>25</v>
      </c>
      <c r="AU261" s="5">
        <v>23</v>
      </c>
      <c r="AV261" s="5">
        <v>38.7</v>
      </c>
      <c r="AW261" s="5">
        <v>6.21</v>
      </c>
      <c r="AX261" s="5">
        <v>63</v>
      </c>
      <c r="AY261" s="5">
        <v>112.7</v>
      </c>
      <c r="AZ261" s="5" t="s">
        <v>75</v>
      </c>
      <c r="BA261" s="5">
        <v>4.1</v>
      </c>
      <c r="BB261" s="12" t="s">
        <v>76</v>
      </c>
      <c r="BC261" s="5">
        <v>4.64</v>
      </c>
      <c r="BD261" s="5">
        <v>134</v>
      </c>
      <c r="BE261" s="5">
        <v>1.13</v>
      </c>
      <c r="BF261" s="5">
        <v>2.37</v>
      </c>
      <c r="BG261" s="15">
        <v>36.1</v>
      </c>
      <c r="BH261" s="5">
        <v>90</v>
      </c>
      <c r="BI261" s="5">
        <v>110</v>
      </c>
      <c r="BJ261" s="5">
        <v>18</v>
      </c>
      <c r="BK261" s="5">
        <v>140</v>
      </c>
      <c r="BL261" s="5">
        <v>96</v>
      </c>
      <c r="BM261" s="5">
        <v>60</v>
      </c>
      <c r="BN261" s="5">
        <v>168</v>
      </c>
      <c r="BO261" s="5">
        <f t="shared" si="4"/>
        <v>21.2585034013605</v>
      </c>
      <c r="BP261" s="5" t="s">
        <v>83</v>
      </c>
      <c r="BQ261" s="5">
        <v>5.6</v>
      </c>
      <c r="BR261" s="5">
        <v>2185</v>
      </c>
    </row>
    <row r="262" s="1" customFormat="1" spans="1:70">
      <c r="A262" s="1">
        <v>3244804</v>
      </c>
      <c r="B262" s="1" t="s">
        <v>883</v>
      </c>
      <c r="D262" s="4">
        <v>44890</v>
      </c>
      <c r="E262" s="4">
        <v>44902</v>
      </c>
      <c r="F262" s="7">
        <v>15196</v>
      </c>
      <c r="G262" s="1">
        <v>48</v>
      </c>
      <c r="H262" s="1">
        <v>10</v>
      </c>
      <c r="I262" s="1">
        <v>52</v>
      </c>
      <c r="J262" s="1">
        <v>10</v>
      </c>
      <c r="K262" s="1">
        <v>41</v>
      </c>
      <c r="L262" s="1">
        <v>21</v>
      </c>
      <c r="M262" s="1">
        <v>2.26</v>
      </c>
      <c r="N262" s="1">
        <v>21.5</v>
      </c>
      <c r="O262" s="7">
        <v>15196</v>
      </c>
      <c r="P262" s="4">
        <v>44890</v>
      </c>
      <c r="Q262" s="4">
        <v>44902</v>
      </c>
      <c r="R262" s="1" t="s">
        <v>80</v>
      </c>
      <c r="AO262" s="7">
        <v>15196</v>
      </c>
      <c r="AP262" s="5">
        <v>6</v>
      </c>
      <c r="AQ262" s="5">
        <v>169</v>
      </c>
      <c r="AR262" s="5">
        <v>53.4</v>
      </c>
      <c r="AS262" s="5">
        <v>5.6</v>
      </c>
      <c r="AT262" s="5">
        <v>23</v>
      </c>
      <c r="AU262" s="5">
        <v>22</v>
      </c>
      <c r="AV262" s="5">
        <v>40.2</v>
      </c>
      <c r="AW262" s="5">
        <v>13.3</v>
      </c>
      <c r="AX262" s="5">
        <v>96</v>
      </c>
      <c r="AY262" s="5">
        <v>69.31</v>
      </c>
      <c r="AZ262" s="5" t="s">
        <v>75</v>
      </c>
      <c r="BA262" s="5">
        <v>3.23</v>
      </c>
      <c r="BB262" s="12" t="s">
        <v>76</v>
      </c>
      <c r="BC262" s="5">
        <v>4.61</v>
      </c>
      <c r="BD262" s="5">
        <v>169</v>
      </c>
      <c r="BE262" s="5" t="s">
        <v>76</v>
      </c>
      <c r="BF262" s="5" t="s">
        <v>76</v>
      </c>
      <c r="BG262" s="15">
        <v>36.5</v>
      </c>
      <c r="BH262" s="5">
        <v>73</v>
      </c>
      <c r="BI262" s="5">
        <v>73</v>
      </c>
      <c r="BJ262" s="5">
        <v>17</v>
      </c>
      <c r="BK262" s="5">
        <v>138</v>
      </c>
      <c r="BL262" s="5">
        <v>88</v>
      </c>
      <c r="BM262" s="5">
        <v>64</v>
      </c>
      <c r="BN262" s="5">
        <v>170</v>
      </c>
      <c r="BO262" s="5">
        <f t="shared" si="4"/>
        <v>22.1453287197232</v>
      </c>
      <c r="BP262" s="5" t="s">
        <v>164</v>
      </c>
      <c r="BQ262" s="5">
        <v>7.9</v>
      </c>
      <c r="BR262" s="5">
        <v>4918</v>
      </c>
    </row>
    <row r="263" s="1" customFormat="1" spans="1:70">
      <c r="A263" s="1">
        <v>3501758</v>
      </c>
      <c r="B263" s="1" t="s">
        <v>884</v>
      </c>
      <c r="D263" s="4">
        <v>45268</v>
      </c>
      <c r="E263" s="4">
        <v>45271</v>
      </c>
      <c r="F263" s="7">
        <v>15197</v>
      </c>
      <c r="G263" s="1">
        <v>53</v>
      </c>
      <c r="H263" s="1">
        <v>8</v>
      </c>
      <c r="I263" s="1">
        <v>56</v>
      </c>
      <c r="J263" s="1">
        <v>8</v>
      </c>
      <c r="K263" s="1">
        <v>42</v>
      </c>
      <c r="M263" s="1">
        <v>1.07</v>
      </c>
      <c r="N263" s="1">
        <v>19.2</v>
      </c>
      <c r="O263" s="7">
        <v>15197</v>
      </c>
      <c r="P263" s="4">
        <v>45268</v>
      </c>
      <c r="Q263" s="4">
        <v>45271</v>
      </c>
      <c r="R263" s="1" t="s">
        <v>73</v>
      </c>
      <c r="AO263" s="7">
        <v>15197</v>
      </c>
      <c r="AP263" s="5">
        <v>59.3</v>
      </c>
      <c r="AQ263" s="5">
        <v>106</v>
      </c>
      <c r="AR263" s="5">
        <v>37</v>
      </c>
      <c r="AS263" s="5">
        <v>31.4</v>
      </c>
      <c r="AT263" s="5">
        <v>17</v>
      </c>
      <c r="AU263" s="5">
        <v>7</v>
      </c>
      <c r="AV263" s="5">
        <v>40.1</v>
      </c>
      <c r="AW263" s="5">
        <v>7.05</v>
      </c>
      <c r="AX263" s="5">
        <v>66</v>
      </c>
      <c r="AY263" s="5">
        <v>79.05</v>
      </c>
      <c r="AZ263" s="5" t="s">
        <v>75</v>
      </c>
      <c r="BA263" s="5" t="s">
        <v>76</v>
      </c>
      <c r="BB263" s="12" t="s">
        <v>76</v>
      </c>
      <c r="BC263" s="5">
        <v>4.06</v>
      </c>
      <c r="BD263" s="5">
        <v>106</v>
      </c>
      <c r="BE263" s="5" t="s">
        <v>76</v>
      </c>
      <c r="BF263" s="5" t="s">
        <v>76</v>
      </c>
      <c r="BG263" s="15">
        <v>36.6</v>
      </c>
      <c r="BH263" s="5">
        <v>70</v>
      </c>
      <c r="BI263" s="5">
        <v>95</v>
      </c>
      <c r="BJ263" s="5">
        <v>18</v>
      </c>
      <c r="BK263" s="5">
        <v>141</v>
      </c>
      <c r="BL263" s="5">
        <v>78</v>
      </c>
      <c r="BM263" s="5">
        <v>40</v>
      </c>
      <c r="BN263" s="5">
        <v>0</v>
      </c>
      <c r="BO263" s="5" t="e">
        <f t="shared" si="4"/>
        <v>#DIV/0!</v>
      </c>
      <c r="BP263" s="5" t="s">
        <v>323</v>
      </c>
      <c r="BQ263" s="5">
        <v>5.4</v>
      </c>
      <c r="BR263" s="5">
        <v>5051.4</v>
      </c>
    </row>
    <row r="264" s="1" customFormat="1" spans="1:70">
      <c r="A264" s="1" t="s">
        <v>885</v>
      </c>
      <c r="B264" s="1" t="s">
        <v>886</v>
      </c>
      <c r="D264" s="4">
        <v>44926</v>
      </c>
      <c r="E264" s="4">
        <v>44938</v>
      </c>
      <c r="F264" s="7">
        <v>15207</v>
      </c>
      <c r="G264" s="1">
        <v>35</v>
      </c>
      <c r="H264" s="1">
        <v>8</v>
      </c>
      <c r="I264" s="1">
        <v>54</v>
      </c>
      <c r="J264" s="1">
        <v>8</v>
      </c>
      <c r="K264" s="1">
        <v>53</v>
      </c>
      <c r="L264" s="1">
        <v>28</v>
      </c>
      <c r="M264" s="1">
        <v>0.47</v>
      </c>
      <c r="N264" s="1">
        <v>10.7</v>
      </c>
      <c r="O264" s="7">
        <v>15207</v>
      </c>
      <c r="P264" s="4">
        <v>44926</v>
      </c>
      <c r="Q264" s="4">
        <v>44938</v>
      </c>
      <c r="R264" s="1" t="s">
        <v>73</v>
      </c>
      <c r="AO264" s="7">
        <v>15207</v>
      </c>
      <c r="AP264" s="5" t="s">
        <v>887</v>
      </c>
      <c r="AQ264" s="5" t="s">
        <v>318</v>
      </c>
      <c r="AR264" s="5" t="s">
        <v>888</v>
      </c>
      <c r="AS264" s="5" t="s">
        <v>889</v>
      </c>
      <c r="AT264" s="5" t="s">
        <v>594</v>
      </c>
      <c r="AU264" s="5" t="s">
        <v>890</v>
      </c>
      <c r="AV264" s="5" t="s">
        <v>241</v>
      </c>
      <c r="AW264" s="5" t="s">
        <v>891</v>
      </c>
      <c r="AX264" s="5" t="s">
        <v>892</v>
      </c>
      <c r="AY264" s="5" t="s">
        <v>125</v>
      </c>
      <c r="AZ264" s="5" t="s">
        <v>76</v>
      </c>
      <c r="BA264" s="5" t="s">
        <v>76</v>
      </c>
      <c r="BB264" s="12" t="s">
        <v>76</v>
      </c>
      <c r="BC264" s="5" t="s">
        <v>893</v>
      </c>
      <c r="BD264" s="5" t="s">
        <v>318</v>
      </c>
      <c r="BE264" s="5" t="s">
        <v>76</v>
      </c>
      <c r="BF264" s="5" t="s">
        <v>76</v>
      </c>
      <c r="BG264" s="15">
        <v>36.8</v>
      </c>
      <c r="BH264" s="5" t="s">
        <v>483</v>
      </c>
      <c r="BI264" s="5" t="s">
        <v>483</v>
      </c>
      <c r="BJ264" s="5" t="s">
        <v>193</v>
      </c>
      <c r="BK264" s="5" t="s">
        <v>558</v>
      </c>
      <c r="BL264" s="5" t="s">
        <v>425</v>
      </c>
      <c r="BM264" s="5" t="s">
        <v>894</v>
      </c>
      <c r="BN264" s="5">
        <v>150</v>
      </c>
      <c r="BO264" s="5">
        <f t="shared" si="4"/>
        <v>17.7777777777778</v>
      </c>
      <c r="BP264" s="5" t="s">
        <v>895</v>
      </c>
      <c r="BQ264" s="5" t="s">
        <v>76</v>
      </c>
      <c r="BR264" s="5">
        <v>3849</v>
      </c>
    </row>
    <row r="265" s="1" customFormat="1" spans="1:70">
      <c r="A265" s="1">
        <v>3327210</v>
      </c>
      <c r="B265" s="1" t="s">
        <v>896</v>
      </c>
      <c r="C265" s="1" t="s">
        <v>273</v>
      </c>
      <c r="D265" s="4">
        <v>45028</v>
      </c>
      <c r="E265" s="4">
        <v>45034</v>
      </c>
      <c r="F265" s="7">
        <v>15216</v>
      </c>
      <c r="G265" s="1">
        <v>45</v>
      </c>
      <c r="H265" s="1">
        <v>10</v>
      </c>
      <c r="I265" s="1">
        <v>55</v>
      </c>
      <c r="J265" s="1">
        <v>9</v>
      </c>
      <c r="K265" s="1">
        <v>49</v>
      </c>
      <c r="L265" s="1">
        <v>25</v>
      </c>
      <c r="M265" s="1">
        <v>0.44</v>
      </c>
      <c r="N265" s="1">
        <v>15.4</v>
      </c>
      <c r="O265" s="7">
        <v>15216</v>
      </c>
      <c r="P265" s="4">
        <v>45028</v>
      </c>
      <c r="Q265" s="4">
        <v>45034</v>
      </c>
      <c r="R265" s="1" t="s">
        <v>80</v>
      </c>
      <c r="AO265" s="7">
        <v>15216</v>
      </c>
      <c r="AP265" s="5">
        <v>8.2</v>
      </c>
      <c r="AQ265" s="5">
        <v>148</v>
      </c>
      <c r="AR265" s="5">
        <v>53</v>
      </c>
      <c r="AS265" s="5" t="s">
        <v>897</v>
      </c>
      <c r="AT265" s="5">
        <v>26</v>
      </c>
      <c r="AU265" s="5">
        <v>27</v>
      </c>
      <c r="AV265" s="5">
        <v>32.5</v>
      </c>
      <c r="AW265" s="5">
        <v>9.44</v>
      </c>
      <c r="AX265" s="5">
        <v>59</v>
      </c>
      <c r="AY265" s="5" t="s">
        <v>125</v>
      </c>
      <c r="AZ265" s="5" t="s">
        <v>75</v>
      </c>
      <c r="BA265" s="5">
        <v>3.98</v>
      </c>
      <c r="BB265" s="12" t="s">
        <v>76</v>
      </c>
      <c r="BC265" s="5">
        <v>3.45</v>
      </c>
      <c r="BD265" s="5">
        <v>148</v>
      </c>
      <c r="BE265" s="5">
        <v>1.34</v>
      </c>
      <c r="BF265" s="5">
        <v>1.94</v>
      </c>
      <c r="BG265" s="15">
        <v>36.2</v>
      </c>
      <c r="BH265" s="5">
        <v>92</v>
      </c>
      <c r="BI265" s="5">
        <v>92</v>
      </c>
      <c r="BJ265" s="5">
        <v>19</v>
      </c>
      <c r="BK265" s="5">
        <v>108</v>
      </c>
      <c r="BL265" s="5">
        <v>70</v>
      </c>
      <c r="BM265" s="5">
        <v>62</v>
      </c>
      <c r="BN265" s="5">
        <v>178</v>
      </c>
      <c r="BO265" s="5">
        <f t="shared" si="4"/>
        <v>19.5682363337962</v>
      </c>
      <c r="BP265" s="5" t="s">
        <v>83</v>
      </c>
      <c r="BQ265" s="5" t="s">
        <v>76</v>
      </c>
      <c r="BR265" s="5">
        <v>6507</v>
      </c>
    </row>
    <row r="266" s="1" customFormat="1" spans="1:70">
      <c r="A266" s="1">
        <v>3266488</v>
      </c>
      <c r="B266" s="1" t="s">
        <v>898</v>
      </c>
      <c r="D266" s="4">
        <v>44939</v>
      </c>
      <c r="E266" s="4">
        <v>44956</v>
      </c>
      <c r="F266" s="7">
        <v>15223</v>
      </c>
      <c r="G266" s="1">
        <v>41</v>
      </c>
      <c r="H266" s="1">
        <v>8</v>
      </c>
      <c r="I266" s="1">
        <v>47</v>
      </c>
      <c r="J266" s="1">
        <v>8</v>
      </c>
      <c r="K266" s="1">
        <v>62</v>
      </c>
      <c r="L266" s="1">
        <v>33</v>
      </c>
      <c r="N266" s="1">
        <v>8.8</v>
      </c>
      <c r="O266" s="7">
        <v>15223</v>
      </c>
      <c r="P266" s="4">
        <v>44939</v>
      </c>
      <c r="Q266" s="4">
        <v>44956</v>
      </c>
      <c r="R266" s="1" t="s">
        <v>80</v>
      </c>
      <c r="AO266" s="7">
        <v>15223</v>
      </c>
      <c r="AP266" s="5">
        <v>8.9</v>
      </c>
      <c r="AQ266" s="5">
        <v>124</v>
      </c>
      <c r="AR266" s="5">
        <v>38</v>
      </c>
      <c r="AS266" s="5">
        <v>8.8</v>
      </c>
      <c r="AT266" s="5">
        <v>9</v>
      </c>
      <c r="AU266" s="5">
        <v>28</v>
      </c>
      <c r="AV266" s="5">
        <v>32.5</v>
      </c>
      <c r="AW266" s="5">
        <v>14.58</v>
      </c>
      <c r="AX266" s="5">
        <v>91</v>
      </c>
      <c r="AY266" s="5">
        <v>80.86</v>
      </c>
      <c r="AZ266" s="5" t="s">
        <v>75</v>
      </c>
      <c r="BA266" s="5" t="s">
        <v>76</v>
      </c>
      <c r="BB266" s="12" t="s">
        <v>76</v>
      </c>
      <c r="BC266" s="5">
        <v>4.43</v>
      </c>
      <c r="BD266" s="5">
        <v>124</v>
      </c>
      <c r="BE266" s="5" t="s">
        <v>76</v>
      </c>
      <c r="BF266" s="5" t="s">
        <v>76</v>
      </c>
      <c r="BG266" s="15">
        <v>36</v>
      </c>
      <c r="BH266" s="5" t="s">
        <v>76</v>
      </c>
      <c r="BI266" s="5">
        <v>84</v>
      </c>
      <c r="BJ266" s="5">
        <v>21</v>
      </c>
      <c r="BK266" s="5">
        <v>159</v>
      </c>
      <c r="BL266" s="5">
        <v>85</v>
      </c>
      <c r="BM266" s="5">
        <v>70</v>
      </c>
      <c r="BN266" s="5">
        <v>180</v>
      </c>
      <c r="BO266" s="5">
        <f t="shared" si="4"/>
        <v>21.6049382716049</v>
      </c>
      <c r="BP266" s="5" t="s">
        <v>109</v>
      </c>
      <c r="BQ266" s="5" t="s">
        <v>76</v>
      </c>
      <c r="BR266" s="5">
        <v>4650</v>
      </c>
    </row>
    <row r="267" s="1" customFormat="1" spans="1:70">
      <c r="A267" s="1">
        <v>3247137</v>
      </c>
      <c r="B267" s="1" t="s">
        <v>899</v>
      </c>
      <c r="D267" s="4">
        <v>44895</v>
      </c>
      <c r="E267" s="4">
        <v>44902</v>
      </c>
      <c r="F267" s="7">
        <v>15224</v>
      </c>
      <c r="G267" s="1">
        <v>51</v>
      </c>
      <c r="H267" s="1">
        <v>9</v>
      </c>
      <c r="I267" s="1">
        <v>60</v>
      </c>
      <c r="J267" s="1">
        <v>9</v>
      </c>
      <c r="K267" s="1">
        <v>53</v>
      </c>
      <c r="L267" s="1">
        <v>28</v>
      </c>
      <c r="O267" s="7">
        <v>15224</v>
      </c>
      <c r="P267" s="4">
        <v>44895</v>
      </c>
      <c r="Q267" s="4">
        <v>44902</v>
      </c>
      <c r="R267" s="1" t="s">
        <v>80</v>
      </c>
      <c r="S267" s="1">
        <v>81</v>
      </c>
      <c r="T267" s="1">
        <v>13852097162</v>
      </c>
      <c r="V267" s="1">
        <v>1</v>
      </c>
      <c r="Y267" s="1">
        <v>1</v>
      </c>
      <c r="AG267" s="1">
        <v>1</v>
      </c>
      <c r="AH267" s="1">
        <v>1</v>
      </c>
      <c r="AM267" s="1">
        <v>1</v>
      </c>
      <c r="AO267" s="7">
        <v>15224</v>
      </c>
      <c r="AP267" s="5">
        <v>5.1</v>
      </c>
      <c r="AQ267" s="5">
        <v>140</v>
      </c>
      <c r="AR267" s="5">
        <v>43.5</v>
      </c>
      <c r="AS267" s="5">
        <v>2.5</v>
      </c>
      <c r="AT267" s="5">
        <v>12</v>
      </c>
      <c r="AU267" s="5">
        <v>7</v>
      </c>
      <c r="AV267" s="5">
        <v>41.1</v>
      </c>
      <c r="AW267" s="5">
        <v>8.1</v>
      </c>
      <c r="AX267" s="5">
        <v>77</v>
      </c>
      <c r="AY267" s="5">
        <v>89.4</v>
      </c>
      <c r="AZ267" s="5" t="s">
        <v>75</v>
      </c>
      <c r="BA267" s="5">
        <v>2.77</v>
      </c>
      <c r="BB267" s="12" t="s">
        <v>76</v>
      </c>
      <c r="BC267" s="5">
        <v>4.32</v>
      </c>
      <c r="BD267" s="5">
        <v>140</v>
      </c>
      <c r="BE267" s="5">
        <v>0.83</v>
      </c>
      <c r="BF267" s="5">
        <v>1.82</v>
      </c>
      <c r="BG267" s="15">
        <v>36.4</v>
      </c>
      <c r="BH267" s="5">
        <v>72</v>
      </c>
      <c r="BI267" s="5">
        <v>80</v>
      </c>
      <c r="BJ267" s="5">
        <v>18</v>
      </c>
      <c r="BK267" s="5">
        <v>160</v>
      </c>
      <c r="BL267" s="5">
        <v>76</v>
      </c>
      <c r="BM267" s="5">
        <v>95</v>
      </c>
      <c r="BN267" s="5">
        <v>180</v>
      </c>
      <c r="BO267" s="5">
        <f t="shared" si="4"/>
        <v>29.320987654321</v>
      </c>
      <c r="BP267" s="5" t="s">
        <v>357</v>
      </c>
      <c r="BQ267" s="5">
        <v>6.2</v>
      </c>
      <c r="BR267" s="5">
        <v>4398</v>
      </c>
    </row>
    <row r="268" s="1" customFormat="1" spans="1:70">
      <c r="A268" s="1">
        <v>3290446</v>
      </c>
      <c r="B268" s="1" t="s">
        <v>900</v>
      </c>
      <c r="D268" s="4">
        <v>44978</v>
      </c>
      <c r="E268" s="4">
        <v>44993</v>
      </c>
      <c r="F268" s="7">
        <v>15234</v>
      </c>
      <c r="G268" s="1">
        <v>37</v>
      </c>
      <c r="H268" s="1">
        <v>9</v>
      </c>
      <c r="I268" s="1">
        <v>51</v>
      </c>
      <c r="J268" s="1">
        <v>9</v>
      </c>
      <c r="K268" s="1">
        <v>52</v>
      </c>
      <c r="L268" s="1">
        <v>27</v>
      </c>
      <c r="M268" s="1">
        <v>1.34</v>
      </c>
      <c r="N268" s="1">
        <v>21.1</v>
      </c>
      <c r="O268" s="7">
        <v>15234</v>
      </c>
      <c r="P268" s="4">
        <v>44978</v>
      </c>
      <c r="Q268" s="4">
        <v>44993</v>
      </c>
      <c r="R268" s="1" t="s">
        <v>73</v>
      </c>
      <c r="AO268" s="7">
        <v>15234</v>
      </c>
      <c r="AP268" s="5">
        <v>15.3</v>
      </c>
      <c r="AQ268" s="5">
        <v>140</v>
      </c>
      <c r="AR268" s="5">
        <v>42.4</v>
      </c>
      <c r="AS268" s="5">
        <v>86.5</v>
      </c>
      <c r="AT268" s="5">
        <v>16</v>
      </c>
      <c r="AU268" s="5">
        <v>9</v>
      </c>
      <c r="AV268" s="5">
        <v>34.3</v>
      </c>
      <c r="AW268" s="5">
        <v>5.3</v>
      </c>
      <c r="AX268" s="5">
        <v>66</v>
      </c>
      <c r="AY268" s="5" t="s">
        <v>76</v>
      </c>
      <c r="AZ268" s="5">
        <v>4.97</v>
      </c>
      <c r="BA268" s="5">
        <v>3.9</v>
      </c>
      <c r="BB268" s="12" t="s">
        <v>76</v>
      </c>
      <c r="BC268" s="5">
        <v>3.21</v>
      </c>
      <c r="BD268" s="5">
        <v>140</v>
      </c>
      <c r="BE268" s="5">
        <v>0.84</v>
      </c>
      <c r="BF268" s="5">
        <v>2.49</v>
      </c>
      <c r="BG268" s="15">
        <v>36.5</v>
      </c>
      <c r="BH268" s="5" t="s">
        <v>76</v>
      </c>
      <c r="BI268" s="5">
        <v>77</v>
      </c>
      <c r="BJ268" s="5">
        <v>16</v>
      </c>
      <c r="BK268" s="5">
        <v>121</v>
      </c>
      <c r="BL268" s="5">
        <v>88</v>
      </c>
      <c r="BM268" s="5">
        <v>55</v>
      </c>
      <c r="BN268" s="5">
        <v>160</v>
      </c>
      <c r="BO268" s="5">
        <f t="shared" si="4"/>
        <v>21.484375</v>
      </c>
      <c r="BP268" s="5" t="s">
        <v>357</v>
      </c>
      <c r="BQ268" s="5">
        <v>5.5</v>
      </c>
      <c r="BR268" s="5">
        <v>6926</v>
      </c>
    </row>
    <row r="269" s="1" customFormat="1" spans="1:70">
      <c r="A269" s="1">
        <v>3473955</v>
      </c>
      <c r="B269" s="1" t="s">
        <v>901</v>
      </c>
      <c r="D269" s="4">
        <v>45231</v>
      </c>
      <c r="E269" s="4">
        <v>45264</v>
      </c>
      <c r="F269" s="7">
        <v>15245</v>
      </c>
      <c r="G269" s="1">
        <v>36</v>
      </c>
      <c r="H269" s="1">
        <v>10</v>
      </c>
      <c r="I269" s="1">
        <v>46</v>
      </c>
      <c r="J269" s="1">
        <v>10</v>
      </c>
      <c r="K269" s="1">
        <v>60</v>
      </c>
      <c r="L269" s="1">
        <v>32</v>
      </c>
      <c r="M269" s="1">
        <v>2.19</v>
      </c>
      <c r="N269" s="1">
        <v>10.3</v>
      </c>
      <c r="O269" s="7">
        <v>15245</v>
      </c>
      <c r="P269" s="4">
        <v>45231</v>
      </c>
      <c r="Q269" s="4">
        <v>45264</v>
      </c>
      <c r="R269" s="1" t="s">
        <v>73</v>
      </c>
      <c r="S269" s="1">
        <v>82</v>
      </c>
      <c r="T269" s="1" t="s">
        <v>902</v>
      </c>
      <c r="V269" s="1">
        <v>1</v>
      </c>
      <c r="X269" s="1">
        <v>1</v>
      </c>
      <c r="Y269" s="1">
        <v>1</v>
      </c>
      <c r="Z269" s="1">
        <v>1</v>
      </c>
      <c r="AG269" s="1">
        <v>1</v>
      </c>
      <c r="AH269" s="1">
        <v>1</v>
      </c>
      <c r="AI269" s="1">
        <v>1</v>
      </c>
      <c r="AK269" s="1">
        <v>1</v>
      </c>
      <c r="AM269" s="1">
        <v>1</v>
      </c>
      <c r="AN269" s="1">
        <v>1</v>
      </c>
      <c r="AO269" s="7">
        <v>15245</v>
      </c>
      <c r="AP269" s="5">
        <v>9.8</v>
      </c>
      <c r="AQ269" s="5">
        <v>84</v>
      </c>
      <c r="AR269" s="5">
        <v>35.7</v>
      </c>
      <c r="AS269" s="5">
        <v>6.7</v>
      </c>
      <c r="AT269" s="5">
        <v>7</v>
      </c>
      <c r="AU269" s="5" t="s">
        <v>171</v>
      </c>
      <c r="AV269" s="5">
        <v>44.6</v>
      </c>
      <c r="AW269" s="5">
        <v>6.33</v>
      </c>
      <c r="AX269" s="5">
        <v>69</v>
      </c>
      <c r="AY269" s="5">
        <v>75.1</v>
      </c>
      <c r="AZ269" s="5" t="s">
        <v>75</v>
      </c>
      <c r="BA269" s="5">
        <v>4.86</v>
      </c>
      <c r="BB269" s="12" t="s">
        <v>76</v>
      </c>
      <c r="BC269" s="5" t="s">
        <v>4</v>
      </c>
      <c r="BD269" s="5">
        <v>84</v>
      </c>
      <c r="BE269" s="5">
        <v>1.03</v>
      </c>
      <c r="BF269" s="5">
        <v>3.12</v>
      </c>
      <c r="BG269" s="15">
        <v>36.2</v>
      </c>
      <c r="BH269" s="5">
        <v>90</v>
      </c>
      <c r="BI269" s="5">
        <v>90</v>
      </c>
      <c r="BJ269" s="5">
        <v>20</v>
      </c>
      <c r="BK269" s="5">
        <v>179</v>
      </c>
      <c r="BL269" s="5">
        <v>93</v>
      </c>
      <c r="BM269" s="5">
        <v>73</v>
      </c>
      <c r="BN269" s="5">
        <v>150</v>
      </c>
      <c r="BO269" s="5">
        <f t="shared" si="4"/>
        <v>32.4444444444444</v>
      </c>
      <c r="BP269" s="5" t="s">
        <v>415</v>
      </c>
      <c r="BQ269" s="5">
        <v>8.9</v>
      </c>
      <c r="BR269" s="5" t="s">
        <v>118</v>
      </c>
    </row>
    <row r="270" s="1" customFormat="1" spans="1:70">
      <c r="A270" s="1">
        <v>3254694</v>
      </c>
      <c r="B270" s="1" t="s">
        <v>903</v>
      </c>
      <c r="D270" s="4">
        <v>44915</v>
      </c>
      <c r="E270" s="4">
        <v>44932</v>
      </c>
      <c r="F270" s="7">
        <v>15257</v>
      </c>
      <c r="G270" s="1">
        <v>42</v>
      </c>
      <c r="H270" s="1">
        <v>9</v>
      </c>
      <c r="I270" s="1">
        <v>52</v>
      </c>
      <c r="J270" s="1">
        <v>9</v>
      </c>
      <c r="K270" s="1">
        <v>42</v>
      </c>
      <c r="L270" s="1">
        <v>21</v>
      </c>
      <c r="M270" s="1">
        <v>0.54</v>
      </c>
      <c r="N270" s="1">
        <v>9.1</v>
      </c>
      <c r="O270" s="7">
        <v>15257</v>
      </c>
      <c r="P270" s="4">
        <v>44915</v>
      </c>
      <c r="Q270" s="4">
        <v>44932</v>
      </c>
      <c r="R270" s="1" t="s">
        <v>80</v>
      </c>
      <c r="AO270" s="7">
        <v>15257</v>
      </c>
      <c r="AP270" s="5">
        <v>7.5</v>
      </c>
      <c r="AQ270" s="5">
        <v>157</v>
      </c>
      <c r="AR270" s="5">
        <v>65</v>
      </c>
      <c r="AS270" s="5">
        <v>75.4</v>
      </c>
      <c r="AT270" s="5">
        <v>34</v>
      </c>
      <c r="AU270" s="5">
        <v>14</v>
      </c>
      <c r="AV270" s="5">
        <v>36.5</v>
      </c>
      <c r="AW270" s="5">
        <v>8.66</v>
      </c>
      <c r="AX270" s="5">
        <v>85</v>
      </c>
      <c r="AY270" s="5">
        <v>95.08</v>
      </c>
      <c r="AZ270" s="5" t="s">
        <v>375</v>
      </c>
      <c r="BA270" s="5">
        <v>3.5</v>
      </c>
      <c r="BB270" s="12" t="s">
        <v>76</v>
      </c>
      <c r="BC270" s="5">
        <v>5.06</v>
      </c>
      <c r="BD270" s="5">
        <v>157</v>
      </c>
      <c r="BE270" s="5">
        <v>0.96</v>
      </c>
      <c r="BF270" s="5">
        <v>1.79</v>
      </c>
      <c r="BG270" s="15">
        <v>36.4</v>
      </c>
      <c r="BH270" s="5">
        <v>100</v>
      </c>
      <c r="BI270" s="5">
        <v>100</v>
      </c>
      <c r="BJ270" s="5">
        <v>18</v>
      </c>
      <c r="BK270" s="5">
        <v>111</v>
      </c>
      <c r="BL270" s="5">
        <v>65</v>
      </c>
      <c r="BM270" s="5">
        <v>78</v>
      </c>
      <c r="BN270" s="5">
        <v>176</v>
      </c>
      <c r="BO270" s="5">
        <f t="shared" si="4"/>
        <v>25.1807851239669</v>
      </c>
      <c r="BP270" s="5" t="s">
        <v>107</v>
      </c>
      <c r="BQ270" s="5">
        <v>8.8</v>
      </c>
      <c r="BR270" s="5">
        <v>8806</v>
      </c>
    </row>
    <row r="271" s="1" customFormat="1" spans="1:70">
      <c r="A271" s="1">
        <v>3504541</v>
      </c>
      <c r="B271" s="1" t="s">
        <v>904</v>
      </c>
      <c r="D271" s="4">
        <v>45272</v>
      </c>
      <c r="E271" s="4">
        <v>45280</v>
      </c>
      <c r="F271" s="7">
        <v>15267</v>
      </c>
      <c r="G271" s="1">
        <v>33</v>
      </c>
      <c r="H271" s="1">
        <v>8</v>
      </c>
      <c r="I271" s="1">
        <v>50</v>
      </c>
      <c r="J271" s="1">
        <v>8</v>
      </c>
      <c r="K271" s="1">
        <v>58</v>
      </c>
      <c r="L271" s="1">
        <v>30</v>
      </c>
      <c r="M271" s="1">
        <v>0.76</v>
      </c>
      <c r="O271" s="7">
        <v>15267</v>
      </c>
      <c r="P271" s="4">
        <v>45272</v>
      </c>
      <c r="Q271" s="4">
        <v>45280</v>
      </c>
      <c r="R271" s="1" t="s">
        <v>80</v>
      </c>
      <c r="AO271" s="7">
        <v>15267</v>
      </c>
      <c r="AP271" s="5">
        <v>9.2</v>
      </c>
      <c r="AQ271" s="5">
        <v>80</v>
      </c>
      <c r="AR271" s="5">
        <v>28.4</v>
      </c>
      <c r="AS271" s="5">
        <v>67.7</v>
      </c>
      <c r="AT271" s="5">
        <v>24</v>
      </c>
      <c r="AU271" s="5">
        <v>9</v>
      </c>
      <c r="AV271" s="5">
        <v>33.4</v>
      </c>
      <c r="AW271" s="5">
        <v>47.87</v>
      </c>
      <c r="AX271" s="5">
        <v>294</v>
      </c>
      <c r="AY271" s="5">
        <v>28.49</v>
      </c>
      <c r="AZ271" s="5" t="s">
        <v>75</v>
      </c>
      <c r="BA271" s="5">
        <v>2.04</v>
      </c>
      <c r="BB271" s="12" t="s">
        <v>76</v>
      </c>
      <c r="BC271" s="5">
        <v>5.65</v>
      </c>
      <c r="BD271" s="5">
        <v>80</v>
      </c>
      <c r="BE271" s="5">
        <v>0.26</v>
      </c>
      <c r="BF271" s="5">
        <v>0.96</v>
      </c>
      <c r="BG271" s="15">
        <v>36.2</v>
      </c>
      <c r="BH271" s="5">
        <v>72</v>
      </c>
      <c r="BI271" s="5">
        <v>72</v>
      </c>
      <c r="BJ271" s="5">
        <v>22</v>
      </c>
      <c r="BK271" s="5">
        <v>148</v>
      </c>
      <c r="BL271" s="5">
        <v>58</v>
      </c>
      <c r="BM271" s="5">
        <v>75</v>
      </c>
      <c r="BN271" s="5">
        <v>172</v>
      </c>
      <c r="BO271" s="5">
        <f t="shared" si="4"/>
        <v>25.3515413737155</v>
      </c>
      <c r="BP271" s="5" t="s">
        <v>117</v>
      </c>
      <c r="BQ271" s="5" t="s">
        <v>76</v>
      </c>
      <c r="BR271" s="5">
        <v>7218</v>
      </c>
    </row>
    <row r="272" s="1" customFormat="1" spans="1:70">
      <c r="A272" s="1">
        <v>3309515</v>
      </c>
      <c r="B272" s="1" t="s">
        <v>905</v>
      </c>
      <c r="D272" s="4">
        <v>45003</v>
      </c>
      <c r="E272" s="4">
        <v>45014</v>
      </c>
      <c r="F272" s="7">
        <v>15269</v>
      </c>
      <c r="G272" s="1">
        <v>49</v>
      </c>
      <c r="H272" s="1">
        <v>10</v>
      </c>
      <c r="I272" s="1">
        <v>52</v>
      </c>
      <c r="J272" s="1">
        <v>10</v>
      </c>
      <c r="K272" s="1">
        <v>56</v>
      </c>
      <c r="L272" s="1">
        <v>30</v>
      </c>
      <c r="N272" s="10">
        <v>11</v>
      </c>
      <c r="O272" s="7">
        <v>15269</v>
      </c>
      <c r="P272" s="4">
        <v>45003</v>
      </c>
      <c r="Q272" s="4">
        <v>45014</v>
      </c>
      <c r="R272" s="1" t="s">
        <v>80</v>
      </c>
      <c r="AO272" s="7">
        <v>15269</v>
      </c>
      <c r="AP272" s="5">
        <v>9.8</v>
      </c>
      <c r="AQ272" s="5">
        <v>129</v>
      </c>
      <c r="AR272" s="5">
        <v>39</v>
      </c>
      <c r="AS272" s="5">
        <v>61.9</v>
      </c>
      <c r="AT272" s="5">
        <v>28</v>
      </c>
      <c r="AU272" s="5">
        <v>39</v>
      </c>
      <c r="AV272" s="5">
        <v>37.5</v>
      </c>
      <c r="AW272" s="5">
        <v>5.22</v>
      </c>
      <c r="AX272" s="5">
        <v>58</v>
      </c>
      <c r="AY272" s="5" t="s">
        <v>125</v>
      </c>
      <c r="AZ272" s="5">
        <v>9</v>
      </c>
      <c r="BA272" s="5">
        <v>3.09</v>
      </c>
      <c r="BB272" s="12" t="s">
        <v>76</v>
      </c>
      <c r="BC272" s="5">
        <v>5.02</v>
      </c>
      <c r="BD272" s="5">
        <v>129</v>
      </c>
      <c r="BE272" s="5">
        <v>1.44</v>
      </c>
      <c r="BF272" s="5">
        <v>1.2</v>
      </c>
      <c r="BG272" s="15">
        <v>37.4</v>
      </c>
      <c r="BH272" s="5">
        <v>102</v>
      </c>
      <c r="BI272" s="5">
        <v>102</v>
      </c>
      <c r="BJ272" s="5">
        <v>25</v>
      </c>
      <c r="BK272" s="5">
        <v>169</v>
      </c>
      <c r="BL272" s="5">
        <v>88</v>
      </c>
      <c r="BM272" s="5">
        <v>63</v>
      </c>
      <c r="BN272" s="5">
        <v>171</v>
      </c>
      <c r="BO272" s="5">
        <f t="shared" si="4"/>
        <v>21.5450907971684</v>
      </c>
      <c r="BP272" s="5" t="s">
        <v>168</v>
      </c>
      <c r="BQ272" s="5">
        <v>6.1</v>
      </c>
      <c r="BR272" s="5">
        <v>2153</v>
      </c>
    </row>
    <row r="273" s="1" customFormat="1" spans="1:70">
      <c r="A273" s="16">
        <v>3501356</v>
      </c>
      <c r="B273" s="1" t="s">
        <v>906</v>
      </c>
      <c r="D273" s="4">
        <v>45268</v>
      </c>
      <c r="E273" s="4">
        <v>45284</v>
      </c>
      <c r="F273" s="7">
        <v>15284</v>
      </c>
      <c r="G273" s="1">
        <v>56</v>
      </c>
      <c r="H273" s="1">
        <v>8</v>
      </c>
      <c r="I273" s="1">
        <v>42</v>
      </c>
      <c r="J273" s="1">
        <v>8</v>
      </c>
      <c r="K273" s="1">
        <v>60</v>
      </c>
      <c r="L273" s="1">
        <v>32</v>
      </c>
      <c r="O273" s="7">
        <v>15284</v>
      </c>
      <c r="P273" s="4">
        <v>45268</v>
      </c>
      <c r="Q273" s="4">
        <v>45284</v>
      </c>
      <c r="R273" s="1" t="s">
        <v>73</v>
      </c>
      <c r="AO273" s="7">
        <v>15284</v>
      </c>
      <c r="AP273" s="5">
        <v>9.4</v>
      </c>
      <c r="AQ273" s="5">
        <v>98</v>
      </c>
      <c r="AR273" s="5">
        <v>36</v>
      </c>
      <c r="AS273" s="5" t="s">
        <v>374</v>
      </c>
      <c r="AT273" s="5">
        <v>89</v>
      </c>
      <c r="AU273" s="5">
        <v>31</v>
      </c>
      <c r="AV273" s="5">
        <v>38.7</v>
      </c>
      <c r="AW273" s="5">
        <v>58.63</v>
      </c>
      <c r="AX273" s="5">
        <v>91</v>
      </c>
      <c r="AY273" s="5">
        <v>69.28</v>
      </c>
      <c r="AZ273" s="5">
        <v>9.4</v>
      </c>
      <c r="BA273" s="5">
        <v>3.02</v>
      </c>
      <c r="BB273" s="12" t="s">
        <v>76</v>
      </c>
      <c r="BC273" s="5">
        <v>6.69</v>
      </c>
      <c r="BD273" s="5">
        <v>98</v>
      </c>
      <c r="BE273" s="5">
        <v>1.41</v>
      </c>
      <c r="BF273" s="5">
        <v>0.61</v>
      </c>
      <c r="BG273" s="15">
        <v>36.5</v>
      </c>
      <c r="BH273" s="5">
        <v>100</v>
      </c>
      <c r="BI273" s="5">
        <v>110</v>
      </c>
      <c r="BJ273" s="5">
        <v>17</v>
      </c>
      <c r="BK273" s="5">
        <v>113</v>
      </c>
      <c r="BL273" s="5">
        <v>68</v>
      </c>
      <c r="BM273" s="5">
        <v>54</v>
      </c>
      <c r="BN273" s="5">
        <v>160</v>
      </c>
      <c r="BO273" s="5">
        <f t="shared" si="4"/>
        <v>21.09375</v>
      </c>
      <c r="BP273" s="5" t="s">
        <v>369</v>
      </c>
      <c r="BQ273" s="5">
        <v>6.2</v>
      </c>
      <c r="BR273" s="5" t="s">
        <v>118</v>
      </c>
    </row>
    <row r="274" s="1" customFormat="1" spans="1:70">
      <c r="A274" s="1">
        <v>3500763</v>
      </c>
      <c r="B274" s="1" t="s">
        <v>907</v>
      </c>
      <c r="D274" s="4">
        <v>45267</v>
      </c>
      <c r="E274" s="4">
        <v>45273</v>
      </c>
      <c r="F274" s="7">
        <v>15296</v>
      </c>
      <c r="G274" s="1">
        <v>35</v>
      </c>
      <c r="H274" s="1">
        <v>8</v>
      </c>
      <c r="I274" s="1">
        <v>43</v>
      </c>
      <c r="J274" s="1">
        <v>8</v>
      </c>
      <c r="K274" s="1">
        <v>60</v>
      </c>
      <c r="L274" s="1">
        <v>32</v>
      </c>
      <c r="M274" s="1">
        <v>0.6</v>
      </c>
      <c r="N274" s="1">
        <v>7.8</v>
      </c>
      <c r="O274" s="7">
        <v>15296</v>
      </c>
      <c r="P274" s="4">
        <v>45267</v>
      </c>
      <c r="Q274" s="4">
        <v>45273</v>
      </c>
      <c r="R274" s="1" t="s">
        <v>80</v>
      </c>
      <c r="AO274" s="7">
        <v>15296</v>
      </c>
      <c r="AP274" s="5">
        <v>8.9</v>
      </c>
      <c r="AQ274" s="5">
        <v>96</v>
      </c>
      <c r="AR274" s="5">
        <v>31.1</v>
      </c>
      <c r="AS274" s="5" t="s">
        <v>76</v>
      </c>
      <c r="AT274" s="5">
        <v>9</v>
      </c>
      <c r="AU274" s="5">
        <v>8</v>
      </c>
      <c r="AV274" s="5">
        <v>33.9</v>
      </c>
      <c r="AW274" s="5">
        <v>32.06</v>
      </c>
      <c r="AX274" s="5">
        <v>87</v>
      </c>
      <c r="AY274" s="5" t="s">
        <v>125</v>
      </c>
      <c r="AZ274" s="5" t="s">
        <v>908</v>
      </c>
      <c r="BA274" s="5" t="s">
        <v>76</v>
      </c>
      <c r="BB274" s="12" t="s">
        <v>76</v>
      </c>
      <c r="BC274" s="5">
        <v>5.31</v>
      </c>
      <c r="BD274" s="5">
        <v>96</v>
      </c>
      <c r="BE274" s="5" t="s">
        <v>76</v>
      </c>
      <c r="BF274" s="5" t="s">
        <v>76</v>
      </c>
      <c r="BG274" s="5" t="s">
        <v>76</v>
      </c>
      <c r="BH274" s="5" t="s">
        <v>76</v>
      </c>
      <c r="BI274" s="5" t="s">
        <v>76</v>
      </c>
      <c r="BJ274" s="5" t="s">
        <v>76</v>
      </c>
      <c r="BK274" s="5" t="s">
        <v>76</v>
      </c>
      <c r="BL274" s="5" t="s">
        <v>76</v>
      </c>
      <c r="BM274" s="5" t="s">
        <v>76</v>
      </c>
      <c r="BN274" s="5" t="s">
        <v>76</v>
      </c>
      <c r="BO274" s="5" t="e">
        <f t="shared" si="4"/>
        <v>#VALUE!</v>
      </c>
      <c r="BP274" s="5" t="s">
        <v>85</v>
      </c>
      <c r="BQ274" s="5" t="s">
        <v>76</v>
      </c>
      <c r="BR274" s="5">
        <v>5987</v>
      </c>
    </row>
    <row r="275" s="1" customFormat="1" spans="1:70">
      <c r="A275" s="1">
        <v>3257017</v>
      </c>
      <c r="B275" s="1" t="s">
        <v>909</v>
      </c>
      <c r="D275" s="4">
        <v>44923</v>
      </c>
      <c r="E275" s="4">
        <v>44935</v>
      </c>
      <c r="F275" s="7">
        <v>15316</v>
      </c>
      <c r="G275" s="1">
        <v>49</v>
      </c>
      <c r="H275" s="1">
        <v>10</v>
      </c>
      <c r="I275" s="1">
        <v>50</v>
      </c>
      <c r="J275" s="1">
        <v>10</v>
      </c>
      <c r="K275" s="1">
        <v>47</v>
      </c>
      <c r="L275" s="1">
        <v>24</v>
      </c>
      <c r="N275" s="1">
        <v>11.6</v>
      </c>
      <c r="O275" s="7">
        <v>15316</v>
      </c>
      <c r="P275" s="4">
        <v>44923</v>
      </c>
      <c r="Q275" s="4">
        <v>44935</v>
      </c>
      <c r="R275" s="1" t="s">
        <v>73</v>
      </c>
      <c r="AO275" s="7">
        <v>15316</v>
      </c>
      <c r="AP275" s="5">
        <v>7.3</v>
      </c>
      <c r="AQ275" s="5">
        <v>97</v>
      </c>
      <c r="AR275" s="5">
        <v>32.9</v>
      </c>
      <c r="AS275" s="5">
        <v>7.1</v>
      </c>
      <c r="AT275" s="5">
        <v>83</v>
      </c>
      <c r="AU275" s="5">
        <v>28</v>
      </c>
      <c r="AV275" s="5">
        <v>36.8</v>
      </c>
      <c r="AW275" s="5">
        <v>5.34</v>
      </c>
      <c r="AX275" s="5">
        <v>79</v>
      </c>
      <c r="AY275" s="5">
        <v>64.4</v>
      </c>
      <c r="AZ275" s="5" t="s">
        <v>75</v>
      </c>
      <c r="BA275" s="5">
        <v>2.93</v>
      </c>
      <c r="BB275" s="12" t="s">
        <v>76</v>
      </c>
      <c r="BC275" s="5">
        <v>4.46</v>
      </c>
      <c r="BD275" s="5">
        <v>97</v>
      </c>
      <c r="BE275" s="5">
        <v>0.55</v>
      </c>
      <c r="BF275" s="5">
        <v>1.96</v>
      </c>
      <c r="BG275" s="15">
        <v>36.5</v>
      </c>
      <c r="BH275" s="5">
        <v>72</v>
      </c>
      <c r="BI275" s="5">
        <v>85</v>
      </c>
      <c r="BJ275" s="5">
        <v>18</v>
      </c>
      <c r="BK275" s="5">
        <v>127</v>
      </c>
      <c r="BL275" s="5">
        <v>91</v>
      </c>
      <c r="BM275" s="5">
        <v>80</v>
      </c>
      <c r="BN275" s="5">
        <v>165</v>
      </c>
      <c r="BO275" s="5">
        <f t="shared" si="4"/>
        <v>29.3847566574839</v>
      </c>
      <c r="BP275" s="5" t="s">
        <v>121</v>
      </c>
      <c r="BQ275" s="5">
        <v>6.5</v>
      </c>
      <c r="BR275" s="5">
        <v>8252</v>
      </c>
    </row>
    <row r="276" s="1" customFormat="1" spans="1:70">
      <c r="A276" s="1">
        <v>3512107</v>
      </c>
      <c r="B276" s="1" t="s">
        <v>910</v>
      </c>
      <c r="D276" s="4">
        <v>45283</v>
      </c>
      <c r="E276" s="4">
        <v>45299</v>
      </c>
      <c r="F276" s="7">
        <v>15318</v>
      </c>
      <c r="G276" s="1">
        <v>48</v>
      </c>
      <c r="H276" s="1">
        <v>8</v>
      </c>
      <c r="I276" s="1">
        <v>54</v>
      </c>
      <c r="J276" s="1">
        <v>8</v>
      </c>
      <c r="K276" s="1">
        <v>37</v>
      </c>
      <c r="L276" s="1">
        <v>18</v>
      </c>
      <c r="M276" s="1">
        <v>1.85</v>
      </c>
      <c r="O276" s="7">
        <v>15318</v>
      </c>
      <c r="P276" s="4">
        <v>45283</v>
      </c>
      <c r="Q276" s="4">
        <v>45299</v>
      </c>
      <c r="R276" s="1" t="s">
        <v>73</v>
      </c>
      <c r="AO276" s="7">
        <v>15318</v>
      </c>
      <c r="AP276" s="5">
        <v>8.7</v>
      </c>
      <c r="AQ276" s="5">
        <v>99</v>
      </c>
      <c r="AR276" s="5">
        <v>61.1</v>
      </c>
      <c r="AS276" s="5">
        <v>82.9</v>
      </c>
      <c r="AT276" s="5">
        <v>96</v>
      </c>
      <c r="AU276" s="5">
        <v>48</v>
      </c>
      <c r="AV276" s="5">
        <v>36</v>
      </c>
      <c r="AW276" s="5">
        <v>9.4</v>
      </c>
      <c r="AX276" s="5">
        <v>73</v>
      </c>
      <c r="AY276" s="5" t="s">
        <v>125</v>
      </c>
      <c r="AZ276" s="5" t="s">
        <v>75</v>
      </c>
      <c r="BA276" s="5">
        <v>3.09</v>
      </c>
      <c r="BB276" s="12" t="s">
        <v>76</v>
      </c>
      <c r="BC276" s="5">
        <v>3.89</v>
      </c>
      <c r="BD276" s="5">
        <v>99</v>
      </c>
      <c r="BE276" s="5" t="s">
        <v>76</v>
      </c>
      <c r="BF276" s="5" t="s">
        <v>76</v>
      </c>
      <c r="BG276" s="15">
        <v>36.4</v>
      </c>
      <c r="BH276" s="5">
        <v>124</v>
      </c>
      <c r="BI276" s="5">
        <v>124</v>
      </c>
      <c r="BJ276" s="5">
        <v>30</v>
      </c>
      <c r="BK276" s="5">
        <v>138</v>
      </c>
      <c r="BL276" s="5">
        <v>91</v>
      </c>
      <c r="BM276" s="5">
        <v>70</v>
      </c>
      <c r="BN276" s="5">
        <v>155</v>
      </c>
      <c r="BO276" s="5">
        <f t="shared" si="4"/>
        <v>29.1363163371488</v>
      </c>
      <c r="BP276" s="5" t="s">
        <v>156</v>
      </c>
      <c r="BQ276" s="5">
        <v>5.5</v>
      </c>
      <c r="BR276" s="5" t="s">
        <v>911</v>
      </c>
    </row>
    <row r="277" s="1" customFormat="1" spans="1:70">
      <c r="A277" s="1">
        <v>3271632</v>
      </c>
      <c r="B277" s="1" t="s">
        <v>912</v>
      </c>
      <c r="D277" s="4">
        <v>44953</v>
      </c>
      <c r="E277" s="4">
        <v>44968</v>
      </c>
      <c r="F277" s="7">
        <v>15342</v>
      </c>
      <c r="G277" s="1">
        <v>40</v>
      </c>
      <c r="H277" s="1">
        <v>10</v>
      </c>
      <c r="I277" s="1">
        <v>46</v>
      </c>
      <c r="J277" s="1">
        <v>10</v>
      </c>
      <c r="K277" s="1">
        <v>52</v>
      </c>
      <c r="L277" s="1">
        <v>27</v>
      </c>
      <c r="M277" s="1">
        <v>0.75</v>
      </c>
      <c r="O277" s="7">
        <v>15342</v>
      </c>
      <c r="P277" s="4">
        <v>44953</v>
      </c>
      <c r="Q277" s="4">
        <v>44968</v>
      </c>
      <c r="R277" s="1" t="s">
        <v>73</v>
      </c>
      <c r="AO277" s="7">
        <v>15342</v>
      </c>
      <c r="AP277" s="5">
        <v>9.9</v>
      </c>
      <c r="AQ277" s="5">
        <v>133</v>
      </c>
      <c r="AR277" s="5">
        <v>42.5</v>
      </c>
      <c r="AS277" s="5">
        <v>91.8</v>
      </c>
      <c r="AT277" s="5">
        <v>28</v>
      </c>
      <c r="AU277" s="5">
        <v>33</v>
      </c>
      <c r="AV277" s="5">
        <v>35.7</v>
      </c>
      <c r="AW277" s="5">
        <v>8.21</v>
      </c>
      <c r="AX277" s="5">
        <v>99</v>
      </c>
      <c r="AY277" s="5">
        <v>91.99</v>
      </c>
      <c r="AZ277" s="5">
        <v>7.5</v>
      </c>
      <c r="BA277" s="5">
        <v>4.82</v>
      </c>
      <c r="BB277" s="12" t="s">
        <v>76</v>
      </c>
      <c r="BC277" s="5">
        <v>4.21</v>
      </c>
      <c r="BD277" s="5">
        <v>133</v>
      </c>
      <c r="BE277" s="5" t="s">
        <v>76</v>
      </c>
      <c r="BF277" s="5" t="s">
        <v>76</v>
      </c>
      <c r="BG277" s="15">
        <v>36.6</v>
      </c>
      <c r="BH277" s="5">
        <v>86</v>
      </c>
      <c r="BI277" s="5" t="s">
        <v>76</v>
      </c>
      <c r="BJ277" s="5">
        <v>17</v>
      </c>
      <c r="BK277" s="5">
        <v>159</v>
      </c>
      <c r="BL277" s="5">
        <v>95</v>
      </c>
      <c r="BM277" s="5">
        <v>70</v>
      </c>
      <c r="BN277" s="5">
        <v>155</v>
      </c>
      <c r="BO277" s="5">
        <f t="shared" si="4"/>
        <v>29.1363163371488</v>
      </c>
      <c r="BP277" s="5" t="s">
        <v>262</v>
      </c>
      <c r="BQ277" s="5" t="s">
        <v>76</v>
      </c>
      <c r="BR277" s="5">
        <v>7311.27</v>
      </c>
    </row>
    <row r="278" s="1" customFormat="1" spans="1:70">
      <c r="A278" s="1" t="s">
        <v>913</v>
      </c>
      <c r="B278" s="1" t="s">
        <v>914</v>
      </c>
      <c r="D278" s="4">
        <v>44990</v>
      </c>
      <c r="E278" s="4">
        <v>45002</v>
      </c>
      <c r="F278" s="7">
        <v>15344</v>
      </c>
      <c r="G278" s="1">
        <v>43</v>
      </c>
      <c r="H278" s="1">
        <v>9</v>
      </c>
      <c r="I278" s="1">
        <v>48</v>
      </c>
      <c r="J278" s="1">
        <v>9</v>
      </c>
      <c r="K278" s="1">
        <v>59</v>
      </c>
      <c r="L278" s="1">
        <v>31</v>
      </c>
      <c r="M278" s="1">
        <v>2.24</v>
      </c>
      <c r="N278" s="1">
        <v>14.7</v>
      </c>
      <c r="O278" s="7">
        <v>15344</v>
      </c>
      <c r="P278" s="4">
        <v>44990</v>
      </c>
      <c r="Q278" s="4">
        <v>45002</v>
      </c>
      <c r="R278" s="1" t="s">
        <v>73</v>
      </c>
      <c r="AO278" s="7">
        <v>15344</v>
      </c>
      <c r="AP278" s="5" t="s">
        <v>915</v>
      </c>
      <c r="AQ278" s="5" t="s">
        <v>89</v>
      </c>
      <c r="AR278" s="5" t="s">
        <v>782</v>
      </c>
      <c r="AS278" s="5" t="s">
        <v>916</v>
      </c>
      <c r="AT278" s="5" t="s">
        <v>287</v>
      </c>
      <c r="AU278" s="5" t="s">
        <v>606</v>
      </c>
      <c r="AV278" s="5" t="s">
        <v>917</v>
      </c>
      <c r="AW278" s="5" t="s">
        <v>918</v>
      </c>
      <c r="AX278" s="5" t="s">
        <v>140</v>
      </c>
      <c r="AY278" s="5" t="s">
        <v>919</v>
      </c>
      <c r="AZ278" s="5" t="s">
        <v>887</v>
      </c>
      <c r="BA278" s="5" t="s">
        <v>76</v>
      </c>
      <c r="BB278" s="12" t="s">
        <v>76</v>
      </c>
      <c r="BC278" s="5" t="s">
        <v>920</v>
      </c>
      <c r="BD278" s="5" t="s">
        <v>89</v>
      </c>
      <c r="BE278" s="5" t="s">
        <v>76</v>
      </c>
      <c r="BF278" s="5" t="s">
        <v>76</v>
      </c>
      <c r="BG278" s="15">
        <v>36.5</v>
      </c>
      <c r="BH278" s="5" t="s">
        <v>331</v>
      </c>
      <c r="BI278" s="5" t="s">
        <v>331</v>
      </c>
      <c r="BJ278" s="5" t="s">
        <v>246</v>
      </c>
      <c r="BK278" s="5" t="s">
        <v>134</v>
      </c>
      <c r="BL278" s="5" t="s">
        <v>205</v>
      </c>
      <c r="BM278" s="5" t="s">
        <v>195</v>
      </c>
      <c r="BN278" s="5">
        <v>155</v>
      </c>
      <c r="BO278" s="5">
        <f t="shared" si="4"/>
        <v>20.8116545265349</v>
      </c>
      <c r="BP278" s="5" t="s">
        <v>196</v>
      </c>
      <c r="BQ278" s="5" t="s">
        <v>76</v>
      </c>
      <c r="BR278" s="5">
        <v>4415</v>
      </c>
    </row>
    <row r="279" s="1" customFormat="1" spans="1:70">
      <c r="A279" s="1">
        <v>3282047</v>
      </c>
      <c r="B279" s="1" t="s">
        <v>921</v>
      </c>
      <c r="D279" s="4">
        <v>44965</v>
      </c>
      <c r="E279" s="4">
        <v>44971</v>
      </c>
      <c r="F279" s="7">
        <v>15349</v>
      </c>
      <c r="G279" s="1">
        <v>43</v>
      </c>
      <c r="H279" s="1">
        <v>9</v>
      </c>
      <c r="I279" s="1">
        <v>46</v>
      </c>
      <c r="J279" s="1">
        <v>9</v>
      </c>
      <c r="K279" s="1">
        <v>44</v>
      </c>
      <c r="L279" s="1">
        <v>22</v>
      </c>
      <c r="N279" s="1">
        <v>14.2</v>
      </c>
      <c r="O279" s="7">
        <v>15349</v>
      </c>
      <c r="P279" s="4">
        <v>44965</v>
      </c>
      <c r="Q279" s="4">
        <v>44971</v>
      </c>
      <c r="R279" s="1" t="s">
        <v>73</v>
      </c>
      <c r="AO279" s="7">
        <v>15349</v>
      </c>
      <c r="AP279" s="5">
        <v>5.4</v>
      </c>
      <c r="AQ279" s="5">
        <v>134</v>
      </c>
      <c r="AR279" s="5">
        <v>41.2</v>
      </c>
      <c r="AS279" s="5">
        <v>2.4</v>
      </c>
      <c r="AT279" s="5">
        <v>28</v>
      </c>
      <c r="AU279" s="5">
        <v>24</v>
      </c>
      <c r="AV279" s="5">
        <v>35</v>
      </c>
      <c r="AW279" s="5">
        <v>5.04</v>
      </c>
      <c r="AX279" s="5">
        <v>65</v>
      </c>
      <c r="AY279" s="5">
        <v>80.66</v>
      </c>
      <c r="AZ279" s="5">
        <v>5.84</v>
      </c>
      <c r="BA279" s="5">
        <v>4.14</v>
      </c>
      <c r="BB279" s="12" t="s">
        <v>76</v>
      </c>
      <c r="BC279" s="5">
        <v>3.6</v>
      </c>
      <c r="BD279" s="5">
        <v>134</v>
      </c>
      <c r="BE279" s="5">
        <v>1.14</v>
      </c>
      <c r="BF279" s="5">
        <v>2.54</v>
      </c>
      <c r="BG279" s="15">
        <v>36.6</v>
      </c>
      <c r="BH279" s="5">
        <v>82</v>
      </c>
      <c r="BI279" s="5">
        <v>126</v>
      </c>
      <c r="BJ279" s="5">
        <v>17</v>
      </c>
      <c r="BK279" s="5">
        <v>124</v>
      </c>
      <c r="BL279" s="5">
        <v>86</v>
      </c>
      <c r="BM279" s="5">
        <v>80</v>
      </c>
      <c r="BN279" s="5">
        <v>162</v>
      </c>
      <c r="BO279" s="5">
        <f t="shared" si="4"/>
        <v>30.4831580551745</v>
      </c>
      <c r="BP279" s="5" t="s">
        <v>121</v>
      </c>
      <c r="BQ279" s="5">
        <v>6.7</v>
      </c>
      <c r="BR279" s="5">
        <v>2782</v>
      </c>
    </row>
    <row r="280" s="1" customFormat="1" spans="1:70">
      <c r="A280" s="1">
        <v>3314549</v>
      </c>
      <c r="B280" s="1" t="s">
        <v>922</v>
      </c>
      <c r="D280" s="4">
        <v>45010</v>
      </c>
      <c r="E280" s="4">
        <v>45020</v>
      </c>
      <c r="F280" s="7">
        <v>15356</v>
      </c>
      <c r="G280" s="1">
        <v>35</v>
      </c>
      <c r="H280" s="1">
        <v>8</v>
      </c>
      <c r="I280" s="1">
        <v>49</v>
      </c>
      <c r="J280" s="1">
        <v>8</v>
      </c>
      <c r="K280" s="1">
        <v>61</v>
      </c>
      <c r="L280" s="1">
        <v>32</v>
      </c>
      <c r="M280" s="1">
        <v>0.56</v>
      </c>
      <c r="N280" s="1">
        <v>10.2</v>
      </c>
      <c r="O280" s="7">
        <v>15356</v>
      </c>
      <c r="P280" s="4">
        <v>45010</v>
      </c>
      <c r="Q280" s="4">
        <v>45020</v>
      </c>
      <c r="R280" s="1" t="s">
        <v>80</v>
      </c>
      <c r="AO280" s="7">
        <v>15356</v>
      </c>
      <c r="AP280" s="5">
        <v>9.6</v>
      </c>
      <c r="AQ280" s="5">
        <v>122</v>
      </c>
      <c r="AR280" s="5">
        <v>35.6</v>
      </c>
      <c r="AS280" s="5">
        <v>46.4</v>
      </c>
      <c r="AT280" s="5">
        <v>32</v>
      </c>
      <c r="AU280" s="5">
        <v>23</v>
      </c>
      <c r="AV280" s="5">
        <v>27.7</v>
      </c>
      <c r="AW280" s="5">
        <v>7.5</v>
      </c>
      <c r="AX280" s="5">
        <v>70</v>
      </c>
      <c r="AY280" s="5" t="s">
        <v>125</v>
      </c>
      <c r="AZ280" s="5" t="s">
        <v>75</v>
      </c>
      <c r="BA280" s="5">
        <v>2.59</v>
      </c>
      <c r="BB280" s="12" t="s">
        <v>76</v>
      </c>
      <c r="BC280" s="5">
        <v>4.07</v>
      </c>
      <c r="BD280" s="5">
        <v>122</v>
      </c>
      <c r="BE280" s="5" t="s">
        <v>76</v>
      </c>
      <c r="BF280" s="5" t="s">
        <v>76</v>
      </c>
      <c r="BG280" s="15">
        <v>36.3</v>
      </c>
      <c r="BH280" s="5">
        <v>77</v>
      </c>
      <c r="BI280" s="5">
        <v>77</v>
      </c>
      <c r="BJ280" s="5" t="s">
        <v>76</v>
      </c>
      <c r="BK280" s="5">
        <v>130</v>
      </c>
      <c r="BL280" s="5">
        <v>67</v>
      </c>
      <c r="BM280" s="5">
        <v>57</v>
      </c>
      <c r="BN280" s="5">
        <v>160</v>
      </c>
      <c r="BO280" s="5">
        <f t="shared" si="4"/>
        <v>22.265625</v>
      </c>
      <c r="BP280" s="5" t="s">
        <v>164</v>
      </c>
      <c r="BQ280" s="5">
        <v>7.5</v>
      </c>
      <c r="BR280" s="5">
        <v>8306</v>
      </c>
    </row>
    <row r="281" s="1" customFormat="1" spans="1:70">
      <c r="A281" s="1">
        <v>3256653</v>
      </c>
      <c r="B281" s="1" t="s">
        <v>923</v>
      </c>
      <c r="D281" s="4">
        <v>44922</v>
      </c>
      <c r="E281" s="4">
        <v>44964</v>
      </c>
      <c r="F281" s="7">
        <v>15365</v>
      </c>
      <c r="G281" s="1">
        <v>33</v>
      </c>
      <c r="H281" s="1">
        <v>10</v>
      </c>
      <c r="I281" s="1">
        <v>47</v>
      </c>
      <c r="J281" s="1">
        <v>10</v>
      </c>
      <c r="K281" s="1">
        <v>63</v>
      </c>
      <c r="L281" s="1">
        <v>34</v>
      </c>
      <c r="M281" s="1">
        <v>0.66</v>
      </c>
      <c r="N281" s="1">
        <v>14</v>
      </c>
      <c r="O281" s="7">
        <v>15365</v>
      </c>
      <c r="P281" s="4">
        <v>44922</v>
      </c>
      <c r="Q281" s="4">
        <v>44964</v>
      </c>
      <c r="R281" s="1" t="s">
        <v>80</v>
      </c>
      <c r="S281" s="1">
        <v>82</v>
      </c>
      <c r="T281" s="1" t="s">
        <v>924</v>
      </c>
      <c r="AC281" s="1">
        <v>1</v>
      </c>
      <c r="AG281" s="1">
        <v>1</v>
      </c>
      <c r="AH281" s="1">
        <v>1</v>
      </c>
      <c r="AI281" s="1">
        <v>1</v>
      </c>
      <c r="AL281" s="1">
        <v>1</v>
      </c>
      <c r="AM281" s="1">
        <v>1</v>
      </c>
      <c r="AO281" s="7">
        <v>15365</v>
      </c>
      <c r="AP281" s="5">
        <v>8.8</v>
      </c>
      <c r="AQ281" s="5">
        <v>95</v>
      </c>
      <c r="AR281" s="5">
        <v>38</v>
      </c>
      <c r="AS281" s="5">
        <v>72.9</v>
      </c>
      <c r="AT281" s="5">
        <v>77</v>
      </c>
      <c r="AU281" s="5">
        <v>36</v>
      </c>
      <c r="AV281" s="5">
        <v>34.2</v>
      </c>
      <c r="AW281" s="5">
        <v>9.5</v>
      </c>
      <c r="AX281" s="5">
        <v>56</v>
      </c>
      <c r="AY281" s="5" t="s">
        <v>125</v>
      </c>
      <c r="AZ281" s="5">
        <v>9.91</v>
      </c>
      <c r="BA281" s="5">
        <v>3</v>
      </c>
      <c r="BB281" s="12" t="s">
        <v>76</v>
      </c>
      <c r="BC281" s="5">
        <v>4.19</v>
      </c>
      <c r="BD281" s="5">
        <v>95</v>
      </c>
      <c r="BE281" s="5">
        <v>0.64</v>
      </c>
      <c r="BF281" s="5">
        <v>1.9</v>
      </c>
      <c r="BG281" s="15">
        <v>36.5</v>
      </c>
      <c r="BH281" s="5">
        <v>58</v>
      </c>
      <c r="BI281" s="5" t="s">
        <v>76</v>
      </c>
      <c r="BJ281" s="5">
        <v>20</v>
      </c>
      <c r="BK281" s="5">
        <v>137</v>
      </c>
      <c r="BL281" s="5">
        <v>90</v>
      </c>
      <c r="BM281" s="5" t="s">
        <v>77</v>
      </c>
      <c r="BN281" s="5" t="s">
        <v>77</v>
      </c>
      <c r="BO281" s="5" t="e">
        <f t="shared" si="4"/>
        <v>#VALUE!</v>
      </c>
      <c r="BP281" s="5" t="s">
        <v>357</v>
      </c>
      <c r="BQ281" s="5">
        <v>9.1</v>
      </c>
      <c r="BR281" s="5">
        <v>4195</v>
      </c>
    </row>
    <row r="282" s="1" customFormat="1" spans="1:70">
      <c r="A282" s="1">
        <v>3516178</v>
      </c>
      <c r="B282" s="1" t="s">
        <v>925</v>
      </c>
      <c r="D282" s="4">
        <v>45289</v>
      </c>
      <c r="E282" s="4">
        <v>45291</v>
      </c>
      <c r="F282" s="7">
        <v>15370</v>
      </c>
      <c r="G282" s="1">
        <v>41</v>
      </c>
      <c r="H282" s="1">
        <v>8</v>
      </c>
      <c r="I282" s="1">
        <v>41</v>
      </c>
      <c r="J282" s="1">
        <v>8</v>
      </c>
      <c r="K282" s="1">
        <v>60</v>
      </c>
      <c r="L282" s="1">
        <v>32</v>
      </c>
      <c r="O282" s="7">
        <v>15370</v>
      </c>
      <c r="P282" s="4">
        <v>45289</v>
      </c>
      <c r="Q282" s="4">
        <v>45291</v>
      </c>
      <c r="R282" s="1" t="s">
        <v>73</v>
      </c>
      <c r="AO282" s="7">
        <v>15370</v>
      </c>
      <c r="AP282" s="5">
        <v>8.1</v>
      </c>
      <c r="AQ282" s="5">
        <v>131</v>
      </c>
      <c r="AR282" s="5">
        <v>42.7</v>
      </c>
      <c r="AS282" s="5">
        <v>19.6</v>
      </c>
      <c r="AT282" s="5">
        <v>23</v>
      </c>
      <c r="AU282" s="5">
        <v>14</v>
      </c>
      <c r="AV282" s="5">
        <v>44.9</v>
      </c>
      <c r="AW282" s="5">
        <v>8.07</v>
      </c>
      <c r="AX282" s="5">
        <v>62</v>
      </c>
      <c r="AY282" s="5" t="s">
        <v>125</v>
      </c>
      <c r="AZ282" s="5">
        <v>9</v>
      </c>
      <c r="BA282" s="5" t="s">
        <v>76</v>
      </c>
      <c r="BB282" s="12" t="s">
        <v>76</v>
      </c>
      <c r="BC282" s="5">
        <v>3.95</v>
      </c>
      <c r="BD282" s="5">
        <v>131</v>
      </c>
      <c r="BE282" s="5" t="s">
        <v>76</v>
      </c>
      <c r="BF282" s="5" t="s">
        <v>76</v>
      </c>
      <c r="BG282" s="5" t="s">
        <v>76</v>
      </c>
      <c r="BH282" s="5" t="s">
        <v>76</v>
      </c>
      <c r="BI282" s="5" t="s">
        <v>76</v>
      </c>
      <c r="BJ282" s="5" t="s">
        <v>76</v>
      </c>
      <c r="BK282" s="5" t="s">
        <v>76</v>
      </c>
      <c r="BL282" s="5" t="s">
        <v>76</v>
      </c>
      <c r="BM282" s="5" t="s">
        <v>76</v>
      </c>
      <c r="BN282" s="5" t="s">
        <v>76</v>
      </c>
      <c r="BO282" s="5" t="e">
        <f t="shared" si="4"/>
        <v>#VALUE!</v>
      </c>
      <c r="BP282" s="5" t="s">
        <v>117</v>
      </c>
      <c r="BQ282" s="5" t="s">
        <v>76</v>
      </c>
      <c r="BR282" s="5">
        <v>3022.66</v>
      </c>
    </row>
    <row r="283" s="1" customFormat="1" spans="1:70">
      <c r="A283" s="1">
        <v>3261673</v>
      </c>
      <c r="B283" s="1" t="s">
        <v>926</v>
      </c>
      <c r="D283" s="4">
        <v>44930</v>
      </c>
      <c r="E283" s="4">
        <v>44932</v>
      </c>
      <c r="F283" s="7">
        <v>15391</v>
      </c>
      <c r="G283" s="1">
        <v>32</v>
      </c>
      <c r="H283" s="1">
        <v>9</v>
      </c>
      <c r="I283" s="1">
        <v>50</v>
      </c>
      <c r="J283" s="1">
        <v>9</v>
      </c>
      <c r="K283" s="1">
        <v>67</v>
      </c>
      <c r="L283" s="1">
        <v>37</v>
      </c>
      <c r="M283" s="1">
        <v>0.81</v>
      </c>
      <c r="N283" s="1">
        <v>10.2</v>
      </c>
      <c r="O283" s="7">
        <v>15391</v>
      </c>
      <c r="P283" s="4">
        <v>44930</v>
      </c>
      <c r="Q283" s="4">
        <v>44932</v>
      </c>
      <c r="R283" s="1" t="s">
        <v>80</v>
      </c>
      <c r="AO283" s="7">
        <v>15391</v>
      </c>
      <c r="AP283" s="5">
        <v>8.7</v>
      </c>
      <c r="AQ283" s="5">
        <v>119</v>
      </c>
      <c r="AR283" s="5">
        <v>38.1</v>
      </c>
      <c r="AS283" s="5">
        <v>12.3</v>
      </c>
      <c r="AT283" s="5">
        <v>72</v>
      </c>
      <c r="AU283" s="5">
        <v>16</v>
      </c>
      <c r="AV283" s="5">
        <v>30.9</v>
      </c>
      <c r="AW283" s="5">
        <v>15.78</v>
      </c>
      <c r="AX283" s="5">
        <v>229</v>
      </c>
      <c r="AY283" s="5">
        <v>48.97</v>
      </c>
      <c r="AZ283" s="5">
        <v>4.74</v>
      </c>
      <c r="BA283" s="5">
        <v>3.71</v>
      </c>
      <c r="BB283" s="12" t="s">
        <v>76</v>
      </c>
      <c r="BC283" s="5" t="s">
        <v>4</v>
      </c>
      <c r="BD283" s="5">
        <v>119</v>
      </c>
      <c r="BE283" s="5">
        <v>0.71</v>
      </c>
      <c r="BF283" s="5">
        <v>2.31</v>
      </c>
      <c r="BG283" s="15">
        <v>36.8</v>
      </c>
      <c r="BH283" s="5" t="s">
        <v>76</v>
      </c>
      <c r="BI283" s="5">
        <v>103</v>
      </c>
      <c r="BJ283" s="5">
        <v>17</v>
      </c>
      <c r="BK283" s="5">
        <v>76</v>
      </c>
      <c r="BL283" s="5">
        <v>46</v>
      </c>
      <c r="BM283" s="5" t="s">
        <v>77</v>
      </c>
      <c r="BN283" s="5" t="s">
        <v>77</v>
      </c>
      <c r="BO283" s="5" t="e">
        <f t="shared" si="4"/>
        <v>#VALUE!</v>
      </c>
      <c r="BP283" s="5" t="s">
        <v>144</v>
      </c>
      <c r="BQ283" s="5">
        <v>6</v>
      </c>
      <c r="BR283" s="5">
        <v>2559</v>
      </c>
    </row>
    <row r="284" s="1" customFormat="1" spans="1:70">
      <c r="A284" s="1">
        <v>3258262</v>
      </c>
      <c r="B284" s="1" t="s">
        <v>927</v>
      </c>
      <c r="D284" s="4">
        <v>44925</v>
      </c>
      <c r="E284" s="4">
        <v>44935</v>
      </c>
      <c r="F284" s="7">
        <v>15396</v>
      </c>
      <c r="G284" s="1">
        <v>43</v>
      </c>
      <c r="H284" s="1">
        <v>9</v>
      </c>
      <c r="I284" s="1">
        <v>48</v>
      </c>
      <c r="J284" s="1">
        <v>9</v>
      </c>
      <c r="K284" s="1">
        <v>61</v>
      </c>
      <c r="L284" s="1">
        <v>33</v>
      </c>
      <c r="M284" s="1">
        <v>0.63</v>
      </c>
      <c r="N284" s="1">
        <v>7.4</v>
      </c>
      <c r="O284" s="7">
        <v>15396</v>
      </c>
      <c r="P284" s="4">
        <v>44925</v>
      </c>
      <c r="Q284" s="4">
        <v>44935</v>
      </c>
      <c r="R284" s="1" t="s">
        <v>80</v>
      </c>
      <c r="AO284" s="7">
        <v>15396</v>
      </c>
      <c r="AP284" s="5">
        <v>8</v>
      </c>
      <c r="AQ284" s="5">
        <v>160</v>
      </c>
      <c r="AR284" s="5">
        <v>62</v>
      </c>
      <c r="AS284" s="5">
        <v>8.5</v>
      </c>
      <c r="AT284" s="5">
        <v>26</v>
      </c>
      <c r="AU284" s="5">
        <v>16</v>
      </c>
      <c r="AV284" s="5">
        <v>31.2</v>
      </c>
      <c r="AW284" s="5">
        <v>6.26</v>
      </c>
      <c r="AX284" s="5">
        <v>99</v>
      </c>
      <c r="AY284" s="5">
        <v>67.06</v>
      </c>
      <c r="AZ284" s="5">
        <v>6.45</v>
      </c>
      <c r="BA284" s="5" t="s">
        <v>76</v>
      </c>
      <c r="BB284" s="12" t="s">
        <v>76</v>
      </c>
      <c r="BC284" s="5">
        <v>3.7</v>
      </c>
      <c r="BD284" s="5">
        <v>160</v>
      </c>
      <c r="BE284" s="5" t="s">
        <v>76</v>
      </c>
      <c r="BF284" s="5" t="s">
        <v>76</v>
      </c>
      <c r="BG284" s="15">
        <v>36.6</v>
      </c>
      <c r="BH284" s="5">
        <v>78</v>
      </c>
      <c r="BI284" s="5" t="s">
        <v>76</v>
      </c>
      <c r="BJ284" s="5">
        <v>16</v>
      </c>
      <c r="BK284" s="5">
        <v>143</v>
      </c>
      <c r="BL284" s="5">
        <v>91</v>
      </c>
      <c r="BM284" s="5">
        <v>87</v>
      </c>
      <c r="BN284" s="5">
        <v>159</v>
      </c>
      <c r="BO284" s="5">
        <f t="shared" si="4"/>
        <v>34.4131956805506</v>
      </c>
      <c r="BP284" s="5" t="s">
        <v>152</v>
      </c>
      <c r="BQ284" s="5">
        <v>8.4</v>
      </c>
      <c r="BR284" s="5">
        <v>4641</v>
      </c>
    </row>
    <row r="285" s="1" customFormat="1" spans="1:70">
      <c r="A285" s="1">
        <v>3507034</v>
      </c>
      <c r="B285" s="1" t="s">
        <v>928</v>
      </c>
      <c r="D285" s="4">
        <v>45276</v>
      </c>
      <c r="E285" s="4">
        <v>45285</v>
      </c>
      <c r="F285" s="7">
        <v>15403</v>
      </c>
      <c r="G285" s="1">
        <v>55</v>
      </c>
      <c r="H285" s="1">
        <v>10</v>
      </c>
      <c r="I285" s="1">
        <v>71</v>
      </c>
      <c r="J285" s="1">
        <v>9</v>
      </c>
      <c r="K285" s="1">
        <v>37</v>
      </c>
      <c r="L285" s="1">
        <v>18</v>
      </c>
      <c r="N285" s="1">
        <v>12.2</v>
      </c>
      <c r="O285" s="7">
        <v>15403</v>
      </c>
      <c r="P285" s="4">
        <v>45276</v>
      </c>
      <c r="Q285" s="4">
        <v>45285</v>
      </c>
      <c r="R285" s="1" t="s">
        <v>80</v>
      </c>
      <c r="AO285" s="7">
        <v>15403</v>
      </c>
      <c r="AP285" s="5">
        <v>10.1</v>
      </c>
      <c r="AQ285" s="5">
        <v>128</v>
      </c>
      <c r="AR285" s="5">
        <v>41.1</v>
      </c>
      <c r="AS285" s="5" t="s">
        <v>76</v>
      </c>
      <c r="AT285" s="5">
        <v>36</v>
      </c>
      <c r="AU285" s="5">
        <v>62</v>
      </c>
      <c r="AV285" s="5">
        <v>38.4</v>
      </c>
      <c r="AW285" s="5">
        <v>9.67</v>
      </c>
      <c r="AX285" s="5">
        <v>100</v>
      </c>
      <c r="AY285" s="5">
        <v>66.12</v>
      </c>
      <c r="AZ285" s="5" t="s">
        <v>75</v>
      </c>
      <c r="BA285" s="5">
        <v>5.62</v>
      </c>
      <c r="BB285" s="12" t="s">
        <v>76</v>
      </c>
      <c r="BC285" s="5">
        <v>4.41</v>
      </c>
      <c r="BD285" s="5">
        <v>128</v>
      </c>
      <c r="BE285" s="5">
        <v>1.31</v>
      </c>
      <c r="BF285" s="5">
        <v>3.4</v>
      </c>
      <c r="BG285" s="15">
        <v>36.6</v>
      </c>
      <c r="BH285" s="5">
        <v>70</v>
      </c>
      <c r="BI285" s="5">
        <v>70</v>
      </c>
      <c r="BJ285" s="5">
        <v>18</v>
      </c>
      <c r="BK285" s="5">
        <v>113</v>
      </c>
      <c r="BL285" s="5">
        <v>67</v>
      </c>
      <c r="BM285" s="5">
        <v>65</v>
      </c>
      <c r="BN285" s="5">
        <v>165</v>
      </c>
      <c r="BO285" s="5">
        <f t="shared" si="4"/>
        <v>23.8751147842057</v>
      </c>
      <c r="BP285" s="5" t="s">
        <v>121</v>
      </c>
      <c r="BQ285" s="5" t="s">
        <v>76</v>
      </c>
      <c r="BR285" s="5">
        <v>5084</v>
      </c>
    </row>
    <row r="286" s="1" customFormat="1" spans="1:70">
      <c r="A286" s="1">
        <v>3513007</v>
      </c>
      <c r="B286" s="1" t="s">
        <v>929</v>
      </c>
      <c r="D286" s="4">
        <v>45285</v>
      </c>
      <c r="E286" s="4">
        <v>45289</v>
      </c>
      <c r="F286" s="7">
        <v>15403</v>
      </c>
      <c r="G286" s="1">
        <v>37</v>
      </c>
      <c r="H286" s="1">
        <v>10</v>
      </c>
      <c r="I286" s="1">
        <v>48</v>
      </c>
      <c r="J286" s="1">
        <v>10</v>
      </c>
      <c r="K286" s="1">
        <v>54</v>
      </c>
      <c r="L286" s="1">
        <v>28</v>
      </c>
      <c r="M286" s="1">
        <v>0.41</v>
      </c>
      <c r="N286" s="1">
        <v>11.4</v>
      </c>
      <c r="O286" s="7">
        <v>15403</v>
      </c>
      <c r="P286" s="4">
        <v>45285</v>
      </c>
      <c r="Q286" s="4">
        <v>45289</v>
      </c>
      <c r="R286" s="1" t="s">
        <v>73</v>
      </c>
      <c r="AO286" s="7">
        <v>15403</v>
      </c>
      <c r="AP286" s="5">
        <v>7.6</v>
      </c>
      <c r="AQ286" s="5">
        <v>124</v>
      </c>
      <c r="AR286" s="5">
        <v>39.3</v>
      </c>
      <c r="AS286" s="5">
        <v>5.8</v>
      </c>
      <c r="AT286" s="5">
        <v>22</v>
      </c>
      <c r="AU286" s="5">
        <v>13</v>
      </c>
      <c r="AV286" s="5">
        <v>36.1</v>
      </c>
      <c r="AW286" s="5">
        <v>4.5</v>
      </c>
      <c r="AX286" s="5">
        <v>48</v>
      </c>
      <c r="AY286" s="5">
        <v>114.45</v>
      </c>
      <c r="AZ286" s="5" t="s">
        <v>75</v>
      </c>
      <c r="BA286" s="5">
        <v>3.4</v>
      </c>
      <c r="BB286" s="12" t="s">
        <v>76</v>
      </c>
      <c r="BC286" s="5">
        <v>3.61</v>
      </c>
      <c r="BD286" s="5">
        <v>124</v>
      </c>
      <c r="BE286" s="5">
        <v>0.78</v>
      </c>
      <c r="BF286" s="5">
        <v>2.19</v>
      </c>
      <c r="BG286" s="5" t="s">
        <v>76</v>
      </c>
      <c r="BH286" s="5" t="s">
        <v>76</v>
      </c>
      <c r="BI286" s="5" t="s">
        <v>76</v>
      </c>
      <c r="BJ286" s="5" t="s">
        <v>76</v>
      </c>
      <c r="BK286" s="5" t="s">
        <v>76</v>
      </c>
      <c r="BL286" s="5" t="s">
        <v>76</v>
      </c>
      <c r="BM286" s="5" t="s">
        <v>76</v>
      </c>
      <c r="BN286" s="5" t="s">
        <v>76</v>
      </c>
      <c r="BO286" s="5" t="e">
        <f t="shared" si="4"/>
        <v>#VALUE!</v>
      </c>
      <c r="BP286" s="5" t="s">
        <v>121</v>
      </c>
      <c r="BQ286" s="5">
        <v>6.2</v>
      </c>
      <c r="BR286" s="5">
        <v>2268</v>
      </c>
    </row>
    <row r="287" s="1" customFormat="1" spans="1:70">
      <c r="A287" s="1">
        <v>3253507</v>
      </c>
      <c r="B287" s="1" t="s">
        <v>930</v>
      </c>
      <c r="D287" s="4">
        <v>44908</v>
      </c>
      <c r="E287" s="4">
        <v>44913</v>
      </c>
      <c r="F287" s="7">
        <v>15412</v>
      </c>
      <c r="G287" s="1">
        <v>31</v>
      </c>
      <c r="H287" s="1">
        <v>9</v>
      </c>
      <c r="I287" s="1">
        <v>56</v>
      </c>
      <c r="J287" s="1">
        <v>9</v>
      </c>
      <c r="K287" s="1">
        <v>48</v>
      </c>
      <c r="L287" s="1">
        <v>24</v>
      </c>
      <c r="M287" s="1">
        <v>0.71</v>
      </c>
      <c r="O287" s="7">
        <v>15412</v>
      </c>
      <c r="P287" s="4">
        <v>44908</v>
      </c>
      <c r="Q287" s="4">
        <v>44913</v>
      </c>
      <c r="R287" s="1" t="s">
        <v>80</v>
      </c>
      <c r="AO287" s="7">
        <v>15412</v>
      </c>
      <c r="AP287" s="5">
        <v>7.2</v>
      </c>
      <c r="AQ287" s="5">
        <v>98</v>
      </c>
      <c r="AR287" s="5">
        <v>36.5</v>
      </c>
      <c r="AS287" s="5">
        <v>8.5</v>
      </c>
      <c r="AT287" s="5">
        <v>20</v>
      </c>
      <c r="AU287" s="5">
        <v>9</v>
      </c>
      <c r="AV287" s="5">
        <v>34.9</v>
      </c>
      <c r="AW287" s="5">
        <v>9.75</v>
      </c>
      <c r="AX287" s="5">
        <v>174</v>
      </c>
      <c r="AY287" s="5">
        <v>44.96</v>
      </c>
      <c r="AZ287" s="5">
        <v>9.9</v>
      </c>
      <c r="BA287" s="5" t="s">
        <v>76</v>
      </c>
      <c r="BB287" s="12" t="s">
        <v>76</v>
      </c>
      <c r="BC287" s="5">
        <v>4.27</v>
      </c>
      <c r="BD287" s="5">
        <v>98</v>
      </c>
      <c r="BE287" s="5" t="s">
        <v>76</v>
      </c>
      <c r="BF287" s="5" t="s">
        <v>76</v>
      </c>
      <c r="BG287" s="15">
        <v>36.5</v>
      </c>
      <c r="BH287" s="5" t="s">
        <v>76</v>
      </c>
      <c r="BI287" s="5">
        <v>84</v>
      </c>
      <c r="BJ287" s="5">
        <v>25</v>
      </c>
      <c r="BK287" s="5">
        <v>164</v>
      </c>
      <c r="BL287" s="5">
        <v>74</v>
      </c>
      <c r="BM287" s="5" t="s">
        <v>77</v>
      </c>
      <c r="BN287" s="5" t="s">
        <v>77</v>
      </c>
      <c r="BO287" s="5" t="e">
        <f t="shared" si="4"/>
        <v>#VALUE!</v>
      </c>
      <c r="BP287" s="5" t="s">
        <v>117</v>
      </c>
      <c r="BQ287" s="5" t="s">
        <v>76</v>
      </c>
      <c r="BR287" s="5">
        <v>5527</v>
      </c>
    </row>
    <row r="288" s="1" customFormat="1" spans="1:70">
      <c r="A288" s="1" t="s">
        <v>931</v>
      </c>
      <c r="B288" s="1" t="s">
        <v>932</v>
      </c>
      <c r="D288" s="4">
        <v>45022</v>
      </c>
      <c r="E288" s="4">
        <v>45029</v>
      </c>
      <c r="F288" s="7">
        <v>15412</v>
      </c>
      <c r="G288" s="1">
        <v>49</v>
      </c>
      <c r="H288" s="1">
        <v>9</v>
      </c>
      <c r="I288" s="1">
        <v>53</v>
      </c>
      <c r="J288" s="1">
        <v>9</v>
      </c>
      <c r="K288" s="1">
        <v>65</v>
      </c>
      <c r="L288" s="1">
        <v>35</v>
      </c>
      <c r="N288" s="1">
        <v>11.8</v>
      </c>
      <c r="O288" s="7">
        <v>15412</v>
      </c>
      <c r="P288" s="4">
        <v>45022</v>
      </c>
      <c r="Q288" s="4">
        <v>45029</v>
      </c>
      <c r="R288" s="1" t="s">
        <v>80</v>
      </c>
      <c r="AO288" s="7">
        <v>15412</v>
      </c>
      <c r="AP288" s="5" t="s">
        <v>933</v>
      </c>
      <c r="AQ288" s="5" t="s">
        <v>201</v>
      </c>
      <c r="AR288" s="5" t="s">
        <v>934</v>
      </c>
      <c r="AS288" s="5" t="s">
        <v>81</v>
      </c>
      <c r="AT288" s="5" t="s">
        <v>512</v>
      </c>
      <c r="AU288" s="5" t="s">
        <v>422</v>
      </c>
      <c r="AV288" s="5" t="s">
        <v>730</v>
      </c>
      <c r="AW288" s="5" t="s">
        <v>935</v>
      </c>
      <c r="AX288" s="5" t="s">
        <v>936</v>
      </c>
      <c r="AY288" s="5" t="s">
        <v>937</v>
      </c>
      <c r="AZ288" s="5" t="s">
        <v>75</v>
      </c>
      <c r="BA288" s="5" t="s">
        <v>76</v>
      </c>
      <c r="BB288" s="12" t="s">
        <v>76</v>
      </c>
      <c r="BC288" s="5" t="s">
        <v>4</v>
      </c>
      <c r="BD288" s="5" t="s">
        <v>201</v>
      </c>
      <c r="BE288" s="5" t="s">
        <v>76</v>
      </c>
      <c r="BF288" s="5" t="s">
        <v>76</v>
      </c>
      <c r="BG288" s="15">
        <v>36.3</v>
      </c>
      <c r="BH288" s="5" t="s">
        <v>137</v>
      </c>
      <c r="BI288" s="5" t="s">
        <v>613</v>
      </c>
      <c r="BJ288" s="5" t="s">
        <v>445</v>
      </c>
      <c r="BK288" s="5" t="s">
        <v>938</v>
      </c>
      <c r="BL288" s="5" t="s">
        <v>350</v>
      </c>
      <c r="BM288" s="5" t="s">
        <v>77</v>
      </c>
      <c r="BN288" s="5" t="s">
        <v>77</v>
      </c>
      <c r="BO288" s="5" t="e">
        <f t="shared" si="4"/>
        <v>#VALUE!</v>
      </c>
      <c r="BP288" s="5" t="s">
        <v>542</v>
      </c>
      <c r="BQ288" s="5" t="s">
        <v>76</v>
      </c>
      <c r="BR288" s="5">
        <v>3824</v>
      </c>
    </row>
    <row r="289" s="1" customFormat="1" spans="1:70">
      <c r="A289" s="1" t="s">
        <v>939</v>
      </c>
      <c r="B289" s="1" t="s">
        <v>940</v>
      </c>
      <c r="D289" s="4">
        <v>44933</v>
      </c>
      <c r="E289" s="4">
        <v>44946</v>
      </c>
      <c r="F289" s="7">
        <v>15413</v>
      </c>
      <c r="G289" s="1">
        <v>47</v>
      </c>
      <c r="H289" s="1">
        <v>9</v>
      </c>
      <c r="I289" s="1">
        <v>48</v>
      </c>
      <c r="J289" s="1">
        <v>9</v>
      </c>
      <c r="K289" s="1">
        <v>57</v>
      </c>
      <c r="L289" s="1">
        <v>31</v>
      </c>
      <c r="N289" s="1">
        <v>11.3</v>
      </c>
      <c r="O289" s="7">
        <v>15413</v>
      </c>
      <c r="P289" s="4">
        <v>44933</v>
      </c>
      <c r="Q289" s="4">
        <v>44946</v>
      </c>
      <c r="R289" s="1" t="s">
        <v>73</v>
      </c>
      <c r="AO289" s="7">
        <v>15413</v>
      </c>
      <c r="AP289" s="5" t="s">
        <v>941</v>
      </c>
      <c r="AQ289" s="5" t="s">
        <v>942</v>
      </c>
      <c r="AR289" s="5" t="s">
        <v>943</v>
      </c>
      <c r="AS289" s="5" t="s">
        <v>944</v>
      </c>
      <c r="AT289" s="5" t="s">
        <v>246</v>
      </c>
      <c r="AU289" s="5" t="s">
        <v>606</v>
      </c>
      <c r="AV289" s="5" t="s">
        <v>945</v>
      </c>
      <c r="AW289" s="5" t="s">
        <v>946</v>
      </c>
      <c r="AX289" s="5" t="s">
        <v>204</v>
      </c>
      <c r="AY289" s="5" t="s">
        <v>947</v>
      </c>
      <c r="AZ289" s="5" t="s">
        <v>231</v>
      </c>
      <c r="BA289" s="5" t="s">
        <v>948</v>
      </c>
      <c r="BB289" s="12" t="s">
        <v>76</v>
      </c>
      <c r="BC289" s="5" t="s">
        <v>949</v>
      </c>
      <c r="BD289" s="5" t="s">
        <v>942</v>
      </c>
      <c r="BE289" s="5" t="s">
        <v>950</v>
      </c>
      <c r="BF289" s="5" t="s">
        <v>951</v>
      </c>
      <c r="BG289" s="15">
        <v>36.3</v>
      </c>
      <c r="BH289" s="5" t="s">
        <v>129</v>
      </c>
      <c r="BI289" s="5" t="s">
        <v>129</v>
      </c>
      <c r="BJ289" s="5" t="s">
        <v>293</v>
      </c>
      <c r="BK289" s="5" t="s">
        <v>952</v>
      </c>
      <c r="BL289" s="5" t="s">
        <v>327</v>
      </c>
      <c r="BM289" s="5" t="s">
        <v>468</v>
      </c>
      <c r="BN289" s="5">
        <v>156</v>
      </c>
      <c r="BO289" s="5">
        <f t="shared" si="4"/>
        <v>26.7094017094017</v>
      </c>
      <c r="BP289" s="5" t="s">
        <v>953</v>
      </c>
      <c r="BQ289" s="5" t="s">
        <v>76</v>
      </c>
      <c r="BR289" s="5">
        <v>2767</v>
      </c>
    </row>
    <row r="290" s="1" customFormat="1" spans="1:70">
      <c r="A290" s="1">
        <v>3301075</v>
      </c>
      <c r="B290" s="1" t="s">
        <v>954</v>
      </c>
      <c r="D290" s="4">
        <v>44995</v>
      </c>
      <c r="E290" s="4">
        <v>45003</v>
      </c>
      <c r="F290" s="7">
        <v>15436</v>
      </c>
      <c r="G290" s="1">
        <v>43</v>
      </c>
      <c r="H290" s="1">
        <v>9</v>
      </c>
      <c r="I290" s="1">
        <v>56</v>
      </c>
      <c r="J290" s="1">
        <v>9</v>
      </c>
      <c r="K290" s="1">
        <v>38</v>
      </c>
      <c r="L290" s="1">
        <v>19</v>
      </c>
      <c r="M290" s="1">
        <v>1.74</v>
      </c>
      <c r="N290" s="1">
        <v>16</v>
      </c>
      <c r="O290" s="7">
        <v>15436</v>
      </c>
      <c r="P290" s="4">
        <v>44995</v>
      </c>
      <c r="Q290" s="4">
        <v>45003</v>
      </c>
      <c r="R290" s="1" t="s">
        <v>80</v>
      </c>
      <c r="AO290" s="7">
        <v>15436</v>
      </c>
      <c r="AP290" s="5">
        <v>6.8</v>
      </c>
      <c r="AQ290" s="5">
        <v>102</v>
      </c>
      <c r="AR290" s="5">
        <v>32.2</v>
      </c>
      <c r="AS290" s="5">
        <v>15</v>
      </c>
      <c r="AT290" s="5">
        <v>15</v>
      </c>
      <c r="AU290" s="5">
        <v>7</v>
      </c>
      <c r="AV290" s="5">
        <v>41.1</v>
      </c>
      <c r="AW290" s="5">
        <v>18.1</v>
      </c>
      <c r="AX290" s="5">
        <v>168</v>
      </c>
      <c r="AY290" s="5" t="s">
        <v>76</v>
      </c>
      <c r="AZ290" s="5">
        <v>8.4</v>
      </c>
      <c r="BA290" s="5">
        <v>4.06</v>
      </c>
      <c r="BB290" s="12" t="s">
        <v>76</v>
      </c>
      <c r="BC290" s="5">
        <v>4.37</v>
      </c>
      <c r="BD290" s="5">
        <v>102</v>
      </c>
      <c r="BE290" s="5" t="s">
        <v>76</v>
      </c>
      <c r="BF290" s="5" t="s">
        <v>76</v>
      </c>
      <c r="BG290" s="15">
        <v>36.6</v>
      </c>
      <c r="BH290" s="5">
        <v>74</v>
      </c>
      <c r="BI290" s="5">
        <v>86</v>
      </c>
      <c r="BJ290" s="5">
        <v>20</v>
      </c>
      <c r="BK290" s="5">
        <v>119</v>
      </c>
      <c r="BL290" s="5">
        <v>53</v>
      </c>
      <c r="BM290" s="5">
        <v>70</v>
      </c>
      <c r="BN290" s="5">
        <v>178</v>
      </c>
      <c r="BO290" s="5">
        <f t="shared" si="4"/>
        <v>22.0931700542861</v>
      </c>
      <c r="BP290" s="5" t="s">
        <v>156</v>
      </c>
      <c r="BQ290" s="5" t="s">
        <v>76</v>
      </c>
      <c r="BR290" s="5">
        <v>14714</v>
      </c>
    </row>
    <row r="291" s="1" customFormat="1" spans="1:70">
      <c r="A291" s="1">
        <v>3278276</v>
      </c>
      <c r="B291" s="1" t="s">
        <v>955</v>
      </c>
      <c r="D291" s="4">
        <v>44960</v>
      </c>
      <c r="E291" s="4">
        <v>44967</v>
      </c>
      <c r="F291" s="7">
        <v>15438</v>
      </c>
      <c r="G291" s="1">
        <v>31</v>
      </c>
      <c r="H291" s="1">
        <v>10</v>
      </c>
      <c r="I291" s="1">
        <v>45</v>
      </c>
      <c r="J291" s="1">
        <v>10</v>
      </c>
      <c r="K291" s="1">
        <v>58</v>
      </c>
      <c r="L291" s="1">
        <v>30</v>
      </c>
      <c r="M291" s="1">
        <v>0.82</v>
      </c>
      <c r="N291" s="1">
        <v>11.5</v>
      </c>
      <c r="O291" s="7">
        <v>15438</v>
      </c>
      <c r="P291" s="4">
        <v>44960</v>
      </c>
      <c r="Q291" s="4">
        <v>44967</v>
      </c>
      <c r="R291" s="1" t="s">
        <v>80</v>
      </c>
      <c r="AO291" s="7">
        <v>15438</v>
      </c>
      <c r="AP291" s="5">
        <v>68</v>
      </c>
      <c r="AQ291" s="5">
        <v>99</v>
      </c>
      <c r="AR291" s="5">
        <v>43</v>
      </c>
      <c r="AS291" s="5">
        <v>275.6</v>
      </c>
      <c r="AT291" s="5">
        <v>79</v>
      </c>
      <c r="AU291" s="5">
        <v>31</v>
      </c>
      <c r="AV291" s="5">
        <v>30.2</v>
      </c>
      <c r="AW291" s="5">
        <v>6.73</v>
      </c>
      <c r="AX291" s="5">
        <v>98</v>
      </c>
      <c r="AY291" s="5">
        <v>81.06</v>
      </c>
      <c r="AZ291" s="5" t="s">
        <v>75</v>
      </c>
      <c r="BA291" s="5" t="s">
        <v>76</v>
      </c>
      <c r="BB291" s="12" t="s">
        <v>76</v>
      </c>
      <c r="BC291" s="5">
        <v>4.44</v>
      </c>
      <c r="BD291" s="5">
        <v>99</v>
      </c>
      <c r="BE291" s="5" t="s">
        <v>76</v>
      </c>
      <c r="BF291" s="5" t="s">
        <v>76</v>
      </c>
      <c r="BG291" s="15">
        <v>37.4</v>
      </c>
      <c r="BH291" s="5" t="s">
        <v>76</v>
      </c>
      <c r="BI291" s="5">
        <v>129</v>
      </c>
      <c r="BJ291" s="5">
        <v>27</v>
      </c>
      <c r="BK291" s="5">
        <v>153</v>
      </c>
      <c r="BL291" s="5">
        <v>80</v>
      </c>
      <c r="BM291" s="5" t="s">
        <v>77</v>
      </c>
      <c r="BN291" s="5" t="s">
        <v>77</v>
      </c>
      <c r="BO291" s="5" t="e">
        <f t="shared" si="4"/>
        <v>#VALUE!</v>
      </c>
      <c r="BP291" s="5" t="s">
        <v>369</v>
      </c>
      <c r="BQ291" s="5">
        <v>5.1</v>
      </c>
      <c r="BR291" s="5">
        <v>6205</v>
      </c>
    </row>
    <row r="292" s="1" customFormat="1" spans="1:70">
      <c r="A292" s="1">
        <v>3511164</v>
      </c>
      <c r="B292" s="1" t="s">
        <v>956</v>
      </c>
      <c r="D292" s="4">
        <v>45281</v>
      </c>
      <c r="E292" s="4">
        <v>45299</v>
      </c>
      <c r="F292" s="7">
        <v>15441</v>
      </c>
      <c r="G292" s="1">
        <v>40</v>
      </c>
      <c r="H292" s="1">
        <v>8</v>
      </c>
      <c r="I292" s="1">
        <v>50</v>
      </c>
      <c r="J292" s="1">
        <v>8</v>
      </c>
      <c r="K292" s="1">
        <v>56</v>
      </c>
      <c r="L292" s="1">
        <v>30</v>
      </c>
      <c r="N292" s="1">
        <v>11.7</v>
      </c>
      <c r="O292" s="7">
        <v>15441</v>
      </c>
      <c r="P292" s="4">
        <v>45281</v>
      </c>
      <c r="Q292" s="4">
        <v>45299</v>
      </c>
      <c r="R292" s="1" t="s">
        <v>73</v>
      </c>
      <c r="AO292" s="7">
        <v>15441</v>
      </c>
      <c r="AP292" s="5">
        <v>7.8</v>
      </c>
      <c r="AQ292" s="5">
        <v>141</v>
      </c>
      <c r="AR292" s="5">
        <v>43.8</v>
      </c>
      <c r="AS292" s="5">
        <v>59.6</v>
      </c>
      <c r="AT292" s="5">
        <v>40</v>
      </c>
      <c r="AU292" s="5">
        <v>51</v>
      </c>
      <c r="AV292" s="5">
        <v>37.8</v>
      </c>
      <c r="AW292" s="5" t="s">
        <v>76</v>
      </c>
      <c r="AX292" s="5" t="s">
        <v>76</v>
      </c>
      <c r="AY292" s="5" t="s">
        <v>76</v>
      </c>
      <c r="AZ292" s="5" t="s">
        <v>76</v>
      </c>
      <c r="BA292" s="5">
        <v>3.43</v>
      </c>
      <c r="BB292" s="12" t="s">
        <v>76</v>
      </c>
      <c r="BC292" s="5">
        <v>5.15</v>
      </c>
      <c r="BD292" s="5">
        <v>141</v>
      </c>
      <c r="BE292" s="5">
        <v>0.7</v>
      </c>
      <c r="BF292" s="5">
        <v>1.79</v>
      </c>
      <c r="BG292" s="15">
        <v>36.3</v>
      </c>
      <c r="BH292" s="5">
        <v>97</v>
      </c>
      <c r="BI292" s="5">
        <v>118</v>
      </c>
      <c r="BJ292" s="5">
        <v>19</v>
      </c>
      <c r="BK292" s="5">
        <v>156</v>
      </c>
      <c r="BL292" s="5">
        <v>94</v>
      </c>
      <c r="BM292" s="5">
        <v>57</v>
      </c>
      <c r="BN292" s="5">
        <v>158</v>
      </c>
      <c r="BO292" s="5">
        <f t="shared" si="4"/>
        <v>22.8328793462586</v>
      </c>
      <c r="BP292" s="5" t="s">
        <v>164</v>
      </c>
      <c r="BQ292" s="5">
        <v>6.2</v>
      </c>
      <c r="BR292" s="5">
        <v>6403</v>
      </c>
    </row>
    <row r="293" s="1" customFormat="1" spans="1:70">
      <c r="A293" s="1">
        <v>3514156</v>
      </c>
      <c r="B293" s="1" t="s">
        <v>957</v>
      </c>
      <c r="D293" s="4">
        <v>45286</v>
      </c>
      <c r="E293" s="4">
        <v>45294</v>
      </c>
      <c r="F293" s="7">
        <v>15446</v>
      </c>
      <c r="G293" s="1">
        <v>45</v>
      </c>
      <c r="H293" s="1">
        <v>9</v>
      </c>
      <c r="I293" s="1">
        <v>55</v>
      </c>
      <c r="J293" s="1">
        <v>9</v>
      </c>
      <c r="K293" s="1">
        <v>25</v>
      </c>
      <c r="L293" s="1">
        <v>12</v>
      </c>
      <c r="N293" s="1">
        <v>10.1</v>
      </c>
      <c r="O293" s="7">
        <v>15446</v>
      </c>
      <c r="P293" s="4">
        <v>45286</v>
      </c>
      <c r="Q293" s="4">
        <v>45294</v>
      </c>
      <c r="R293" s="1" t="s">
        <v>80</v>
      </c>
      <c r="AO293" s="7">
        <v>15446</v>
      </c>
      <c r="AP293" s="5">
        <v>7.1</v>
      </c>
      <c r="AQ293" s="5">
        <v>148</v>
      </c>
      <c r="AR293" s="5">
        <v>44.7</v>
      </c>
      <c r="AS293" s="5">
        <v>9.8</v>
      </c>
      <c r="AT293" s="5">
        <v>9</v>
      </c>
      <c r="AU293" s="5" t="s">
        <v>171</v>
      </c>
      <c r="AV293" s="5">
        <v>35.1</v>
      </c>
      <c r="AW293" s="5">
        <v>7.07</v>
      </c>
      <c r="AX293" s="5">
        <v>79</v>
      </c>
      <c r="AY293" s="5">
        <v>88.08</v>
      </c>
      <c r="AZ293" s="5" t="s">
        <v>75</v>
      </c>
      <c r="BA293" s="5">
        <v>3.69</v>
      </c>
      <c r="BB293" s="12" t="s">
        <v>76</v>
      </c>
      <c r="BC293" s="5">
        <v>5.21</v>
      </c>
      <c r="BD293" s="5">
        <v>148</v>
      </c>
      <c r="BE293" s="5">
        <v>0.89</v>
      </c>
      <c r="BF293" s="5">
        <v>2.37</v>
      </c>
      <c r="BG293" s="15">
        <v>36.5</v>
      </c>
      <c r="BH293" s="5">
        <v>96</v>
      </c>
      <c r="BI293" s="5">
        <v>96</v>
      </c>
      <c r="BJ293" s="5">
        <v>20</v>
      </c>
      <c r="BK293" s="5">
        <v>128</v>
      </c>
      <c r="BL293" s="5">
        <v>102</v>
      </c>
      <c r="BM293" s="5">
        <v>70</v>
      </c>
      <c r="BN293" s="5">
        <v>176</v>
      </c>
      <c r="BO293" s="5">
        <f t="shared" si="4"/>
        <v>22.5981404958678</v>
      </c>
      <c r="BP293" s="5" t="s">
        <v>271</v>
      </c>
      <c r="BQ293" s="5" t="s">
        <v>76</v>
      </c>
      <c r="BR293" s="5">
        <v>18736</v>
      </c>
    </row>
    <row r="294" s="1" customFormat="1" spans="1:70">
      <c r="A294" s="1">
        <v>3496415</v>
      </c>
      <c r="B294" s="1" t="s">
        <v>958</v>
      </c>
      <c r="D294" s="4">
        <v>45261</v>
      </c>
      <c r="E294" s="4">
        <v>45269</v>
      </c>
      <c r="F294" s="7">
        <v>15454</v>
      </c>
      <c r="G294" s="1">
        <v>38</v>
      </c>
      <c r="H294" s="1">
        <v>8</v>
      </c>
      <c r="I294" s="1">
        <v>40</v>
      </c>
      <c r="J294" s="1">
        <v>8</v>
      </c>
      <c r="K294" s="1">
        <v>60</v>
      </c>
      <c r="L294" s="1">
        <v>32</v>
      </c>
      <c r="O294" s="7">
        <v>15454</v>
      </c>
      <c r="P294" s="4">
        <v>45261</v>
      </c>
      <c r="Q294" s="4">
        <v>45269</v>
      </c>
      <c r="R294" s="1" t="s">
        <v>73</v>
      </c>
      <c r="AO294" s="7">
        <v>15454</v>
      </c>
      <c r="AP294" s="5">
        <v>9.5</v>
      </c>
      <c r="AQ294" s="5">
        <v>120</v>
      </c>
      <c r="AR294" s="5">
        <v>39.4</v>
      </c>
      <c r="AS294" s="5">
        <v>97</v>
      </c>
      <c r="AT294" s="5">
        <v>24</v>
      </c>
      <c r="AU294" s="5">
        <v>9</v>
      </c>
      <c r="AV294" s="5">
        <v>35.9</v>
      </c>
      <c r="AW294" s="5">
        <v>7.53</v>
      </c>
      <c r="AX294" s="5">
        <v>66</v>
      </c>
      <c r="AY294" s="5">
        <v>95.8</v>
      </c>
      <c r="AZ294" s="5">
        <v>9.9</v>
      </c>
      <c r="BA294" s="5">
        <v>3.35</v>
      </c>
      <c r="BB294" s="12" t="s">
        <v>76</v>
      </c>
      <c r="BC294" s="5">
        <v>3.79</v>
      </c>
      <c r="BD294" s="5">
        <v>120</v>
      </c>
      <c r="BE294" s="5">
        <v>1.08</v>
      </c>
      <c r="BF294" s="5">
        <v>1.55</v>
      </c>
      <c r="BG294" s="5" t="s">
        <v>76</v>
      </c>
      <c r="BH294" s="5" t="s">
        <v>76</v>
      </c>
      <c r="BI294" s="5" t="s">
        <v>76</v>
      </c>
      <c r="BJ294" s="5" t="s">
        <v>76</v>
      </c>
      <c r="BK294" s="5" t="s">
        <v>76</v>
      </c>
      <c r="BL294" s="5" t="s">
        <v>76</v>
      </c>
      <c r="BM294" s="5" t="s">
        <v>76</v>
      </c>
      <c r="BN294" s="5" t="s">
        <v>76</v>
      </c>
      <c r="BO294" s="5" t="e">
        <f t="shared" si="4"/>
        <v>#VALUE!</v>
      </c>
      <c r="BP294" s="5" t="s">
        <v>161</v>
      </c>
      <c r="BQ294" s="5">
        <v>5.8</v>
      </c>
      <c r="BR294" s="5">
        <v>2769</v>
      </c>
    </row>
    <row r="295" s="1" customFormat="1" spans="1:70">
      <c r="A295" s="1">
        <v>3282818</v>
      </c>
      <c r="B295" s="1" t="s">
        <v>959</v>
      </c>
      <c r="D295" s="4">
        <v>44966</v>
      </c>
      <c r="E295" s="4">
        <v>44975</v>
      </c>
      <c r="F295" s="7">
        <v>15459</v>
      </c>
      <c r="G295" s="1">
        <v>33</v>
      </c>
      <c r="H295" s="1">
        <v>8</v>
      </c>
      <c r="I295" s="1">
        <v>51</v>
      </c>
      <c r="J295" s="1">
        <v>8</v>
      </c>
      <c r="K295" s="1">
        <v>51</v>
      </c>
      <c r="M295" s="1">
        <v>0.64</v>
      </c>
      <c r="N295" s="1">
        <v>11.1</v>
      </c>
      <c r="O295" s="7">
        <v>15459</v>
      </c>
      <c r="P295" s="4">
        <v>44966</v>
      </c>
      <c r="Q295" s="4">
        <v>44975</v>
      </c>
      <c r="R295" s="1" t="s">
        <v>73</v>
      </c>
      <c r="AO295" s="7">
        <v>15459</v>
      </c>
      <c r="AP295" s="5">
        <v>7.9</v>
      </c>
      <c r="AQ295" s="5">
        <v>86</v>
      </c>
      <c r="AR295" s="5">
        <v>25.9</v>
      </c>
      <c r="AS295" s="5">
        <v>53.9</v>
      </c>
      <c r="AT295" s="5">
        <v>9</v>
      </c>
      <c r="AU295" s="5">
        <v>6</v>
      </c>
      <c r="AV295" s="5">
        <v>37.5</v>
      </c>
      <c r="AW295" s="5">
        <v>9.6</v>
      </c>
      <c r="AX295" s="5">
        <v>149</v>
      </c>
      <c r="AY295" s="5">
        <v>33.92</v>
      </c>
      <c r="AZ295" s="5">
        <v>9.98</v>
      </c>
      <c r="BA295" s="5">
        <v>4.69</v>
      </c>
      <c r="BB295" s="12" t="s">
        <v>76</v>
      </c>
      <c r="BC295" s="5">
        <v>4.52</v>
      </c>
      <c r="BD295" s="5">
        <v>86</v>
      </c>
      <c r="BE295" s="5">
        <v>1.12</v>
      </c>
      <c r="BF295" s="5">
        <v>2.68</v>
      </c>
      <c r="BG295" s="15">
        <v>37.3</v>
      </c>
      <c r="BH295" s="5">
        <v>100</v>
      </c>
      <c r="BI295" s="5">
        <v>100</v>
      </c>
      <c r="BJ295" s="5">
        <v>18</v>
      </c>
      <c r="BK295" s="5">
        <v>127</v>
      </c>
      <c r="BL295" s="5">
        <v>79</v>
      </c>
      <c r="BM295" s="5">
        <v>50</v>
      </c>
      <c r="BN295" s="5">
        <v>155</v>
      </c>
      <c r="BO295" s="5">
        <f t="shared" si="4"/>
        <v>20.8116545265349</v>
      </c>
      <c r="BP295" s="5" t="s">
        <v>156</v>
      </c>
      <c r="BQ295" s="5">
        <v>6.5</v>
      </c>
      <c r="BR295" s="5">
        <v>8878</v>
      </c>
    </row>
    <row r="296" s="1" customFormat="1" spans="1:70">
      <c r="A296" s="1">
        <v>3317734</v>
      </c>
      <c r="B296" s="1" t="s">
        <v>960</v>
      </c>
      <c r="D296" s="4">
        <v>45014</v>
      </c>
      <c r="E296" s="4">
        <v>45027</v>
      </c>
      <c r="F296" s="7">
        <v>15462</v>
      </c>
      <c r="G296" s="1">
        <v>48</v>
      </c>
      <c r="H296" s="1">
        <v>12</v>
      </c>
      <c r="I296" s="1">
        <v>61</v>
      </c>
      <c r="J296" s="1">
        <v>11</v>
      </c>
      <c r="K296" s="1">
        <v>44</v>
      </c>
      <c r="L296" s="1">
        <v>22</v>
      </c>
      <c r="M296" s="1">
        <v>0.78</v>
      </c>
      <c r="N296" s="1">
        <v>18.7</v>
      </c>
      <c r="O296" s="7">
        <v>15462</v>
      </c>
      <c r="P296" s="4">
        <v>45014</v>
      </c>
      <c r="Q296" s="4">
        <v>45027</v>
      </c>
      <c r="R296" s="1" t="s">
        <v>80</v>
      </c>
      <c r="AO296" s="7">
        <v>15462</v>
      </c>
      <c r="AP296" s="5">
        <v>5.7</v>
      </c>
      <c r="AQ296" s="5">
        <v>135</v>
      </c>
      <c r="AR296" s="5">
        <v>41.1</v>
      </c>
      <c r="AS296" s="5">
        <v>65.2</v>
      </c>
      <c r="AT296" s="5">
        <v>31</v>
      </c>
      <c r="AU296" s="5">
        <v>19</v>
      </c>
      <c r="AV296" s="5">
        <v>40.3</v>
      </c>
      <c r="AW296" s="5">
        <v>4.82</v>
      </c>
      <c r="AX296" s="5">
        <v>70</v>
      </c>
      <c r="AY296" s="5">
        <v>100.05</v>
      </c>
      <c r="AZ296" s="5" t="s">
        <v>75</v>
      </c>
      <c r="BA296" s="5" t="s">
        <v>76</v>
      </c>
      <c r="BB296" s="12" t="s">
        <v>76</v>
      </c>
      <c r="BC296" s="5">
        <v>4.84</v>
      </c>
      <c r="BD296" s="5">
        <v>135</v>
      </c>
      <c r="BE296" s="5" t="s">
        <v>76</v>
      </c>
      <c r="BF296" s="5" t="s">
        <v>76</v>
      </c>
      <c r="BG296" s="15">
        <v>36.2</v>
      </c>
      <c r="BH296" s="5">
        <v>88</v>
      </c>
      <c r="BI296" s="5">
        <v>88</v>
      </c>
      <c r="BJ296" s="5">
        <v>20</v>
      </c>
      <c r="BK296" s="5" t="s">
        <v>76</v>
      </c>
      <c r="BL296" s="5" t="s">
        <v>76</v>
      </c>
      <c r="BM296" s="5">
        <v>68</v>
      </c>
      <c r="BN296" s="5">
        <v>163</v>
      </c>
      <c r="BO296" s="5">
        <f t="shared" si="4"/>
        <v>25.5937370619895</v>
      </c>
      <c r="BP296" s="5" t="s">
        <v>639</v>
      </c>
      <c r="BQ296" s="5" t="s">
        <v>76</v>
      </c>
      <c r="BR296" s="5">
        <v>5360</v>
      </c>
    </row>
    <row r="297" s="1" customFormat="1" spans="1:70">
      <c r="A297" s="1">
        <v>3254992</v>
      </c>
      <c r="B297" s="1" t="s">
        <v>961</v>
      </c>
      <c r="C297" s="1">
        <v>1</v>
      </c>
      <c r="D297" s="4">
        <v>44917</v>
      </c>
      <c r="E297" s="4">
        <v>44930</v>
      </c>
      <c r="F297" s="7">
        <v>15466</v>
      </c>
      <c r="G297" s="1">
        <v>39</v>
      </c>
      <c r="H297" s="1">
        <v>10</v>
      </c>
      <c r="I297" s="1">
        <v>60</v>
      </c>
      <c r="J297" s="1">
        <v>10</v>
      </c>
      <c r="K297" s="1">
        <v>33</v>
      </c>
      <c r="L297" s="1">
        <v>16</v>
      </c>
      <c r="M297" s="1">
        <v>0.81</v>
      </c>
      <c r="N297" s="1">
        <v>16.5</v>
      </c>
      <c r="O297" s="7">
        <v>15466</v>
      </c>
      <c r="P297" s="4">
        <v>44917</v>
      </c>
      <c r="Q297" s="4">
        <v>44930</v>
      </c>
      <c r="R297" s="1" t="s">
        <v>80</v>
      </c>
      <c r="AO297" s="7">
        <v>15466</v>
      </c>
      <c r="AP297" s="5">
        <v>8.6</v>
      </c>
      <c r="AQ297" s="5">
        <v>139</v>
      </c>
      <c r="AR297" s="5">
        <v>40.9</v>
      </c>
      <c r="AS297" s="5">
        <v>75.7</v>
      </c>
      <c r="AT297" s="5">
        <v>92</v>
      </c>
      <c r="AU297" s="5">
        <v>94</v>
      </c>
      <c r="AV297" s="5">
        <v>37.3</v>
      </c>
      <c r="AW297" s="5">
        <v>9.78</v>
      </c>
      <c r="AX297" s="5">
        <v>76</v>
      </c>
      <c r="AY297" s="5">
        <v>98.42</v>
      </c>
      <c r="AZ297" s="5" t="s">
        <v>75</v>
      </c>
      <c r="BA297" s="5">
        <v>3.49</v>
      </c>
      <c r="BB297" s="12" t="s">
        <v>76</v>
      </c>
      <c r="BC297" s="5">
        <v>4.51</v>
      </c>
      <c r="BD297" s="5">
        <v>139</v>
      </c>
      <c r="BE297" s="5" t="s">
        <v>76</v>
      </c>
      <c r="BF297" s="5" t="s">
        <v>76</v>
      </c>
      <c r="BG297" s="15">
        <v>36.6</v>
      </c>
      <c r="BH297" s="5">
        <v>64</v>
      </c>
      <c r="BI297" s="5" t="s">
        <v>76</v>
      </c>
      <c r="BJ297" s="5">
        <v>12</v>
      </c>
      <c r="BK297" s="5">
        <v>142</v>
      </c>
      <c r="BL297" s="5">
        <v>88</v>
      </c>
      <c r="BM297" s="5">
        <v>70</v>
      </c>
      <c r="BN297" s="5">
        <v>170</v>
      </c>
      <c r="BO297" s="5">
        <f t="shared" si="4"/>
        <v>24.2214532871972</v>
      </c>
      <c r="BP297" s="5" t="s">
        <v>323</v>
      </c>
      <c r="BQ297" s="5" t="s">
        <v>76</v>
      </c>
      <c r="BR297" s="5">
        <v>8448</v>
      </c>
    </row>
    <row r="298" s="1" customFormat="1" spans="1:70">
      <c r="A298" s="1">
        <v>3308316</v>
      </c>
      <c r="B298" s="1" t="s">
        <v>962</v>
      </c>
      <c r="D298" s="4">
        <v>45001</v>
      </c>
      <c r="E298" s="4">
        <v>45016</v>
      </c>
      <c r="F298" s="7">
        <v>15482</v>
      </c>
      <c r="G298" s="1">
        <v>36</v>
      </c>
      <c r="H298" s="1">
        <v>8</v>
      </c>
      <c r="I298" s="1">
        <v>52</v>
      </c>
      <c r="J298" s="1">
        <v>8</v>
      </c>
      <c r="K298" s="1">
        <v>51</v>
      </c>
      <c r="L298" s="1">
        <v>26</v>
      </c>
      <c r="M298" s="1">
        <v>0.69</v>
      </c>
      <c r="N298" s="1">
        <v>10.2</v>
      </c>
      <c r="O298" s="7">
        <v>15482</v>
      </c>
      <c r="P298" s="4">
        <v>45001</v>
      </c>
      <c r="Q298" s="4">
        <v>45016</v>
      </c>
      <c r="R298" s="1" t="s">
        <v>73</v>
      </c>
      <c r="AO298" s="7">
        <v>15482</v>
      </c>
      <c r="AP298" s="5">
        <v>5</v>
      </c>
      <c r="AQ298" s="5">
        <v>96</v>
      </c>
      <c r="AR298" s="5">
        <v>32.6</v>
      </c>
      <c r="AS298" s="5">
        <v>33.1</v>
      </c>
      <c r="AT298" s="5">
        <v>94</v>
      </c>
      <c r="AU298" s="5">
        <v>19</v>
      </c>
      <c r="AV298" s="5">
        <v>36.5</v>
      </c>
      <c r="AW298" s="5">
        <v>6.69</v>
      </c>
      <c r="AX298" s="5">
        <v>70</v>
      </c>
      <c r="AY298" s="5">
        <v>90.43</v>
      </c>
      <c r="AZ298" s="5" t="s">
        <v>75</v>
      </c>
      <c r="BA298" s="5">
        <v>3.97</v>
      </c>
      <c r="BB298" s="12" t="s">
        <v>76</v>
      </c>
      <c r="BC298" s="5">
        <v>4.53</v>
      </c>
      <c r="BD298" s="5">
        <v>96</v>
      </c>
      <c r="BE298" s="5">
        <v>0.76</v>
      </c>
      <c r="BF298" s="5">
        <v>2.31</v>
      </c>
      <c r="BG298" s="15">
        <v>36.4</v>
      </c>
      <c r="BH298" s="5">
        <v>76</v>
      </c>
      <c r="BI298" s="5">
        <v>76</v>
      </c>
      <c r="BJ298" s="5">
        <v>16</v>
      </c>
      <c r="BK298" s="5">
        <v>106</v>
      </c>
      <c r="BL298" s="5">
        <v>64</v>
      </c>
      <c r="BM298" s="5">
        <v>50</v>
      </c>
      <c r="BN298" s="5">
        <v>165</v>
      </c>
      <c r="BO298" s="5">
        <f t="shared" si="4"/>
        <v>18.3654729109275</v>
      </c>
      <c r="BP298" s="5" t="s">
        <v>963</v>
      </c>
      <c r="BQ298" s="5" t="s">
        <v>76</v>
      </c>
      <c r="BR298" s="5">
        <v>9463</v>
      </c>
    </row>
    <row r="299" s="1" customFormat="1" spans="1:70">
      <c r="A299" s="1">
        <v>3319331</v>
      </c>
      <c r="B299" s="1" t="s">
        <v>964</v>
      </c>
      <c r="D299" s="4">
        <v>45017</v>
      </c>
      <c r="E299" s="4">
        <v>45023</v>
      </c>
      <c r="F299" s="7">
        <v>15497</v>
      </c>
      <c r="G299" s="1">
        <v>46</v>
      </c>
      <c r="H299" s="1">
        <v>10</v>
      </c>
      <c r="I299" s="1">
        <v>51</v>
      </c>
      <c r="J299" s="1">
        <v>10</v>
      </c>
      <c r="K299" s="1">
        <v>55</v>
      </c>
      <c r="L299" s="1">
        <v>28</v>
      </c>
      <c r="N299" s="1">
        <v>13.6</v>
      </c>
      <c r="O299" s="7">
        <v>15497</v>
      </c>
      <c r="P299" s="4">
        <v>45017</v>
      </c>
      <c r="Q299" s="4">
        <v>45023</v>
      </c>
      <c r="R299" s="1" t="s">
        <v>80</v>
      </c>
      <c r="AO299" s="7">
        <v>15497</v>
      </c>
      <c r="AP299" s="5">
        <v>6.1</v>
      </c>
      <c r="AQ299" s="5">
        <v>132</v>
      </c>
      <c r="AR299" s="5">
        <v>41.9</v>
      </c>
      <c r="AS299" s="5">
        <v>3.7</v>
      </c>
      <c r="AT299" s="5">
        <v>27</v>
      </c>
      <c r="AU299" s="5">
        <v>9</v>
      </c>
      <c r="AV299" s="5">
        <v>41.3</v>
      </c>
      <c r="AW299" s="5">
        <v>5.9</v>
      </c>
      <c r="AX299" s="5">
        <v>65</v>
      </c>
      <c r="AY299" s="5">
        <v>108.98</v>
      </c>
      <c r="AZ299" s="5">
        <v>4.8</v>
      </c>
      <c r="BA299" s="5">
        <v>4.89</v>
      </c>
      <c r="BB299" s="12" t="s">
        <v>76</v>
      </c>
      <c r="BC299" s="5">
        <v>4.29</v>
      </c>
      <c r="BD299" s="5">
        <v>132</v>
      </c>
      <c r="BE299" s="5">
        <v>1.66</v>
      </c>
      <c r="BF299" s="5">
        <v>2.8</v>
      </c>
      <c r="BG299" s="15">
        <v>36.2</v>
      </c>
      <c r="BH299" s="5">
        <v>95</v>
      </c>
      <c r="BI299" s="5">
        <v>95</v>
      </c>
      <c r="BJ299" s="5">
        <v>19</v>
      </c>
      <c r="BK299" s="5">
        <v>121</v>
      </c>
      <c r="BL299" s="5">
        <v>86</v>
      </c>
      <c r="BM299" s="5">
        <v>80</v>
      </c>
      <c r="BN299" s="5">
        <v>174</v>
      </c>
      <c r="BO299" s="5">
        <f t="shared" si="4"/>
        <v>26.4235698242833</v>
      </c>
      <c r="BP299" s="5" t="s">
        <v>161</v>
      </c>
      <c r="BQ299" s="5">
        <v>5.6</v>
      </c>
      <c r="BR299" s="5">
        <v>2914</v>
      </c>
    </row>
    <row r="300" s="1" customFormat="1" spans="1:70">
      <c r="A300" s="1" t="s">
        <v>965</v>
      </c>
      <c r="B300" s="1" t="s">
        <v>966</v>
      </c>
      <c r="D300" s="4">
        <v>44901</v>
      </c>
      <c r="E300" s="4">
        <v>44907</v>
      </c>
      <c r="F300" s="7">
        <v>15510</v>
      </c>
      <c r="G300" s="1">
        <v>39</v>
      </c>
      <c r="H300" s="1">
        <v>10</v>
      </c>
      <c r="I300" s="1">
        <v>49</v>
      </c>
      <c r="J300" s="1">
        <v>10</v>
      </c>
      <c r="K300" s="1">
        <v>65</v>
      </c>
      <c r="L300" s="1">
        <v>36</v>
      </c>
      <c r="M300" s="1">
        <v>1.04</v>
      </c>
      <c r="N300" s="1">
        <v>13.3</v>
      </c>
      <c r="O300" s="7">
        <v>15510</v>
      </c>
      <c r="P300" s="4">
        <v>44901</v>
      </c>
      <c r="Q300" s="4">
        <v>44907</v>
      </c>
      <c r="R300" s="1" t="s">
        <v>80</v>
      </c>
      <c r="AO300" s="7">
        <v>15510</v>
      </c>
      <c r="AP300" s="5" t="s">
        <v>967</v>
      </c>
      <c r="AQ300" s="5" t="s">
        <v>352</v>
      </c>
      <c r="AR300" s="5" t="s">
        <v>968</v>
      </c>
      <c r="AS300" s="5" t="s">
        <v>76</v>
      </c>
      <c r="AT300" s="5" t="s">
        <v>246</v>
      </c>
      <c r="AU300" s="5" t="s">
        <v>225</v>
      </c>
      <c r="AV300" s="5" t="s">
        <v>549</v>
      </c>
      <c r="AW300" s="5" t="s">
        <v>969</v>
      </c>
      <c r="AX300" s="5" t="s">
        <v>137</v>
      </c>
      <c r="AY300" s="5" t="s">
        <v>970</v>
      </c>
      <c r="AZ300" s="5" t="s">
        <v>75</v>
      </c>
      <c r="BA300" s="5" t="s">
        <v>76</v>
      </c>
      <c r="BB300" s="12" t="s">
        <v>76</v>
      </c>
      <c r="BC300" s="5" t="s">
        <v>971</v>
      </c>
      <c r="BD300" s="5" t="s">
        <v>352</v>
      </c>
      <c r="BE300" s="5" t="s">
        <v>76</v>
      </c>
      <c r="BF300" s="5" t="s">
        <v>76</v>
      </c>
      <c r="BG300" s="15">
        <v>36.8</v>
      </c>
      <c r="BH300" s="5" t="s">
        <v>140</v>
      </c>
      <c r="BI300" s="5" t="s">
        <v>76</v>
      </c>
      <c r="BJ300" s="5" t="s">
        <v>769</v>
      </c>
      <c r="BK300" s="5" t="s">
        <v>972</v>
      </c>
      <c r="BL300" s="5" t="s">
        <v>140</v>
      </c>
      <c r="BM300" s="5" t="s">
        <v>82</v>
      </c>
      <c r="BN300" s="5">
        <v>170</v>
      </c>
      <c r="BO300" s="5" t="e">
        <f t="shared" si="4"/>
        <v>#VALUE!</v>
      </c>
      <c r="BP300" s="5" t="s">
        <v>412</v>
      </c>
      <c r="BQ300" s="5" t="s">
        <v>76</v>
      </c>
      <c r="BR300" s="5">
        <v>2649</v>
      </c>
    </row>
    <row r="301" s="1" customFormat="1" spans="1:70">
      <c r="A301" s="1">
        <v>3297781</v>
      </c>
      <c r="B301" s="1" t="s">
        <v>973</v>
      </c>
      <c r="C301" s="1" t="s">
        <v>273</v>
      </c>
      <c r="D301" s="4">
        <v>44987</v>
      </c>
      <c r="E301" s="4">
        <v>45012</v>
      </c>
      <c r="F301" s="7">
        <v>15521</v>
      </c>
      <c r="G301" s="1">
        <v>44</v>
      </c>
      <c r="H301" s="1">
        <v>9</v>
      </c>
      <c r="I301" s="1">
        <v>46</v>
      </c>
      <c r="J301" s="1">
        <v>9</v>
      </c>
      <c r="K301" s="1">
        <v>58</v>
      </c>
      <c r="L301" s="1">
        <v>30</v>
      </c>
      <c r="M301" s="1">
        <v>0.62</v>
      </c>
      <c r="N301" s="1">
        <v>13.1</v>
      </c>
      <c r="O301" s="7">
        <v>15521</v>
      </c>
      <c r="P301" s="4">
        <v>44987</v>
      </c>
      <c r="Q301" s="4">
        <v>45012</v>
      </c>
      <c r="R301" s="1" t="s">
        <v>73</v>
      </c>
      <c r="AO301" s="7">
        <v>15521</v>
      </c>
      <c r="AP301" s="5">
        <v>9.8</v>
      </c>
      <c r="AQ301" s="5">
        <v>98</v>
      </c>
      <c r="AR301" s="5">
        <v>43</v>
      </c>
      <c r="AS301" s="5" t="s">
        <v>881</v>
      </c>
      <c r="AT301" s="5">
        <v>88</v>
      </c>
      <c r="AU301" s="5" t="s">
        <v>171</v>
      </c>
      <c r="AV301" s="5">
        <v>33.7</v>
      </c>
      <c r="AW301" s="5">
        <v>7.94</v>
      </c>
      <c r="AX301" s="5">
        <v>93</v>
      </c>
      <c r="AY301" s="5" t="s">
        <v>125</v>
      </c>
      <c r="AZ301" s="5" t="s">
        <v>75</v>
      </c>
      <c r="BA301" s="5">
        <v>2.36</v>
      </c>
      <c r="BB301" s="12" t="s">
        <v>76</v>
      </c>
      <c r="BC301" s="5">
        <v>5.12</v>
      </c>
      <c r="BD301" s="5">
        <v>98</v>
      </c>
      <c r="BE301" s="5">
        <v>0.35</v>
      </c>
      <c r="BF301" s="5">
        <v>1.02</v>
      </c>
      <c r="BG301" s="15">
        <v>36.2</v>
      </c>
      <c r="BH301" s="5">
        <v>86</v>
      </c>
      <c r="BI301" s="5">
        <v>86</v>
      </c>
      <c r="BJ301" s="5">
        <v>18</v>
      </c>
      <c r="BK301" s="5">
        <v>138</v>
      </c>
      <c r="BL301" s="5">
        <v>76</v>
      </c>
      <c r="BM301" s="5">
        <v>60</v>
      </c>
      <c r="BN301" s="5">
        <v>163</v>
      </c>
      <c r="BO301" s="5">
        <f t="shared" si="4"/>
        <v>22.5827091723437</v>
      </c>
      <c r="BP301" s="5" t="s">
        <v>85</v>
      </c>
      <c r="BQ301" s="5" t="s">
        <v>76</v>
      </c>
      <c r="BR301" s="5">
        <v>9235</v>
      </c>
    </row>
    <row r="302" s="1" customFormat="1" spans="1:70">
      <c r="A302" s="1">
        <v>3491177</v>
      </c>
      <c r="B302" s="1" t="s">
        <v>974</v>
      </c>
      <c r="D302" s="4">
        <v>45254</v>
      </c>
      <c r="E302" s="4">
        <v>45264</v>
      </c>
      <c r="F302" s="7">
        <v>15524</v>
      </c>
      <c r="G302" s="1">
        <v>45</v>
      </c>
      <c r="H302" s="1">
        <v>10</v>
      </c>
      <c r="I302" s="1">
        <v>58</v>
      </c>
      <c r="J302" s="1">
        <v>10</v>
      </c>
      <c r="K302" s="1">
        <v>44</v>
      </c>
      <c r="L302" s="1">
        <v>22</v>
      </c>
      <c r="M302" s="1">
        <v>0.55</v>
      </c>
      <c r="N302" s="1">
        <v>23.6</v>
      </c>
      <c r="O302" s="7">
        <v>15524</v>
      </c>
      <c r="P302" s="4">
        <v>45254</v>
      </c>
      <c r="Q302" s="4">
        <v>45264</v>
      </c>
      <c r="R302" s="1" t="s">
        <v>80</v>
      </c>
      <c r="AO302" s="7">
        <v>15524</v>
      </c>
      <c r="AP302" s="5">
        <v>7.6</v>
      </c>
      <c r="AQ302" s="5">
        <v>134</v>
      </c>
      <c r="AR302" s="5">
        <v>40.7</v>
      </c>
      <c r="AS302" s="5">
        <v>38.8</v>
      </c>
      <c r="AT302" s="5">
        <v>62</v>
      </c>
      <c r="AU302" s="5">
        <v>30</v>
      </c>
      <c r="AV302" s="5">
        <v>43.2</v>
      </c>
      <c r="AW302" s="5">
        <v>8.47</v>
      </c>
      <c r="AX302" s="5">
        <v>88</v>
      </c>
      <c r="AY302" s="5">
        <v>96.6</v>
      </c>
      <c r="AZ302" s="5" t="s">
        <v>75</v>
      </c>
      <c r="BA302" s="5">
        <v>7.42</v>
      </c>
      <c r="BB302" s="12" t="s">
        <v>76</v>
      </c>
      <c r="BC302" s="5">
        <v>4.6</v>
      </c>
      <c r="BD302" s="5">
        <v>134</v>
      </c>
      <c r="BE302" s="5">
        <v>1.11</v>
      </c>
      <c r="BF302" s="5">
        <v>5.2</v>
      </c>
      <c r="BG302" s="15">
        <v>36.2</v>
      </c>
      <c r="BH302" s="5">
        <v>70</v>
      </c>
      <c r="BI302" s="5">
        <v>70</v>
      </c>
      <c r="BJ302" s="5">
        <v>18</v>
      </c>
      <c r="BK302" s="5">
        <v>132</v>
      </c>
      <c r="BL302" s="5">
        <v>78</v>
      </c>
      <c r="BM302" s="5">
        <v>50</v>
      </c>
      <c r="BN302" s="5">
        <v>173</v>
      </c>
      <c r="BO302" s="5">
        <f t="shared" si="4"/>
        <v>16.7062046844198</v>
      </c>
      <c r="BP302" s="5" t="s">
        <v>121</v>
      </c>
      <c r="BQ302" s="5">
        <v>5.3</v>
      </c>
      <c r="BR302" s="5">
        <v>9961</v>
      </c>
    </row>
    <row r="303" s="1" customFormat="1" spans="1:70">
      <c r="A303" s="1">
        <v>3302209</v>
      </c>
      <c r="B303" s="1" t="s">
        <v>975</v>
      </c>
      <c r="D303" s="4">
        <v>44993</v>
      </c>
      <c r="E303" s="4">
        <v>44999</v>
      </c>
      <c r="F303" s="7">
        <v>15542</v>
      </c>
      <c r="G303" s="1">
        <v>42</v>
      </c>
      <c r="H303" s="1">
        <v>9</v>
      </c>
      <c r="I303" s="1">
        <v>73</v>
      </c>
      <c r="J303" s="1">
        <v>9</v>
      </c>
      <c r="K303" s="1">
        <v>53</v>
      </c>
      <c r="L303" s="1">
        <v>28</v>
      </c>
      <c r="M303" s="1">
        <v>0.53</v>
      </c>
      <c r="N303" s="1">
        <v>9.3</v>
      </c>
      <c r="O303" s="7">
        <v>15542</v>
      </c>
      <c r="P303" s="4">
        <v>44993</v>
      </c>
      <c r="Q303" s="4">
        <v>44999</v>
      </c>
      <c r="R303" s="1" t="s">
        <v>80</v>
      </c>
      <c r="AO303" s="7">
        <v>15542</v>
      </c>
      <c r="AP303" s="5">
        <v>5.5</v>
      </c>
      <c r="AQ303" s="5">
        <v>98</v>
      </c>
      <c r="AR303" s="5">
        <v>29.5</v>
      </c>
      <c r="AS303" s="5">
        <v>2.4</v>
      </c>
      <c r="AT303" s="5">
        <v>17</v>
      </c>
      <c r="AU303" s="5" t="s">
        <v>171</v>
      </c>
      <c r="AV303" s="5">
        <v>35.3</v>
      </c>
      <c r="AW303" s="5">
        <v>9.45</v>
      </c>
      <c r="AX303" s="5">
        <v>159</v>
      </c>
      <c r="AY303" s="5">
        <v>53.71</v>
      </c>
      <c r="AZ303" s="5" t="s">
        <v>75</v>
      </c>
      <c r="BA303" s="5">
        <v>2.7</v>
      </c>
      <c r="BB303" s="12" t="s">
        <v>76</v>
      </c>
      <c r="BC303" s="5">
        <v>4.37</v>
      </c>
      <c r="BD303" s="5">
        <v>98</v>
      </c>
      <c r="BE303" s="5">
        <v>1.06</v>
      </c>
      <c r="BF303" s="5">
        <v>1.5</v>
      </c>
      <c r="BG303" s="15">
        <v>36.3</v>
      </c>
      <c r="BH303" s="5">
        <v>82</v>
      </c>
      <c r="BI303" s="5">
        <v>82</v>
      </c>
      <c r="BJ303" s="5">
        <v>20</v>
      </c>
      <c r="BK303" s="5">
        <v>151</v>
      </c>
      <c r="BL303" s="5">
        <v>54</v>
      </c>
      <c r="BM303" s="5">
        <v>60</v>
      </c>
      <c r="BN303" s="5">
        <v>170</v>
      </c>
      <c r="BO303" s="5">
        <f t="shared" si="4"/>
        <v>20.7612456747405</v>
      </c>
      <c r="BP303" s="5" t="s">
        <v>323</v>
      </c>
      <c r="BQ303" s="5">
        <v>5.7</v>
      </c>
      <c r="BR303" s="5">
        <v>9179</v>
      </c>
    </row>
    <row r="304" s="1" customFormat="1" spans="1:70">
      <c r="A304" s="1">
        <v>3255461</v>
      </c>
      <c r="B304" s="1" t="s">
        <v>976</v>
      </c>
      <c r="D304" s="4">
        <v>44919</v>
      </c>
      <c r="E304" s="4">
        <v>44928</v>
      </c>
      <c r="F304" s="7">
        <v>15552</v>
      </c>
      <c r="G304" s="1">
        <v>33</v>
      </c>
      <c r="H304" s="1">
        <v>9</v>
      </c>
      <c r="I304" s="1">
        <v>51</v>
      </c>
      <c r="J304" s="1">
        <v>9</v>
      </c>
      <c r="K304" s="1">
        <v>58</v>
      </c>
      <c r="L304" s="1">
        <v>31</v>
      </c>
      <c r="M304" s="1">
        <v>0.59</v>
      </c>
      <c r="N304" s="1">
        <v>10.5</v>
      </c>
      <c r="O304" s="7">
        <v>15552</v>
      </c>
      <c r="P304" s="4">
        <v>44919</v>
      </c>
      <c r="Q304" s="4">
        <v>44928</v>
      </c>
      <c r="R304" s="1" t="s">
        <v>80</v>
      </c>
      <c r="AO304" s="7">
        <v>15552</v>
      </c>
      <c r="AP304" s="5">
        <v>8.4</v>
      </c>
      <c r="AQ304" s="5">
        <v>154</v>
      </c>
      <c r="AR304" s="5">
        <v>66</v>
      </c>
      <c r="AS304" s="5">
        <v>22.8</v>
      </c>
      <c r="AT304" s="5">
        <v>17</v>
      </c>
      <c r="AU304" s="5">
        <v>8</v>
      </c>
      <c r="AV304" s="5">
        <v>33</v>
      </c>
      <c r="AW304" s="5">
        <v>8.48</v>
      </c>
      <c r="AX304" s="5">
        <v>95</v>
      </c>
      <c r="AY304" s="5">
        <v>49.86</v>
      </c>
      <c r="AZ304" s="5">
        <v>9.89</v>
      </c>
      <c r="BA304" s="5" t="s">
        <v>76</v>
      </c>
      <c r="BB304" s="12" t="s">
        <v>76</v>
      </c>
      <c r="BC304" s="5">
        <v>4.78</v>
      </c>
      <c r="BD304" s="5">
        <v>154</v>
      </c>
      <c r="BE304" s="5" t="s">
        <v>76</v>
      </c>
      <c r="BF304" s="5" t="s">
        <v>76</v>
      </c>
      <c r="BG304" s="15">
        <v>36.2</v>
      </c>
      <c r="BH304" s="5">
        <v>106</v>
      </c>
      <c r="BI304" s="5" t="s">
        <v>76</v>
      </c>
      <c r="BJ304" s="5">
        <v>22</v>
      </c>
      <c r="BK304" s="5">
        <v>125</v>
      </c>
      <c r="BL304" s="5">
        <v>80</v>
      </c>
      <c r="BM304" s="5">
        <v>0</v>
      </c>
      <c r="BN304" s="5">
        <v>0</v>
      </c>
      <c r="BO304" s="5" t="e">
        <f t="shared" si="4"/>
        <v>#DIV/0!</v>
      </c>
      <c r="BP304" s="5" t="s">
        <v>168</v>
      </c>
      <c r="BQ304" s="5">
        <v>7.3</v>
      </c>
      <c r="BR304" s="5">
        <v>3610</v>
      </c>
    </row>
    <row r="305" s="1" customFormat="1" spans="1:70">
      <c r="A305" s="1" t="s">
        <v>977</v>
      </c>
      <c r="B305" s="1" t="s">
        <v>978</v>
      </c>
      <c r="D305" s="4">
        <v>44966</v>
      </c>
      <c r="E305" s="4">
        <v>44970</v>
      </c>
      <c r="F305" s="7">
        <v>15559</v>
      </c>
      <c r="G305" s="1">
        <v>34</v>
      </c>
      <c r="H305" s="1">
        <v>10</v>
      </c>
      <c r="I305" s="1">
        <v>45</v>
      </c>
      <c r="J305" s="1">
        <v>9</v>
      </c>
      <c r="K305" s="1">
        <v>61</v>
      </c>
      <c r="L305" s="1">
        <v>32</v>
      </c>
      <c r="M305" s="1">
        <v>0.64</v>
      </c>
      <c r="N305" s="1">
        <v>23.3</v>
      </c>
      <c r="O305" s="7">
        <v>15559</v>
      </c>
      <c r="P305" s="4">
        <v>44966</v>
      </c>
      <c r="Q305" s="4">
        <v>44970</v>
      </c>
      <c r="R305" s="1" t="s">
        <v>73</v>
      </c>
      <c r="AO305" s="7">
        <v>15559</v>
      </c>
      <c r="AP305" s="5" t="s">
        <v>979</v>
      </c>
      <c r="AQ305" s="5" t="s">
        <v>180</v>
      </c>
      <c r="AR305" s="5" t="s">
        <v>980</v>
      </c>
      <c r="AS305" s="5" t="s">
        <v>981</v>
      </c>
      <c r="AT305" s="5" t="s">
        <v>319</v>
      </c>
      <c r="AU305" s="5" t="s">
        <v>93</v>
      </c>
      <c r="AV305" s="5" t="s">
        <v>549</v>
      </c>
      <c r="AW305" s="5" t="s">
        <v>982</v>
      </c>
      <c r="AX305" s="5" t="s">
        <v>384</v>
      </c>
      <c r="AY305" s="5" t="s">
        <v>76</v>
      </c>
      <c r="AZ305" s="5" t="s">
        <v>983</v>
      </c>
      <c r="BA305" s="5" t="s">
        <v>76</v>
      </c>
      <c r="BB305" s="12" t="s">
        <v>76</v>
      </c>
      <c r="BC305" s="5" t="s">
        <v>984</v>
      </c>
      <c r="BD305" s="5" t="s">
        <v>180</v>
      </c>
      <c r="BE305" s="5" t="s">
        <v>76</v>
      </c>
      <c r="BF305" s="5" t="s">
        <v>76</v>
      </c>
      <c r="BG305" s="15">
        <v>36.8</v>
      </c>
      <c r="BH305" s="5" t="s">
        <v>467</v>
      </c>
      <c r="BI305" s="5" t="s">
        <v>467</v>
      </c>
      <c r="BJ305" s="5" t="s">
        <v>101</v>
      </c>
      <c r="BK305" s="5" t="s">
        <v>985</v>
      </c>
      <c r="BL305" s="5" t="s">
        <v>243</v>
      </c>
      <c r="BM305" s="5" t="s">
        <v>422</v>
      </c>
      <c r="BN305" s="5">
        <v>160</v>
      </c>
      <c r="BO305" s="5">
        <f t="shared" si="4"/>
        <v>17.578125</v>
      </c>
      <c r="BP305" s="5" t="s">
        <v>986</v>
      </c>
      <c r="BQ305" s="5" t="s">
        <v>76</v>
      </c>
      <c r="BR305" s="5">
        <v>2670</v>
      </c>
    </row>
    <row r="306" s="1" customFormat="1" spans="1:70">
      <c r="A306" s="1" t="s">
        <v>987</v>
      </c>
      <c r="B306" s="1" t="s">
        <v>988</v>
      </c>
      <c r="D306" s="4">
        <v>45005</v>
      </c>
      <c r="E306" s="4">
        <v>45012</v>
      </c>
      <c r="F306" s="7">
        <v>15560</v>
      </c>
      <c r="G306" s="1">
        <v>37</v>
      </c>
      <c r="H306" s="1">
        <v>9</v>
      </c>
      <c r="I306" s="1">
        <v>51</v>
      </c>
      <c r="J306" s="1">
        <v>9</v>
      </c>
      <c r="K306" s="1">
        <v>56</v>
      </c>
      <c r="L306" s="1">
        <v>30</v>
      </c>
      <c r="M306" s="1">
        <v>0.55</v>
      </c>
      <c r="N306" s="10">
        <v>6</v>
      </c>
      <c r="O306" s="7">
        <v>15560</v>
      </c>
      <c r="P306" s="4">
        <v>45005</v>
      </c>
      <c r="Q306" s="4">
        <v>45012</v>
      </c>
      <c r="R306" s="1" t="s">
        <v>80</v>
      </c>
      <c r="AO306" s="7">
        <v>15560</v>
      </c>
      <c r="AP306" s="5" t="s">
        <v>88</v>
      </c>
      <c r="AQ306" s="5" t="s">
        <v>411</v>
      </c>
      <c r="AR306" s="5" t="s">
        <v>989</v>
      </c>
      <c r="AS306" s="5" t="s">
        <v>76</v>
      </c>
      <c r="AT306" s="5" t="s">
        <v>246</v>
      </c>
      <c r="AU306" s="5" t="s">
        <v>93</v>
      </c>
      <c r="AV306" s="5" t="s">
        <v>990</v>
      </c>
      <c r="AW306" s="5" t="s">
        <v>991</v>
      </c>
      <c r="AX306" s="5" t="s">
        <v>598</v>
      </c>
      <c r="AY306" s="5" t="s">
        <v>76</v>
      </c>
      <c r="AZ306" s="5" t="s">
        <v>992</v>
      </c>
      <c r="BA306" s="5" t="s">
        <v>76</v>
      </c>
      <c r="BB306" s="12" t="s">
        <v>76</v>
      </c>
      <c r="BC306" s="5" t="s">
        <v>993</v>
      </c>
      <c r="BD306" s="5" t="s">
        <v>411</v>
      </c>
      <c r="BE306" s="5" t="s">
        <v>76</v>
      </c>
      <c r="BF306" s="5" t="s">
        <v>76</v>
      </c>
      <c r="BG306" s="15">
        <v>36.5</v>
      </c>
      <c r="BH306" s="5" t="s">
        <v>212</v>
      </c>
      <c r="BI306" s="5" t="s">
        <v>212</v>
      </c>
      <c r="BJ306" s="5" t="s">
        <v>293</v>
      </c>
      <c r="BK306" s="5" t="s">
        <v>194</v>
      </c>
      <c r="BL306" s="5" t="s">
        <v>994</v>
      </c>
      <c r="BM306" s="5" t="s">
        <v>995</v>
      </c>
      <c r="BN306" s="5">
        <v>170</v>
      </c>
      <c r="BO306" s="5">
        <f t="shared" si="4"/>
        <v>25.0865051903114</v>
      </c>
      <c r="BP306" s="5" t="s">
        <v>234</v>
      </c>
      <c r="BQ306" s="5" t="s">
        <v>76</v>
      </c>
      <c r="BR306" s="5">
        <v>2133</v>
      </c>
    </row>
    <row r="307" s="1" customFormat="1" spans="1:70">
      <c r="A307" s="1" t="s">
        <v>996</v>
      </c>
      <c r="B307" s="1" t="s">
        <v>997</v>
      </c>
      <c r="D307" s="4">
        <v>44952</v>
      </c>
      <c r="E307" s="4">
        <v>44964</v>
      </c>
      <c r="F307" s="7">
        <v>15562</v>
      </c>
      <c r="G307" s="1">
        <v>38</v>
      </c>
      <c r="H307" s="1">
        <v>9</v>
      </c>
      <c r="I307" s="1">
        <v>47</v>
      </c>
      <c r="J307" s="1">
        <v>9</v>
      </c>
      <c r="K307" s="1">
        <v>64</v>
      </c>
      <c r="L307" s="1">
        <v>34</v>
      </c>
      <c r="M307" s="1">
        <v>0.75</v>
      </c>
      <c r="N307" s="1">
        <v>14.3</v>
      </c>
      <c r="O307" s="7">
        <v>15562</v>
      </c>
      <c r="P307" s="4">
        <v>44952</v>
      </c>
      <c r="Q307" s="4">
        <v>44964</v>
      </c>
      <c r="R307" s="1" t="s">
        <v>80</v>
      </c>
      <c r="AO307" s="7">
        <v>15562</v>
      </c>
      <c r="AP307" s="5" t="s">
        <v>674</v>
      </c>
      <c r="AQ307" s="5" t="s">
        <v>351</v>
      </c>
      <c r="AR307" s="5" t="s">
        <v>998</v>
      </c>
      <c r="AS307" s="5" t="s">
        <v>999</v>
      </c>
      <c r="AT307" s="5" t="s">
        <v>445</v>
      </c>
      <c r="AU307" s="5" t="s">
        <v>1000</v>
      </c>
      <c r="AV307" s="5" t="s">
        <v>1001</v>
      </c>
      <c r="AW307" s="5" t="s">
        <v>1002</v>
      </c>
      <c r="AX307" s="5" t="s">
        <v>533</v>
      </c>
      <c r="AY307" s="5" t="s">
        <v>76</v>
      </c>
      <c r="AZ307" s="5" t="s">
        <v>1003</v>
      </c>
      <c r="BA307" s="5" t="s">
        <v>76</v>
      </c>
      <c r="BB307" s="12" t="s">
        <v>76</v>
      </c>
      <c r="BC307" s="5" t="s">
        <v>188</v>
      </c>
      <c r="BD307" s="5" t="s">
        <v>351</v>
      </c>
      <c r="BE307" s="5" t="s">
        <v>76</v>
      </c>
      <c r="BF307" s="5" t="s">
        <v>76</v>
      </c>
      <c r="BG307" s="15">
        <v>36.3</v>
      </c>
      <c r="BH307" s="5" t="s">
        <v>129</v>
      </c>
      <c r="BI307" s="5" t="s">
        <v>76</v>
      </c>
      <c r="BJ307" s="5" t="s">
        <v>293</v>
      </c>
      <c r="BK307" s="5" t="s">
        <v>774</v>
      </c>
      <c r="BL307" s="5" t="s">
        <v>139</v>
      </c>
      <c r="BM307" s="5" t="s">
        <v>425</v>
      </c>
      <c r="BN307" s="5">
        <v>166</v>
      </c>
      <c r="BO307" s="5">
        <f t="shared" si="4"/>
        <v>25.4028160836116</v>
      </c>
      <c r="BP307" s="5" t="s">
        <v>296</v>
      </c>
      <c r="BQ307" s="5" t="s">
        <v>76</v>
      </c>
      <c r="BR307" s="5">
        <v>1948</v>
      </c>
    </row>
    <row r="308" s="1" customFormat="1" spans="1:70">
      <c r="A308" s="1" t="s">
        <v>1004</v>
      </c>
      <c r="B308" s="1" t="s">
        <v>1005</v>
      </c>
      <c r="D308" s="4">
        <v>44983</v>
      </c>
      <c r="E308" s="4">
        <v>44985</v>
      </c>
      <c r="F308" s="7">
        <v>15568</v>
      </c>
      <c r="G308" s="1">
        <v>51</v>
      </c>
      <c r="H308" s="1">
        <v>10</v>
      </c>
      <c r="I308" s="1">
        <v>64</v>
      </c>
      <c r="J308" s="1">
        <v>10</v>
      </c>
      <c r="K308" s="1">
        <v>51</v>
      </c>
      <c r="L308" s="1">
        <v>26</v>
      </c>
      <c r="N308" s="1">
        <v>15.3</v>
      </c>
      <c r="O308" s="7">
        <v>15568</v>
      </c>
      <c r="P308" s="4">
        <v>44983</v>
      </c>
      <c r="Q308" s="4">
        <v>44985</v>
      </c>
      <c r="R308" s="1" t="s">
        <v>80</v>
      </c>
      <c r="AO308" s="7">
        <v>15568</v>
      </c>
      <c r="AP308" s="5" t="s">
        <v>674</v>
      </c>
      <c r="AQ308" s="5" t="s">
        <v>1006</v>
      </c>
      <c r="AR308" s="5" t="s">
        <v>1007</v>
      </c>
      <c r="AS308" s="5" t="s">
        <v>76</v>
      </c>
      <c r="AT308" s="5" t="s">
        <v>525</v>
      </c>
      <c r="AU308" s="5" t="s">
        <v>225</v>
      </c>
      <c r="AV308" s="5" t="s">
        <v>1008</v>
      </c>
      <c r="AW308" s="5" t="s">
        <v>1009</v>
      </c>
      <c r="AX308" s="5" t="s">
        <v>347</v>
      </c>
      <c r="AY308" s="5" t="s">
        <v>1010</v>
      </c>
      <c r="AZ308" s="5" t="s">
        <v>1011</v>
      </c>
      <c r="BA308" s="5" t="s">
        <v>76</v>
      </c>
      <c r="BB308" s="12" t="s">
        <v>76</v>
      </c>
      <c r="BC308" s="5" t="s">
        <v>891</v>
      </c>
      <c r="BD308" s="5" t="s">
        <v>1006</v>
      </c>
      <c r="BE308" s="5" t="s">
        <v>76</v>
      </c>
      <c r="BF308" s="5" t="s">
        <v>76</v>
      </c>
      <c r="BG308" s="15">
        <v>36.6</v>
      </c>
      <c r="BH308" s="5" t="s">
        <v>482</v>
      </c>
      <c r="BI308" s="5" t="s">
        <v>482</v>
      </c>
      <c r="BJ308" s="5" t="s">
        <v>293</v>
      </c>
      <c r="BK308" s="5" t="s">
        <v>180</v>
      </c>
      <c r="BL308" s="5" t="s">
        <v>742</v>
      </c>
      <c r="BM308" s="5" t="s">
        <v>352</v>
      </c>
      <c r="BN308" s="5">
        <v>161</v>
      </c>
      <c r="BO308" s="5">
        <f t="shared" si="4"/>
        <v>21.2183171945527</v>
      </c>
      <c r="BP308" s="5" t="s">
        <v>573</v>
      </c>
      <c r="BQ308" s="5" t="s">
        <v>76</v>
      </c>
      <c r="BR308" s="5">
        <v>3394</v>
      </c>
    </row>
    <row r="309" s="1" customFormat="1" spans="1:70">
      <c r="A309" s="1">
        <v>3256808</v>
      </c>
      <c r="B309" s="1" t="s">
        <v>1012</v>
      </c>
      <c r="D309" s="4">
        <v>44922</v>
      </c>
      <c r="E309" s="4">
        <v>44930</v>
      </c>
      <c r="F309" s="7">
        <v>15601</v>
      </c>
      <c r="G309" s="1">
        <v>40</v>
      </c>
      <c r="H309" s="1">
        <v>9</v>
      </c>
      <c r="I309" s="1">
        <v>60</v>
      </c>
      <c r="J309" s="1">
        <v>9</v>
      </c>
      <c r="K309" s="1">
        <v>48</v>
      </c>
      <c r="L309" s="1">
        <v>24</v>
      </c>
      <c r="M309" s="1">
        <v>0.66</v>
      </c>
      <c r="N309" s="1">
        <v>10</v>
      </c>
      <c r="O309" s="7">
        <v>15601</v>
      </c>
      <c r="P309" s="4">
        <v>44922</v>
      </c>
      <c r="Q309" s="4">
        <v>44930</v>
      </c>
      <c r="R309" s="1" t="s">
        <v>80</v>
      </c>
      <c r="AO309" s="7">
        <v>15601</v>
      </c>
      <c r="AP309" s="5">
        <v>5.6</v>
      </c>
      <c r="AQ309" s="5">
        <v>121</v>
      </c>
      <c r="AR309" s="5">
        <v>38.9</v>
      </c>
      <c r="AS309" s="5">
        <v>29.1</v>
      </c>
      <c r="AT309" s="5">
        <v>25</v>
      </c>
      <c r="AU309" s="5">
        <v>18</v>
      </c>
      <c r="AV309" s="5">
        <v>35.6</v>
      </c>
      <c r="AW309" s="5">
        <v>5.72</v>
      </c>
      <c r="AX309" s="5">
        <v>78</v>
      </c>
      <c r="AY309" s="5">
        <v>88.3</v>
      </c>
      <c r="AZ309" s="5">
        <v>5.11</v>
      </c>
      <c r="BA309" s="5">
        <v>2.7</v>
      </c>
      <c r="BB309" s="12" t="s">
        <v>76</v>
      </c>
      <c r="BC309" s="5">
        <v>3.02</v>
      </c>
      <c r="BD309" s="5">
        <v>121</v>
      </c>
      <c r="BE309" s="5">
        <v>0.9</v>
      </c>
      <c r="BF309" s="5">
        <v>1.17</v>
      </c>
      <c r="BG309" s="15">
        <v>37.2</v>
      </c>
      <c r="BH309" s="5">
        <v>86</v>
      </c>
      <c r="BI309" s="5" t="s">
        <v>76</v>
      </c>
      <c r="BJ309" s="5">
        <v>18</v>
      </c>
      <c r="BK309" s="5">
        <v>115</v>
      </c>
      <c r="BL309" s="5">
        <v>62</v>
      </c>
      <c r="BM309" s="5">
        <v>72</v>
      </c>
      <c r="BN309" s="5">
        <v>168</v>
      </c>
      <c r="BO309" s="5">
        <f t="shared" si="4"/>
        <v>25.5102040816327</v>
      </c>
      <c r="BP309" s="5" t="s">
        <v>963</v>
      </c>
      <c r="BQ309" s="5" t="s">
        <v>76</v>
      </c>
      <c r="BR309" s="5">
        <v>1963</v>
      </c>
    </row>
    <row r="310" s="1" customFormat="1" spans="1:70">
      <c r="A310" s="1">
        <v>3288098</v>
      </c>
      <c r="B310" s="1" t="s">
        <v>1013</v>
      </c>
      <c r="D310" s="4">
        <v>44974</v>
      </c>
      <c r="E310" s="4">
        <v>44981</v>
      </c>
      <c r="F310" s="7">
        <v>15604</v>
      </c>
      <c r="G310" s="1">
        <v>36</v>
      </c>
      <c r="H310" s="1">
        <v>9</v>
      </c>
      <c r="I310" s="1">
        <v>55</v>
      </c>
      <c r="J310" s="1">
        <v>9</v>
      </c>
      <c r="K310" s="1">
        <v>43</v>
      </c>
      <c r="L310" s="1">
        <v>21</v>
      </c>
      <c r="M310" s="1">
        <v>0.47</v>
      </c>
      <c r="N310" s="1">
        <v>20.8</v>
      </c>
      <c r="O310" s="7">
        <v>15604</v>
      </c>
      <c r="P310" s="4">
        <v>44974</v>
      </c>
      <c r="Q310" s="4">
        <v>44981</v>
      </c>
      <c r="R310" s="1" t="s">
        <v>73</v>
      </c>
      <c r="AO310" s="7">
        <v>15604</v>
      </c>
      <c r="AP310" s="5">
        <v>6.3</v>
      </c>
      <c r="AQ310" s="5">
        <v>123</v>
      </c>
      <c r="AR310" s="5">
        <v>39.1</v>
      </c>
      <c r="AS310" s="5">
        <v>1.1</v>
      </c>
      <c r="AT310" s="5">
        <v>16</v>
      </c>
      <c r="AU310" s="5">
        <v>17</v>
      </c>
      <c r="AV310" s="5">
        <v>44.7</v>
      </c>
      <c r="AW310" s="5">
        <v>8.88</v>
      </c>
      <c r="AX310" s="5">
        <v>80</v>
      </c>
      <c r="AY310" s="5">
        <v>63.63</v>
      </c>
      <c r="AZ310" s="5" t="s">
        <v>375</v>
      </c>
      <c r="BA310" s="5">
        <v>3.53</v>
      </c>
      <c r="BB310" s="12" t="s">
        <v>76</v>
      </c>
      <c r="BC310" s="5">
        <v>4.63</v>
      </c>
      <c r="BD310" s="5">
        <v>123</v>
      </c>
      <c r="BE310" s="5">
        <v>1.55</v>
      </c>
      <c r="BF310" s="5">
        <v>1.48</v>
      </c>
      <c r="BG310" s="15">
        <v>36.5</v>
      </c>
      <c r="BH310" s="5">
        <v>57</v>
      </c>
      <c r="BI310" s="5" t="s">
        <v>76</v>
      </c>
      <c r="BJ310" s="5">
        <v>14</v>
      </c>
      <c r="BK310" s="5">
        <v>160</v>
      </c>
      <c r="BL310" s="5">
        <v>59</v>
      </c>
      <c r="BM310" s="5">
        <v>51</v>
      </c>
      <c r="BN310" s="5">
        <v>152</v>
      </c>
      <c r="BO310" s="5">
        <f t="shared" si="4"/>
        <v>22.0740997229917</v>
      </c>
      <c r="BP310" s="5" t="s">
        <v>144</v>
      </c>
      <c r="BQ310" s="5">
        <v>8.5</v>
      </c>
      <c r="BR310" s="5">
        <v>8543</v>
      </c>
    </row>
    <row r="311" s="1" customFormat="1" spans="1:70">
      <c r="A311" s="1">
        <v>3266711</v>
      </c>
      <c r="B311" s="1" t="s">
        <v>1014</v>
      </c>
      <c r="D311" s="4">
        <v>44939</v>
      </c>
      <c r="E311" s="4">
        <v>44951</v>
      </c>
      <c r="F311" s="7">
        <v>15605</v>
      </c>
      <c r="G311" s="1">
        <v>37</v>
      </c>
      <c r="H311" s="1">
        <v>10</v>
      </c>
      <c r="I311" s="1">
        <v>53</v>
      </c>
      <c r="J311" s="1">
        <v>10</v>
      </c>
      <c r="K311" s="1">
        <v>59</v>
      </c>
      <c r="L311" s="1">
        <v>31</v>
      </c>
      <c r="M311" s="1">
        <v>1.1</v>
      </c>
      <c r="N311" s="1">
        <v>17.3</v>
      </c>
      <c r="O311" s="7">
        <v>15605</v>
      </c>
      <c r="P311" s="4">
        <v>44939</v>
      </c>
      <c r="Q311" s="4">
        <v>44951</v>
      </c>
      <c r="R311" s="1" t="s">
        <v>80</v>
      </c>
      <c r="S311" s="1">
        <v>80</v>
      </c>
      <c r="T311" s="1" t="s">
        <v>1015</v>
      </c>
      <c r="Z311" s="1">
        <v>1</v>
      </c>
      <c r="AC311" s="1">
        <v>1</v>
      </c>
      <c r="AG311" s="1">
        <v>1</v>
      </c>
      <c r="AH311" s="1">
        <v>1</v>
      </c>
      <c r="AI311" s="1">
        <v>1</v>
      </c>
      <c r="AM311" s="1">
        <v>1</v>
      </c>
      <c r="AO311" s="7">
        <v>15605</v>
      </c>
      <c r="AP311" s="5">
        <v>9.7</v>
      </c>
      <c r="AQ311" s="5">
        <v>145</v>
      </c>
      <c r="AR311" s="5">
        <v>46</v>
      </c>
      <c r="AS311" s="5">
        <v>45.3</v>
      </c>
      <c r="AT311" s="5">
        <v>80</v>
      </c>
      <c r="AU311" s="5">
        <v>44</v>
      </c>
      <c r="AV311" s="5">
        <v>36.7</v>
      </c>
      <c r="AW311" s="5">
        <v>7.64</v>
      </c>
      <c r="AX311" s="5">
        <v>94</v>
      </c>
      <c r="AY311" s="5">
        <v>81.06</v>
      </c>
      <c r="AZ311" s="5">
        <v>4.87</v>
      </c>
      <c r="BA311" s="5">
        <v>4.91</v>
      </c>
      <c r="BB311" s="12" t="s">
        <v>76</v>
      </c>
      <c r="BC311" s="5">
        <v>3.98</v>
      </c>
      <c r="BD311" s="5">
        <v>145</v>
      </c>
      <c r="BE311" s="5">
        <v>0.9</v>
      </c>
      <c r="BF311" s="5">
        <v>3.41</v>
      </c>
      <c r="BG311" s="15">
        <v>38.8</v>
      </c>
      <c r="BH311" s="5">
        <v>90</v>
      </c>
      <c r="BI311" s="5">
        <v>90</v>
      </c>
      <c r="BJ311" s="5">
        <v>18</v>
      </c>
      <c r="BK311" s="5">
        <v>139</v>
      </c>
      <c r="BL311" s="5">
        <v>70</v>
      </c>
      <c r="BM311" s="5">
        <v>90</v>
      </c>
      <c r="BN311" s="5">
        <v>150</v>
      </c>
      <c r="BO311" s="5">
        <f t="shared" si="4"/>
        <v>40</v>
      </c>
      <c r="BP311" s="5" t="s">
        <v>78</v>
      </c>
      <c r="BQ311" s="5">
        <v>6.1</v>
      </c>
      <c r="BR311" s="5">
        <v>9392</v>
      </c>
    </row>
    <row r="312" s="1" customFormat="1" spans="1:70">
      <c r="A312" s="1" t="s">
        <v>1016</v>
      </c>
      <c r="B312" s="1" t="s">
        <v>1017</v>
      </c>
      <c r="D312" s="4">
        <v>44886</v>
      </c>
      <c r="E312" s="4">
        <v>44896</v>
      </c>
      <c r="F312" s="7">
        <v>15606</v>
      </c>
      <c r="G312" s="1">
        <v>38</v>
      </c>
      <c r="H312" s="1">
        <v>10</v>
      </c>
      <c r="I312" s="1">
        <v>43</v>
      </c>
      <c r="J312" s="1">
        <v>9</v>
      </c>
      <c r="K312" s="1">
        <v>57</v>
      </c>
      <c r="L312" s="1">
        <v>30</v>
      </c>
      <c r="M312" s="9">
        <v>1.9</v>
      </c>
      <c r="N312" s="1">
        <v>10.4</v>
      </c>
      <c r="O312" s="7">
        <v>15606</v>
      </c>
      <c r="P312" s="4">
        <v>44886</v>
      </c>
      <c r="Q312" s="4">
        <v>44896</v>
      </c>
      <c r="R312" s="1" t="s">
        <v>73</v>
      </c>
      <c r="AO312" s="7">
        <v>15606</v>
      </c>
      <c r="AP312" s="5" t="s">
        <v>1018</v>
      </c>
      <c r="AQ312" s="5" t="s">
        <v>740</v>
      </c>
      <c r="AR312" s="5" t="s">
        <v>676</v>
      </c>
      <c r="AS312" s="5" t="s">
        <v>76</v>
      </c>
      <c r="AT312" s="5" t="s">
        <v>103</v>
      </c>
      <c r="AU312" s="5" t="s">
        <v>232</v>
      </c>
      <c r="AV312" s="5" t="s">
        <v>1019</v>
      </c>
      <c r="AW312" s="5" t="s">
        <v>1020</v>
      </c>
      <c r="AX312" s="5" t="s">
        <v>207</v>
      </c>
      <c r="AY312" s="5" t="s">
        <v>76</v>
      </c>
      <c r="AZ312" s="5" t="s">
        <v>76</v>
      </c>
      <c r="BA312" s="5" t="s">
        <v>76</v>
      </c>
      <c r="BB312" s="12" t="s">
        <v>76</v>
      </c>
      <c r="BC312" s="5" t="s">
        <v>1021</v>
      </c>
      <c r="BD312" s="5" t="s">
        <v>740</v>
      </c>
      <c r="BE312" s="5" t="s">
        <v>76</v>
      </c>
      <c r="BF312" s="5" t="s">
        <v>76</v>
      </c>
      <c r="BG312" s="15">
        <v>37</v>
      </c>
      <c r="BH312" s="5" t="s">
        <v>212</v>
      </c>
      <c r="BI312" s="5" t="s">
        <v>76</v>
      </c>
      <c r="BJ312" s="5" t="s">
        <v>293</v>
      </c>
      <c r="BK312" s="5" t="s">
        <v>194</v>
      </c>
      <c r="BL312" s="5" t="s">
        <v>295</v>
      </c>
      <c r="BM312" s="5" t="s">
        <v>482</v>
      </c>
      <c r="BN312" s="5">
        <v>160</v>
      </c>
      <c r="BO312" s="5">
        <f t="shared" si="4"/>
        <v>28.125</v>
      </c>
      <c r="BP312" s="5" t="s">
        <v>1022</v>
      </c>
      <c r="BQ312" s="5" t="s">
        <v>76</v>
      </c>
      <c r="BR312" s="5">
        <v>3745</v>
      </c>
    </row>
    <row r="313" s="1" customFormat="1" spans="1:70">
      <c r="A313" s="1">
        <v>3269032</v>
      </c>
      <c r="B313" s="1" t="s">
        <v>1023</v>
      </c>
      <c r="D313" s="4">
        <v>44946</v>
      </c>
      <c r="E313" s="4">
        <v>44956</v>
      </c>
      <c r="F313" s="7">
        <v>15609</v>
      </c>
      <c r="G313" s="1">
        <v>47</v>
      </c>
      <c r="H313" s="1">
        <v>9</v>
      </c>
      <c r="I313" s="1">
        <v>56</v>
      </c>
      <c r="J313" s="1">
        <v>9</v>
      </c>
      <c r="K313" s="1">
        <v>38</v>
      </c>
      <c r="M313" s="1">
        <v>2.24</v>
      </c>
      <c r="N313" s="1">
        <v>25.8</v>
      </c>
      <c r="O313" s="7">
        <v>15609</v>
      </c>
      <c r="P313" s="4">
        <v>44946</v>
      </c>
      <c r="Q313" s="4">
        <v>44956</v>
      </c>
      <c r="R313" s="1" t="s">
        <v>73</v>
      </c>
      <c r="AO313" s="7">
        <v>15609</v>
      </c>
      <c r="AP313" s="5">
        <v>8.7</v>
      </c>
      <c r="AQ313" s="5">
        <v>123</v>
      </c>
      <c r="AR313" s="5">
        <v>38.3</v>
      </c>
      <c r="AS313" s="5" t="s">
        <v>81</v>
      </c>
      <c r="AT313" s="5">
        <v>24</v>
      </c>
      <c r="AU313" s="5">
        <v>20</v>
      </c>
      <c r="AV313" s="5">
        <v>35.5</v>
      </c>
      <c r="AW313" s="5">
        <v>4.96</v>
      </c>
      <c r="AX313" s="5">
        <v>70</v>
      </c>
      <c r="AY313" s="5">
        <v>74.24</v>
      </c>
      <c r="AZ313" s="5">
        <v>8.51</v>
      </c>
      <c r="BA313" s="5">
        <v>3.94</v>
      </c>
      <c r="BB313" s="12" t="s">
        <v>76</v>
      </c>
      <c r="BC313" s="5">
        <v>4.01</v>
      </c>
      <c r="BD313" s="5">
        <v>123</v>
      </c>
      <c r="BE313" s="5">
        <v>1.17</v>
      </c>
      <c r="BF313" s="5">
        <v>2.24</v>
      </c>
      <c r="BG313" s="15">
        <v>36.5</v>
      </c>
      <c r="BH313" s="5" t="s">
        <v>76</v>
      </c>
      <c r="BI313" s="5">
        <v>75</v>
      </c>
      <c r="BJ313" s="5">
        <v>16</v>
      </c>
      <c r="BK313" s="5">
        <v>110</v>
      </c>
      <c r="BL313" s="5">
        <v>70</v>
      </c>
      <c r="BM313" s="5">
        <v>75</v>
      </c>
      <c r="BN313" s="5">
        <v>162</v>
      </c>
      <c r="BO313" s="5">
        <f t="shared" si="4"/>
        <v>28.5779606767261</v>
      </c>
      <c r="BP313" s="5" t="s">
        <v>107</v>
      </c>
      <c r="BQ313" s="5">
        <v>6.2</v>
      </c>
      <c r="BR313" s="5">
        <v>3639.75</v>
      </c>
    </row>
    <row r="314" s="1" customFormat="1" spans="1:70">
      <c r="A314" s="1">
        <v>3283782</v>
      </c>
      <c r="B314" s="1" t="s">
        <v>1024</v>
      </c>
      <c r="D314" s="4">
        <v>44968</v>
      </c>
      <c r="E314" s="4">
        <v>44981</v>
      </c>
      <c r="F314" s="7">
        <v>15659</v>
      </c>
      <c r="G314" s="1">
        <v>39</v>
      </c>
      <c r="H314" s="1">
        <v>9</v>
      </c>
      <c r="I314" s="1">
        <v>45</v>
      </c>
      <c r="J314" s="1">
        <v>9</v>
      </c>
      <c r="K314" s="1">
        <v>65</v>
      </c>
      <c r="L314" s="1">
        <v>35</v>
      </c>
      <c r="N314" s="1">
        <v>10.1</v>
      </c>
      <c r="O314" s="7">
        <v>15659</v>
      </c>
      <c r="P314" s="4">
        <v>44968</v>
      </c>
      <c r="Q314" s="4">
        <v>44981</v>
      </c>
      <c r="R314" s="1" t="s">
        <v>73</v>
      </c>
      <c r="AO314" s="7">
        <v>15659</v>
      </c>
      <c r="AP314" s="5">
        <v>9.8</v>
      </c>
      <c r="AQ314" s="5">
        <v>160</v>
      </c>
      <c r="AR314" s="5">
        <v>46.5</v>
      </c>
      <c r="AS314" s="5">
        <v>43.1</v>
      </c>
      <c r="AT314" s="5">
        <v>42</v>
      </c>
      <c r="AU314" s="5">
        <v>71</v>
      </c>
      <c r="AV314" s="5">
        <v>37.2</v>
      </c>
      <c r="AW314" s="5">
        <v>8.14</v>
      </c>
      <c r="AX314" s="5">
        <v>93</v>
      </c>
      <c r="AY314" s="5">
        <v>62.73</v>
      </c>
      <c r="AZ314" s="5" t="s">
        <v>75</v>
      </c>
      <c r="BA314" s="5">
        <v>3.15</v>
      </c>
      <c r="BB314" s="12" t="s">
        <v>76</v>
      </c>
      <c r="BC314" s="5">
        <v>5.28</v>
      </c>
      <c r="BD314" s="5">
        <v>160</v>
      </c>
      <c r="BE314" s="5">
        <v>1.3</v>
      </c>
      <c r="BF314" s="5">
        <v>1.36</v>
      </c>
      <c r="BG314" s="15">
        <v>37.5</v>
      </c>
      <c r="BH314" s="5">
        <v>70</v>
      </c>
      <c r="BI314" s="5">
        <v>70</v>
      </c>
      <c r="BJ314" s="5">
        <v>19</v>
      </c>
      <c r="BK314" s="5">
        <v>173</v>
      </c>
      <c r="BL314" s="5">
        <v>64</v>
      </c>
      <c r="BM314" s="5">
        <v>60</v>
      </c>
      <c r="BN314" s="5">
        <v>158</v>
      </c>
      <c r="BO314" s="5">
        <f t="shared" si="4"/>
        <v>24.034609838167</v>
      </c>
      <c r="BP314" s="5" t="s">
        <v>78</v>
      </c>
      <c r="BQ314" s="5">
        <v>9.3</v>
      </c>
      <c r="BR314" s="5">
        <v>3799</v>
      </c>
    </row>
    <row r="315" s="1" customFormat="1" spans="1:70">
      <c r="A315" s="1">
        <v>3265064</v>
      </c>
      <c r="B315" s="1" t="s">
        <v>1025</v>
      </c>
      <c r="D315" s="4">
        <v>44936</v>
      </c>
      <c r="E315" s="4">
        <v>44945</v>
      </c>
      <c r="F315" s="7">
        <v>15676</v>
      </c>
      <c r="G315" s="1">
        <v>40</v>
      </c>
      <c r="H315" s="1">
        <v>9</v>
      </c>
      <c r="I315" s="1">
        <v>47</v>
      </c>
      <c r="J315" s="1">
        <v>9</v>
      </c>
      <c r="K315" s="1">
        <v>60</v>
      </c>
      <c r="L315" s="1">
        <v>32</v>
      </c>
      <c r="N315" s="1">
        <v>9.2</v>
      </c>
      <c r="O315" s="7">
        <v>15676</v>
      </c>
      <c r="P315" s="4">
        <v>44936</v>
      </c>
      <c r="Q315" s="4">
        <v>44945</v>
      </c>
      <c r="R315" s="1" t="s">
        <v>73</v>
      </c>
      <c r="S315" s="1">
        <v>80</v>
      </c>
      <c r="T315" s="1">
        <v>13901458100</v>
      </c>
      <c r="V315" s="1">
        <v>1</v>
      </c>
      <c r="Y315" s="1">
        <v>1</v>
      </c>
      <c r="AA315" s="1">
        <v>1</v>
      </c>
      <c r="AN315" s="1">
        <v>1</v>
      </c>
      <c r="AO315" s="7">
        <v>15676</v>
      </c>
      <c r="AP315" s="5">
        <v>8.7</v>
      </c>
      <c r="AQ315" s="5">
        <v>108</v>
      </c>
      <c r="AR315" s="5">
        <v>35.3</v>
      </c>
      <c r="AS315" s="5">
        <v>3.4</v>
      </c>
      <c r="AT315" s="5">
        <v>12</v>
      </c>
      <c r="AU315" s="5">
        <v>8</v>
      </c>
      <c r="AV315" s="5">
        <v>30.9</v>
      </c>
      <c r="AW315" s="5">
        <v>23.04</v>
      </c>
      <c r="AX315" s="5">
        <v>199</v>
      </c>
      <c r="AY315" s="5">
        <v>22.23</v>
      </c>
      <c r="AZ315" s="5" t="s">
        <v>75</v>
      </c>
      <c r="BA315" s="5">
        <v>4.17</v>
      </c>
      <c r="BB315" s="12" t="s">
        <v>76</v>
      </c>
      <c r="BC315" s="5">
        <v>4.77</v>
      </c>
      <c r="BD315" s="5">
        <v>108</v>
      </c>
      <c r="BE315" s="5">
        <v>0.64</v>
      </c>
      <c r="BF315" s="5">
        <v>2.01</v>
      </c>
      <c r="BG315" s="15">
        <v>36.3</v>
      </c>
      <c r="BH315" s="5">
        <v>68</v>
      </c>
      <c r="BI315" s="5">
        <v>68</v>
      </c>
      <c r="BJ315" s="5">
        <v>20</v>
      </c>
      <c r="BK315" s="5">
        <v>146</v>
      </c>
      <c r="BL315" s="5">
        <v>73</v>
      </c>
      <c r="BM315" s="5">
        <v>75</v>
      </c>
      <c r="BN315" s="5">
        <v>160</v>
      </c>
      <c r="BO315" s="5">
        <f t="shared" si="4"/>
        <v>29.296875</v>
      </c>
      <c r="BP315" s="5" t="s">
        <v>121</v>
      </c>
      <c r="BQ315" s="5">
        <v>6.4</v>
      </c>
      <c r="BR315" s="5">
        <v>7814</v>
      </c>
    </row>
    <row r="316" s="1" customFormat="1" spans="1:70">
      <c r="A316" s="1" t="s">
        <v>1026</v>
      </c>
      <c r="B316" s="1" t="s">
        <v>1027</v>
      </c>
      <c r="D316" s="4">
        <v>44935</v>
      </c>
      <c r="E316" s="4">
        <v>44945</v>
      </c>
      <c r="F316" s="7">
        <v>15705</v>
      </c>
      <c r="G316" s="1">
        <v>43</v>
      </c>
      <c r="H316" s="1">
        <v>8</v>
      </c>
      <c r="I316" s="1">
        <v>46</v>
      </c>
      <c r="J316" s="1">
        <v>8</v>
      </c>
      <c r="K316" s="1">
        <v>63</v>
      </c>
      <c r="L316" s="1">
        <v>34</v>
      </c>
      <c r="N316" s="1">
        <v>14.9</v>
      </c>
      <c r="O316" s="7">
        <v>15705</v>
      </c>
      <c r="P316" s="4">
        <v>44935</v>
      </c>
      <c r="Q316" s="4">
        <v>44945</v>
      </c>
      <c r="R316" s="1" t="s">
        <v>73</v>
      </c>
      <c r="AO316" s="7">
        <v>15705</v>
      </c>
      <c r="AP316" s="5" t="s">
        <v>341</v>
      </c>
      <c r="AQ316" s="5" t="s">
        <v>284</v>
      </c>
      <c r="AR316" s="5" t="s">
        <v>676</v>
      </c>
      <c r="AS316" s="5" t="s">
        <v>846</v>
      </c>
      <c r="AT316" s="5" t="s">
        <v>182</v>
      </c>
      <c r="AU316" s="5" t="s">
        <v>293</v>
      </c>
      <c r="AV316" s="5" t="s">
        <v>1028</v>
      </c>
      <c r="AW316" s="5" t="s">
        <v>1029</v>
      </c>
      <c r="AX316" s="5" t="s">
        <v>742</v>
      </c>
      <c r="AY316" s="5" t="s">
        <v>1030</v>
      </c>
      <c r="AZ316" s="5" t="s">
        <v>75</v>
      </c>
      <c r="BA316" s="5" t="s">
        <v>1031</v>
      </c>
      <c r="BB316" s="12" t="s">
        <v>76</v>
      </c>
      <c r="BC316" s="5" t="s">
        <v>1032</v>
      </c>
      <c r="BD316" s="5" t="s">
        <v>284</v>
      </c>
      <c r="BE316" s="5" t="s">
        <v>1033</v>
      </c>
      <c r="BF316" s="5" t="s">
        <v>1034</v>
      </c>
      <c r="BG316" s="15">
        <v>36.6</v>
      </c>
      <c r="BH316" s="5" t="s">
        <v>481</v>
      </c>
      <c r="BI316" s="5" t="s">
        <v>481</v>
      </c>
      <c r="BJ316" s="5" t="s">
        <v>193</v>
      </c>
      <c r="BK316" s="5" t="s">
        <v>818</v>
      </c>
      <c r="BL316" s="5" t="s">
        <v>613</v>
      </c>
      <c r="BM316" s="5" t="s">
        <v>599</v>
      </c>
      <c r="BN316" s="5">
        <v>160</v>
      </c>
      <c r="BO316" s="5">
        <f t="shared" si="4"/>
        <v>17.96875</v>
      </c>
      <c r="BP316" s="5" t="s">
        <v>1035</v>
      </c>
      <c r="BQ316" s="5" t="s">
        <v>650</v>
      </c>
      <c r="BR316" s="5">
        <v>2438</v>
      </c>
    </row>
    <row r="317" s="1" customFormat="1" spans="1:70">
      <c r="A317" s="1">
        <v>3253846</v>
      </c>
      <c r="B317" s="1" t="s">
        <v>1036</v>
      </c>
      <c r="D317" s="4">
        <v>44909</v>
      </c>
      <c r="E317" s="4">
        <v>44917</v>
      </c>
      <c r="F317" s="7">
        <v>15724</v>
      </c>
      <c r="G317" s="1">
        <v>44</v>
      </c>
      <c r="H317" s="1">
        <v>9</v>
      </c>
      <c r="I317" s="1">
        <v>52</v>
      </c>
      <c r="J317" s="1">
        <v>9</v>
      </c>
      <c r="K317" s="1">
        <v>57</v>
      </c>
      <c r="L317" s="1">
        <v>31</v>
      </c>
      <c r="M317" s="1">
        <v>0.74</v>
      </c>
      <c r="N317" s="1">
        <v>15.4</v>
      </c>
      <c r="O317" s="7">
        <v>15724</v>
      </c>
      <c r="P317" s="4">
        <v>44909</v>
      </c>
      <c r="Q317" s="4">
        <v>44917</v>
      </c>
      <c r="R317" s="1" t="s">
        <v>73</v>
      </c>
      <c r="S317" s="1">
        <v>79</v>
      </c>
      <c r="T317" s="17" t="s">
        <v>1037</v>
      </c>
      <c r="V317" s="1">
        <v>1</v>
      </c>
      <c r="AI317" s="1">
        <v>1</v>
      </c>
      <c r="AK317" s="1">
        <v>1</v>
      </c>
      <c r="AL317" s="1">
        <v>1</v>
      </c>
      <c r="AM317" s="1">
        <v>1</v>
      </c>
      <c r="AO317" s="7">
        <v>15724</v>
      </c>
      <c r="AP317" s="5">
        <v>6.9</v>
      </c>
      <c r="AQ317" s="5">
        <v>76</v>
      </c>
      <c r="AR317" s="5">
        <v>27.4</v>
      </c>
      <c r="AS317" s="5">
        <v>6.8</v>
      </c>
      <c r="AT317" s="5">
        <v>37</v>
      </c>
      <c r="AU317" s="5">
        <v>28</v>
      </c>
      <c r="AV317" s="5">
        <v>35.4</v>
      </c>
      <c r="AW317" s="5">
        <v>5.09</v>
      </c>
      <c r="AX317" s="5">
        <v>52</v>
      </c>
      <c r="AY317" s="5">
        <v>104.88</v>
      </c>
      <c r="AZ317" s="5" t="s">
        <v>76</v>
      </c>
      <c r="BA317" s="5" t="s">
        <v>76</v>
      </c>
      <c r="BB317" s="12" t="s">
        <v>76</v>
      </c>
      <c r="BC317" s="5">
        <v>4.14</v>
      </c>
      <c r="BD317" s="5">
        <v>76</v>
      </c>
      <c r="BE317" s="5" t="s">
        <v>76</v>
      </c>
      <c r="BF317" s="5" t="s">
        <v>76</v>
      </c>
      <c r="BG317" s="15">
        <v>38.2</v>
      </c>
      <c r="BH317" s="5">
        <v>93</v>
      </c>
      <c r="BI317" s="5">
        <v>93</v>
      </c>
      <c r="BJ317" s="5">
        <v>24</v>
      </c>
      <c r="BK317" s="5">
        <v>155</v>
      </c>
      <c r="BL317" s="5">
        <v>73</v>
      </c>
      <c r="BM317" s="5">
        <v>75</v>
      </c>
      <c r="BN317" s="5">
        <v>163</v>
      </c>
      <c r="BO317" s="5">
        <f t="shared" si="4"/>
        <v>28.2283864654296</v>
      </c>
      <c r="BP317" s="5" t="s">
        <v>109</v>
      </c>
      <c r="BQ317" s="5" t="s">
        <v>76</v>
      </c>
      <c r="BR317" s="5">
        <v>8035</v>
      </c>
    </row>
    <row r="318" s="1" customFormat="1" spans="1:70">
      <c r="A318" s="1">
        <v>3328558</v>
      </c>
      <c r="B318" s="1" t="s">
        <v>1038</v>
      </c>
      <c r="D318" s="4">
        <v>45029</v>
      </c>
      <c r="E318" s="4">
        <v>45042</v>
      </c>
      <c r="F318" s="7">
        <v>15727</v>
      </c>
      <c r="G318" s="1">
        <v>42</v>
      </c>
      <c r="H318" s="1">
        <v>10</v>
      </c>
      <c r="I318" s="1">
        <v>50</v>
      </c>
      <c r="J318" s="1">
        <v>10</v>
      </c>
      <c r="K318" s="1">
        <v>67</v>
      </c>
      <c r="L318" s="1">
        <v>37</v>
      </c>
      <c r="M318" s="1">
        <v>1.65</v>
      </c>
      <c r="N318" s="1">
        <v>11.1</v>
      </c>
      <c r="O318" s="7">
        <v>15727</v>
      </c>
      <c r="P318" s="4">
        <v>45029</v>
      </c>
      <c r="Q318" s="4">
        <v>45042</v>
      </c>
      <c r="R318" s="1" t="s">
        <v>80</v>
      </c>
      <c r="AO318" s="7">
        <v>15727</v>
      </c>
      <c r="AP318" s="5">
        <v>9.9</v>
      </c>
      <c r="AQ318" s="5">
        <v>97</v>
      </c>
      <c r="AR318" s="5">
        <v>56.9</v>
      </c>
      <c r="AS318" s="5">
        <v>159.8</v>
      </c>
      <c r="AT318" s="5">
        <v>34</v>
      </c>
      <c r="AU318" s="5">
        <v>28</v>
      </c>
      <c r="AV318" s="5">
        <v>37.1</v>
      </c>
      <c r="AW318" s="5">
        <v>8.04</v>
      </c>
      <c r="AX318" s="5">
        <v>83</v>
      </c>
      <c r="AY318" s="5" t="s">
        <v>125</v>
      </c>
      <c r="AZ318" s="5">
        <v>9.6</v>
      </c>
      <c r="BA318" s="5" t="s">
        <v>76</v>
      </c>
      <c r="BB318" s="12" t="s">
        <v>76</v>
      </c>
      <c r="BC318" s="5">
        <v>4.97</v>
      </c>
      <c r="BD318" s="5">
        <v>97</v>
      </c>
      <c r="BE318" s="5" t="s">
        <v>76</v>
      </c>
      <c r="BF318" s="5" t="s">
        <v>76</v>
      </c>
      <c r="BG318" s="15">
        <v>38.9</v>
      </c>
      <c r="BH318" s="5">
        <v>126</v>
      </c>
      <c r="BI318" s="5">
        <v>126</v>
      </c>
      <c r="BJ318" s="5">
        <v>15</v>
      </c>
      <c r="BK318" s="5">
        <v>130</v>
      </c>
      <c r="BL318" s="5">
        <v>74</v>
      </c>
      <c r="BM318" s="5">
        <v>80</v>
      </c>
      <c r="BN318" s="5">
        <v>175</v>
      </c>
      <c r="BO318" s="5">
        <f t="shared" si="4"/>
        <v>26.1224489795918</v>
      </c>
      <c r="BP318" s="5" t="s">
        <v>618</v>
      </c>
      <c r="BQ318" s="5" t="s">
        <v>76</v>
      </c>
      <c r="BR318" s="5">
        <v>7940</v>
      </c>
    </row>
    <row r="319" s="1" customFormat="1" spans="1:70">
      <c r="A319" s="1">
        <v>3511062</v>
      </c>
      <c r="B319" s="1" t="s">
        <v>1039</v>
      </c>
      <c r="D319" s="4">
        <v>45281</v>
      </c>
      <c r="E319" s="4">
        <v>45295</v>
      </c>
      <c r="F319" s="7">
        <v>15728</v>
      </c>
      <c r="G319" s="1">
        <v>74</v>
      </c>
      <c r="H319" s="1">
        <v>8</v>
      </c>
      <c r="I319" s="1">
        <v>46</v>
      </c>
      <c r="J319" s="1">
        <v>8</v>
      </c>
      <c r="K319" s="1">
        <v>46</v>
      </c>
      <c r="L319" s="1">
        <v>23</v>
      </c>
      <c r="O319" s="7">
        <v>15728</v>
      </c>
      <c r="P319" s="4">
        <v>45281</v>
      </c>
      <c r="Q319" s="4">
        <v>45295</v>
      </c>
      <c r="R319" s="1" t="s">
        <v>73</v>
      </c>
      <c r="AO319" s="7">
        <v>15728</v>
      </c>
      <c r="AP319" s="5">
        <v>9.6</v>
      </c>
      <c r="AQ319" s="5">
        <v>128</v>
      </c>
      <c r="AR319" s="5">
        <v>55</v>
      </c>
      <c r="AS319" s="5">
        <v>9.2</v>
      </c>
      <c r="AT319" s="5">
        <v>50</v>
      </c>
      <c r="AU319" s="5">
        <v>44</v>
      </c>
      <c r="AV319" s="5">
        <v>36.1</v>
      </c>
      <c r="AW319" s="5">
        <v>7.53</v>
      </c>
      <c r="AX319" s="5">
        <v>53</v>
      </c>
      <c r="AY319" s="5" t="s">
        <v>125</v>
      </c>
      <c r="AZ319" s="5" t="s">
        <v>75</v>
      </c>
      <c r="BA319" s="5">
        <v>3.36</v>
      </c>
      <c r="BB319" s="12" t="s">
        <v>76</v>
      </c>
      <c r="BC319" s="5">
        <v>4.73</v>
      </c>
      <c r="BD319" s="5">
        <v>128</v>
      </c>
      <c r="BE319" s="5">
        <v>0.93</v>
      </c>
      <c r="BF319" s="5">
        <v>1.79</v>
      </c>
      <c r="BG319" s="15">
        <v>36.5</v>
      </c>
      <c r="BH319" s="5">
        <v>95</v>
      </c>
      <c r="BI319" s="5">
        <v>106</v>
      </c>
      <c r="BJ319" s="5">
        <v>20</v>
      </c>
      <c r="BK319" s="5">
        <v>109</v>
      </c>
      <c r="BL319" s="5">
        <v>77</v>
      </c>
      <c r="BM319" s="5">
        <v>55</v>
      </c>
      <c r="BN319" s="5">
        <v>165</v>
      </c>
      <c r="BO319" s="5">
        <f t="shared" si="4"/>
        <v>20.2020202020202</v>
      </c>
      <c r="BP319" s="5" t="s">
        <v>78</v>
      </c>
      <c r="BQ319" s="5">
        <v>7.3</v>
      </c>
      <c r="BR319" s="5">
        <v>1823</v>
      </c>
    </row>
    <row r="320" s="1" customFormat="1" spans="1:70">
      <c r="A320" s="1">
        <v>3270898</v>
      </c>
      <c r="B320" s="1" t="s">
        <v>1040</v>
      </c>
      <c r="D320" s="4">
        <v>44952</v>
      </c>
      <c r="E320" s="4">
        <v>44963</v>
      </c>
      <c r="F320" s="7">
        <v>15773</v>
      </c>
      <c r="G320" s="1">
        <v>47</v>
      </c>
      <c r="H320" s="1">
        <v>11</v>
      </c>
      <c r="I320" s="1">
        <v>63</v>
      </c>
      <c r="J320" s="1">
        <v>9</v>
      </c>
      <c r="K320" s="1">
        <v>42</v>
      </c>
      <c r="L320" s="1">
        <v>21</v>
      </c>
      <c r="M320" s="1">
        <v>62.67</v>
      </c>
      <c r="N320" s="1">
        <v>13.1</v>
      </c>
      <c r="O320" s="7">
        <v>15773</v>
      </c>
      <c r="P320" s="4">
        <v>44952</v>
      </c>
      <c r="Q320" s="4">
        <v>44963</v>
      </c>
      <c r="R320" s="1" t="s">
        <v>80</v>
      </c>
      <c r="AO320" s="7">
        <v>15773</v>
      </c>
      <c r="AP320" s="5">
        <v>1.4</v>
      </c>
      <c r="AQ320" s="5" t="s">
        <v>76</v>
      </c>
      <c r="AR320" s="5" t="s">
        <v>76</v>
      </c>
      <c r="AS320" s="5" t="s">
        <v>76</v>
      </c>
      <c r="AT320" s="5" t="s">
        <v>76</v>
      </c>
      <c r="AU320" s="5" t="s">
        <v>76</v>
      </c>
      <c r="AV320" s="5" t="s">
        <v>76</v>
      </c>
      <c r="AW320" s="5" t="s">
        <v>76</v>
      </c>
      <c r="AX320" s="5" t="s">
        <v>76</v>
      </c>
      <c r="AY320" s="5" t="s">
        <v>76</v>
      </c>
      <c r="AZ320" s="5" t="s">
        <v>75</v>
      </c>
      <c r="BA320" s="5">
        <v>5.74</v>
      </c>
      <c r="BB320" s="12" t="s">
        <v>76</v>
      </c>
      <c r="BC320" s="5">
        <v>4.87</v>
      </c>
      <c r="BD320" s="5" t="s">
        <v>76</v>
      </c>
      <c r="BE320" s="5">
        <v>1.13</v>
      </c>
      <c r="BF320" s="5">
        <v>4.12</v>
      </c>
      <c r="BG320" s="15">
        <v>36.5</v>
      </c>
      <c r="BH320" s="5">
        <v>65</v>
      </c>
      <c r="BI320" s="5">
        <v>65</v>
      </c>
      <c r="BJ320" s="5">
        <v>17</v>
      </c>
      <c r="BK320" s="5">
        <v>120</v>
      </c>
      <c r="BL320" s="5">
        <v>80</v>
      </c>
      <c r="BM320" s="5">
        <v>85</v>
      </c>
      <c r="BN320" s="5">
        <v>175</v>
      </c>
      <c r="BO320" s="5">
        <f t="shared" si="4"/>
        <v>27.7551020408163</v>
      </c>
      <c r="BP320" s="5" t="s">
        <v>121</v>
      </c>
      <c r="BQ320" s="5" t="s">
        <v>76</v>
      </c>
      <c r="BR320" s="5">
        <v>2563</v>
      </c>
    </row>
    <row r="321" s="1" customFormat="1" spans="1:70">
      <c r="A321" s="1" t="s">
        <v>1041</v>
      </c>
      <c r="B321" s="1" t="s">
        <v>1042</v>
      </c>
      <c r="D321" s="4">
        <v>44957</v>
      </c>
      <c r="E321" s="4">
        <v>44970</v>
      </c>
      <c r="F321" s="7">
        <v>15790</v>
      </c>
      <c r="G321" s="1">
        <v>34</v>
      </c>
      <c r="H321" s="1">
        <v>9</v>
      </c>
      <c r="I321" s="1">
        <v>46</v>
      </c>
      <c r="J321" s="1">
        <v>9</v>
      </c>
      <c r="K321" s="1">
        <v>58</v>
      </c>
      <c r="L321" s="1">
        <v>30</v>
      </c>
      <c r="M321" s="1">
        <v>0.44</v>
      </c>
      <c r="N321" s="1">
        <v>7.2</v>
      </c>
      <c r="O321" s="7">
        <v>15790</v>
      </c>
      <c r="P321" s="4">
        <v>44957</v>
      </c>
      <c r="Q321" s="4">
        <v>44970</v>
      </c>
      <c r="R321" s="1" t="s">
        <v>73</v>
      </c>
      <c r="AO321" s="7">
        <v>15790</v>
      </c>
      <c r="AP321" s="5" t="s">
        <v>941</v>
      </c>
      <c r="AQ321" s="5" t="s">
        <v>1043</v>
      </c>
      <c r="AR321" s="5" t="s">
        <v>1044</v>
      </c>
      <c r="AS321" s="5" t="s">
        <v>1045</v>
      </c>
      <c r="AT321" s="5" t="s">
        <v>183</v>
      </c>
      <c r="AU321" s="5" t="s">
        <v>407</v>
      </c>
      <c r="AV321" s="5" t="s">
        <v>1046</v>
      </c>
      <c r="AW321" s="5" t="s">
        <v>650</v>
      </c>
      <c r="AX321" s="5" t="s">
        <v>1047</v>
      </c>
      <c r="AY321" s="5" t="s">
        <v>76</v>
      </c>
      <c r="AZ321" s="5" t="s">
        <v>1048</v>
      </c>
      <c r="BA321" s="5" t="s">
        <v>1049</v>
      </c>
      <c r="BB321" s="12" t="s">
        <v>76</v>
      </c>
      <c r="BC321" s="5" t="s">
        <v>1050</v>
      </c>
      <c r="BD321" s="5" t="s">
        <v>1043</v>
      </c>
      <c r="BE321" s="5" t="s">
        <v>1051</v>
      </c>
      <c r="BF321" s="5" t="s">
        <v>1052</v>
      </c>
      <c r="BG321" s="15">
        <v>36.4</v>
      </c>
      <c r="BH321" s="5" t="s">
        <v>192</v>
      </c>
      <c r="BI321" s="5" t="s">
        <v>76</v>
      </c>
      <c r="BJ321" s="5" t="s">
        <v>293</v>
      </c>
      <c r="BK321" s="5" t="s">
        <v>351</v>
      </c>
      <c r="BL321" s="5" t="s">
        <v>140</v>
      </c>
      <c r="BM321" s="5" t="s">
        <v>228</v>
      </c>
      <c r="BN321" s="5">
        <v>155</v>
      </c>
      <c r="BO321" s="5">
        <f t="shared" si="4"/>
        <v>23.309053069719</v>
      </c>
      <c r="BP321" s="5" t="s">
        <v>616</v>
      </c>
      <c r="BQ321" s="5" t="s">
        <v>76</v>
      </c>
      <c r="BR321" s="5">
        <v>1886</v>
      </c>
    </row>
    <row r="322" s="1" customFormat="1" spans="1:70">
      <c r="A322" s="1" t="s">
        <v>1053</v>
      </c>
      <c r="B322" s="1" t="s">
        <v>1054</v>
      </c>
      <c r="D322" s="4">
        <v>44885</v>
      </c>
      <c r="E322" s="4">
        <v>44893</v>
      </c>
      <c r="F322" s="7">
        <v>15832</v>
      </c>
      <c r="G322" s="1">
        <v>38</v>
      </c>
      <c r="H322" s="1">
        <v>10</v>
      </c>
      <c r="I322" s="1">
        <v>49</v>
      </c>
      <c r="J322" s="1">
        <v>9</v>
      </c>
      <c r="K322" s="1">
        <v>60</v>
      </c>
      <c r="L322" s="1">
        <v>32</v>
      </c>
      <c r="M322" s="1">
        <v>0.82</v>
      </c>
      <c r="O322" s="7">
        <v>15832</v>
      </c>
      <c r="P322" s="4">
        <v>44885</v>
      </c>
      <c r="Q322" s="4">
        <v>44893</v>
      </c>
      <c r="R322" s="1" t="s">
        <v>73</v>
      </c>
      <c r="AO322" s="7">
        <v>15832</v>
      </c>
      <c r="AP322" s="5" t="s">
        <v>1055</v>
      </c>
      <c r="AQ322" s="5" t="s">
        <v>89</v>
      </c>
      <c r="AR322" s="5" t="s">
        <v>329</v>
      </c>
      <c r="AS322" s="5" t="s">
        <v>1056</v>
      </c>
      <c r="AT322" s="5" t="s">
        <v>245</v>
      </c>
      <c r="AU322" s="5" t="s">
        <v>224</v>
      </c>
      <c r="AV322" s="5" t="s">
        <v>1057</v>
      </c>
      <c r="AW322" s="5" t="s">
        <v>1058</v>
      </c>
      <c r="AX322" s="5" t="s">
        <v>599</v>
      </c>
      <c r="AY322" s="5" t="s">
        <v>76</v>
      </c>
      <c r="AZ322" s="5" t="s">
        <v>949</v>
      </c>
      <c r="BA322" s="5" t="s">
        <v>76</v>
      </c>
      <c r="BB322" s="12" t="s">
        <v>76</v>
      </c>
      <c r="BC322" s="5" t="s">
        <v>837</v>
      </c>
      <c r="BD322" s="5" t="s">
        <v>89</v>
      </c>
      <c r="BE322" s="5" t="s">
        <v>76</v>
      </c>
      <c r="BF322" s="5" t="s">
        <v>76</v>
      </c>
      <c r="BG322" s="15">
        <v>36.3</v>
      </c>
      <c r="BH322" s="5" t="s">
        <v>207</v>
      </c>
      <c r="BI322" s="5" t="s">
        <v>207</v>
      </c>
      <c r="BJ322" s="5" t="s">
        <v>101</v>
      </c>
      <c r="BK322" s="5" t="s">
        <v>818</v>
      </c>
      <c r="BL322" s="5" t="s">
        <v>407</v>
      </c>
      <c r="BM322" s="5" t="s">
        <v>511</v>
      </c>
      <c r="BN322" s="5">
        <v>158</v>
      </c>
      <c r="BO322" s="5">
        <f t="shared" si="4"/>
        <v>17.6253805479891</v>
      </c>
      <c r="BP322" s="5" t="s">
        <v>573</v>
      </c>
      <c r="BQ322" s="5" t="s">
        <v>76</v>
      </c>
      <c r="BR322" s="5">
        <v>2462</v>
      </c>
    </row>
    <row r="323" s="1" customFormat="1" spans="1:70">
      <c r="A323" s="1">
        <v>3255817</v>
      </c>
      <c r="B323" s="1" t="s">
        <v>875</v>
      </c>
      <c r="D323" s="4">
        <v>44921</v>
      </c>
      <c r="E323" s="4">
        <v>44947</v>
      </c>
      <c r="F323" s="7">
        <v>15858</v>
      </c>
      <c r="G323" s="1">
        <v>45</v>
      </c>
      <c r="H323" s="1">
        <v>10</v>
      </c>
      <c r="I323" s="1">
        <v>57</v>
      </c>
      <c r="J323" s="1">
        <v>10</v>
      </c>
      <c r="K323" s="1">
        <v>40</v>
      </c>
      <c r="L323" s="1">
        <v>20</v>
      </c>
      <c r="M323" s="1">
        <v>1.36</v>
      </c>
      <c r="N323" s="1">
        <v>18.3</v>
      </c>
      <c r="O323" s="7">
        <v>15858</v>
      </c>
      <c r="P323" s="4">
        <v>44921</v>
      </c>
      <c r="Q323" s="4">
        <v>44947</v>
      </c>
      <c r="R323" s="1" t="s">
        <v>73</v>
      </c>
      <c r="AO323" s="7">
        <v>15858</v>
      </c>
      <c r="AP323" s="5">
        <v>5.6</v>
      </c>
      <c r="AQ323" s="5">
        <v>92</v>
      </c>
      <c r="AR323" s="5">
        <v>28.5</v>
      </c>
      <c r="AS323" s="5">
        <v>77.9</v>
      </c>
      <c r="AT323" s="5">
        <v>9</v>
      </c>
      <c r="AU323" s="5">
        <v>9</v>
      </c>
      <c r="AV323" s="5">
        <v>37.2</v>
      </c>
      <c r="AW323" s="5">
        <v>9.49</v>
      </c>
      <c r="AX323" s="5">
        <v>85</v>
      </c>
      <c r="AY323" s="5" t="s">
        <v>125</v>
      </c>
      <c r="AZ323" s="5" t="s">
        <v>75</v>
      </c>
      <c r="BA323" s="5" t="s">
        <v>76</v>
      </c>
      <c r="BB323" s="12" t="s">
        <v>76</v>
      </c>
      <c r="BC323" s="5">
        <v>4.71</v>
      </c>
      <c r="BD323" s="5">
        <v>92</v>
      </c>
      <c r="BE323" s="5" t="s">
        <v>76</v>
      </c>
      <c r="BF323" s="5" t="s">
        <v>76</v>
      </c>
      <c r="BG323" s="15">
        <v>36</v>
      </c>
      <c r="BH323" s="5">
        <v>76</v>
      </c>
      <c r="BI323" s="5" t="s">
        <v>76</v>
      </c>
      <c r="BJ323" s="5">
        <v>16</v>
      </c>
      <c r="BK323" s="5">
        <v>116</v>
      </c>
      <c r="BL323" s="5">
        <v>60</v>
      </c>
      <c r="BM323" s="5">
        <v>75</v>
      </c>
      <c r="BN323" s="5">
        <v>170</v>
      </c>
      <c r="BO323" s="5">
        <f t="shared" ref="BO323:BO386" si="5">BM323/(BN323/100)^2</f>
        <v>25.9515570934256</v>
      </c>
      <c r="BP323" s="5" t="s">
        <v>83</v>
      </c>
      <c r="BQ323" s="5" t="s">
        <v>76</v>
      </c>
      <c r="BR323" s="5" t="s">
        <v>118</v>
      </c>
    </row>
    <row r="324" s="1" customFormat="1" spans="1:70">
      <c r="A324" s="1" t="s">
        <v>1059</v>
      </c>
      <c r="B324" s="1" t="s">
        <v>875</v>
      </c>
      <c r="D324" s="4">
        <v>44970</v>
      </c>
      <c r="E324" s="4">
        <v>45035</v>
      </c>
      <c r="F324" s="7">
        <v>15858</v>
      </c>
      <c r="G324" s="1">
        <v>45</v>
      </c>
      <c r="H324" s="1">
        <v>9</v>
      </c>
      <c r="I324" s="1">
        <v>61</v>
      </c>
      <c r="J324" s="1">
        <v>9</v>
      </c>
      <c r="K324" s="1">
        <v>48</v>
      </c>
      <c r="L324" s="1">
        <v>24</v>
      </c>
      <c r="M324" s="9">
        <v>0.8</v>
      </c>
      <c r="N324" s="1">
        <v>13.2</v>
      </c>
      <c r="O324" s="7">
        <v>15858</v>
      </c>
      <c r="P324" s="4">
        <v>44970</v>
      </c>
      <c r="Q324" s="4">
        <v>45035</v>
      </c>
      <c r="R324" s="1" t="s">
        <v>73</v>
      </c>
      <c r="AO324" s="7">
        <v>15858</v>
      </c>
      <c r="AP324" s="5" t="s">
        <v>992</v>
      </c>
      <c r="AQ324" s="5" t="s">
        <v>347</v>
      </c>
      <c r="AR324" s="5" t="s">
        <v>941</v>
      </c>
      <c r="AS324" s="5" t="s">
        <v>306</v>
      </c>
      <c r="AT324" s="5" t="s">
        <v>101</v>
      </c>
      <c r="AU324" s="5" t="s">
        <v>93</v>
      </c>
      <c r="AV324" s="5" t="s">
        <v>655</v>
      </c>
      <c r="AW324" s="5" t="s">
        <v>424</v>
      </c>
      <c r="AX324" s="5" t="s">
        <v>192</v>
      </c>
      <c r="AY324" s="5" t="s">
        <v>76</v>
      </c>
      <c r="AZ324" s="5" t="s">
        <v>1060</v>
      </c>
      <c r="BA324" s="5" t="s">
        <v>76</v>
      </c>
      <c r="BB324" s="12" t="s">
        <v>76</v>
      </c>
      <c r="BC324" s="5" t="s">
        <v>1061</v>
      </c>
      <c r="BD324" s="5" t="s">
        <v>347</v>
      </c>
      <c r="BE324" s="5" t="s">
        <v>76</v>
      </c>
      <c r="BF324" s="5" t="s">
        <v>76</v>
      </c>
      <c r="BG324" s="15">
        <v>36.6</v>
      </c>
      <c r="BH324" s="5" t="s">
        <v>192</v>
      </c>
      <c r="BI324" s="5" t="s">
        <v>192</v>
      </c>
      <c r="BJ324" s="5" t="s">
        <v>193</v>
      </c>
      <c r="BK324" s="5" t="s">
        <v>473</v>
      </c>
      <c r="BL324" s="5" t="s">
        <v>215</v>
      </c>
      <c r="BM324" s="5" t="s">
        <v>407</v>
      </c>
      <c r="BN324" s="5">
        <v>168</v>
      </c>
      <c r="BO324" s="5">
        <f t="shared" si="5"/>
        <v>27.281746031746</v>
      </c>
      <c r="BP324" s="5" t="s">
        <v>616</v>
      </c>
      <c r="BQ324" s="5" t="s">
        <v>76</v>
      </c>
      <c r="BR324" s="5">
        <v>2882</v>
      </c>
    </row>
    <row r="325" s="1" customFormat="1" spans="1:70">
      <c r="A325" s="1" t="s">
        <v>1062</v>
      </c>
      <c r="B325" s="1" t="s">
        <v>1063</v>
      </c>
      <c r="D325" s="4">
        <v>45023</v>
      </c>
      <c r="E325" s="4">
        <v>45044</v>
      </c>
      <c r="F325" s="7">
        <v>15862</v>
      </c>
      <c r="G325" s="1">
        <v>34</v>
      </c>
      <c r="H325" s="1">
        <v>7</v>
      </c>
      <c r="I325" s="1">
        <v>45</v>
      </c>
      <c r="J325" s="1">
        <v>7</v>
      </c>
      <c r="K325" s="1">
        <v>66</v>
      </c>
      <c r="L325" s="1">
        <v>36</v>
      </c>
      <c r="M325" s="1">
        <v>0.6</v>
      </c>
      <c r="N325" s="1">
        <v>4.7</v>
      </c>
      <c r="O325" s="7">
        <v>15862</v>
      </c>
      <c r="P325" s="4">
        <v>45023</v>
      </c>
      <c r="Q325" s="4">
        <v>45044</v>
      </c>
      <c r="R325" s="1" t="s">
        <v>73</v>
      </c>
      <c r="S325" s="1">
        <v>79</v>
      </c>
      <c r="T325" s="1" t="s">
        <v>1064</v>
      </c>
      <c r="V325" s="1">
        <v>1</v>
      </c>
      <c r="AM325" s="1">
        <v>1</v>
      </c>
      <c r="AO325" s="7">
        <v>15862</v>
      </c>
      <c r="AP325" s="5" t="s">
        <v>608</v>
      </c>
      <c r="AQ325" s="5" t="s">
        <v>533</v>
      </c>
      <c r="AR325" s="5" t="s">
        <v>1065</v>
      </c>
      <c r="AS325" s="5" t="s">
        <v>1066</v>
      </c>
      <c r="AT325" s="5" t="s">
        <v>755</v>
      </c>
      <c r="AU325" s="5" t="s">
        <v>137</v>
      </c>
      <c r="AV325" s="5" t="s">
        <v>1067</v>
      </c>
      <c r="AW325" s="5" t="s">
        <v>1068</v>
      </c>
      <c r="AX325" s="5" t="s">
        <v>207</v>
      </c>
      <c r="AY325" s="5" t="s">
        <v>125</v>
      </c>
      <c r="AZ325" s="5" t="s">
        <v>75</v>
      </c>
      <c r="BA325" s="5" t="s">
        <v>1069</v>
      </c>
      <c r="BB325" s="12" t="s">
        <v>76</v>
      </c>
      <c r="BC325" s="5" t="s">
        <v>1070</v>
      </c>
      <c r="BD325" s="5" t="s">
        <v>533</v>
      </c>
      <c r="BE325" s="5" t="s">
        <v>1071</v>
      </c>
      <c r="BF325" s="5" t="s">
        <v>1072</v>
      </c>
      <c r="BG325" s="15">
        <v>36.7</v>
      </c>
      <c r="BH325" s="5" t="s">
        <v>76</v>
      </c>
      <c r="BI325" s="5" t="s">
        <v>233</v>
      </c>
      <c r="BJ325" s="5" t="s">
        <v>246</v>
      </c>
      <c r="BK325" s="5" t="s">
        <v>1073</v>
      </c>
      <c r="BL325" s="5" t="s">
        <v>232</v>
      </c>
      <c r="BM325" s="5" t="s">
        <v>468</v>
      </c>
      <c r="BN325" s="5">
        <v>160</v>
      </c>
      <c r="BO325" s="5">
        <f t="shared" si="5"/>
        <v>25.390625</v>
      </c>
      <c r="BP325" s="5" t="s">
        <v>1074</v>
      </c>
      <c r="BQ325" s="5" t="s">
        <v>76</v>
      </c>
      <c r="BR325" s="5">
        <v>9842</v>
      </c>
    </row>
    <row r="326" s="1" customFormat="1" spans="1:70">
      <c r="A326" s="1">
        <v>3329147</v>
      </c>
      <c r="B326" s="1" t="s">
        <v>1075</v>
      </c>
      <c r="D326" s="4">
        <v>45030</v>
      </c>
      <c r="E326" s="4">
        <v>45040</v>
      </c>
      <c r="F326" s="7">
        <v>15892</v>
      </c>
      <c r="G326" s="1">
        <v>44</v>
      </c>
      <c r="H326" s="1">
        <v>10</v>
      </c>
      <c r="I326" s="1">
        <v>70</v>
      </c>
      <c r="J326" s="1">
        <v>10</v>
      </c>
      <c r="K326" s="1">
        <v>39</v>
      </c>
      <c r="L326" s="1">
        <v>19</v>
      </c>
      <c r="M326" s="1">
        <v>0.67</v>
      </c>
      <c r="N326" s="1">
        <v>12.2</v>
      </c>
      <c r="O326" s="7">
        <v>15892</v>
      </c>
      <c r="P326" s="4">
        <v>45030</v>
      </c>
      <c r="Q326" s="4">
        <v>45040</v>
      </c>
      <c r="R326" s="1" t="s">
        <v>73</v>
      </c>
      <c r="AO326" s="7">
        <v>15892</v>
      </c>
      <c r="AP326" s="5">
        <v>54.7</v>
      </c>
      <c r="AQ326" s="5">
        <v>147</v>
      </c>
      <c r="AR326" s="5">
        <v>46.5</v>
      </c>
      <c r="AS326" s="5">
        <v>9.9</v>
      </c>
      <c r="AT326" s="5">
        <v>29</v>
      </c>
      <c r="AU326" s="5">
        <v>17</v>
      </c>
      <c r="AV326" s="5">
        <v>46</v>
      </c>
      <c r="AW326" s="5">
        <v>7.5</v>
      </c>
      <c r="AX326" s="5">
        <v>90</v>
      </c>
      <c r="AY326" s="5" t="s">
        <v>76</v>
      </c>
      <c r="AZ326" s="5" t="s">
        <v>804</v>
      </c>
      <c r="BA326" s="5">
        <v>4.11</v>
      </c>
      <c r="BB326" s="12" t="s">
        <v>76</v>
      </c>
      <c r="BC326" s="5">
        <v>4.21</v>
      </c>
      <c r="BD326" s="5">
        <v>147</v>
      </c>
      <c r="BE326" s="5" t="s">
        <v>76</v>
      </c>
      <c r="BF326" s="5" t="s">
        <v>76</v>
      </c>
      <c r="BG326" s="15">
        <v>37.1</v>
      </c>
      <c r="BH326" s="5">
        <v>100</v>
      </c>
      <c r="BI326" s="5">
        <v>100</v>
      </c>
      <c r="BJ326" s="5">
        <v>22</v>
      </c>
      <c r="BK326" s="5">
        <v>109</v>
      </c>
      <c r="BL326" s="5">
        <v>76</v>
      </c>
      <c r="BM326" s="5">
        <v>90</v>
      </c>
      <c r="BN326" s="5">
        <v>160</v>
      </c>
      <c r="BO326" s="5">
        <f t="shared" si="5"/>
        <v>35.15625</v>
      </c>
      <c r="BP326" s="5" t="s">
        <v>164</v>
      </c>
      <c r="BQ326" s="5">
        <v>6.3</v>
      </c>
      <c r="BR326" s="5">
        <v>2223</v>
      </c>
    </row>
    <row r="327" s="1" customFormat="1" spans="1:70">
      <c r="A327" s="1">
        <v>3280707</v>
      </c>
      <c r="B327" s="1" t="s">
        <v>1076</v>
      </c>
      <c r="D327" s="4">
        <v>44964</v>
      </c>
      <c r="E327" s="4">
        <v>44970</v>
      </c>
      <c r="F327" s="7">
        <v>15895</v>
      </c>
      <c r="G327" s="1">
        <v>42</v>
      </c>
      <c r="H327" s="1">
        <v>9</v>
      </c>
      <c r="I327" s="1">
        <v>52</v>
      </c>
      <c r="J327" s="1">
        <v>9</v>
      </c>
      <c r="K327" s="1">
        <v>42</v>
      </c>
      <c r="L327" s="1">
        <v>21</v>
      </c>
      <c r="M327" s="1">
        <v>0.48</v>
      </c>
      <c r="N327" s="1">
        <v>11</v>
      </c>
      <c r="O327" s="7">
        <v>15895</v>
      </c>
      <c r="P327" s="4">
        <v>44964</v>
      </c>
      <c r="Q327" s="4">
        <v>44970</v>
      </c>
      <c r="R327" s="1" t="s">
        <v>73</v>
      </c>
      <c r="AO327" s="7">
        <v>15895</v>
      </c>
      <c r="AP327" s="5">
        <v>4.8</v>
      </c>
      <c r="AQ327" s="5">
        <v>82</v>
      </c>
      <c r="AR327" s="5">
        <v>27.1</v>
      </c>
      <c r="AS327" s="5">
        <v>7.3</v>
      </c>
      <c r="AT327" s="5" t="s">
        <v>76</v>
      </c>
      <c r="AU327" s="5" t="s">
        <v>76</v>
      </c>
      <c r="AV327" s="5" t="s">
        <v>76</v>
      </c>
      <c r="AW327" s="5" t="s">
        <v>76</v>
      </c>
      <c r="AX327" s="5" t="s">
        <v>76</v>
      </c>
      <c r="AY327" s="5" t="s">
        <v>76</v>
      </c>
      <c r="AZ327" s="5">
        <v>7.94</v>
      </c>
      <c r="BA327" s="5">
        <v>2.86</v>
      </c>
      <c r="BB327" s="12" t="s">
        <v>76</v>
      </c>
      <c r="BC327" s="5" t="s">
        <v>76</v>
      </c>
      <c r="BD327" s="5">
        <v>82</v>
      </c>
      <c r="BE327" s="5">
        <v>0.94</v>
      </c>
      <c r="BF327" s="5">
        <v>1.46</v>
      </c>
      <c r="BG327" s="15">
        <v>36.7</v>
      </c>
      <c r="BH327" s="5" t="s">
        <v>76</v>
      </c>
      <c r="BI327" s="5">
        <v>70</v>
      </c>
      <c r="BJ327" s="5">
        <v>16</v>
      </c>
      <c r="BK327" s="5">
        <v>145</v>
      </c>
      <c r="BL327" s="5">
        <v>71</v>
      </c>
      <c r="BM327" s="5">
        <v>55</v>
      </c>
      <c r="BN327" s="5">
        <v>155</v>
      </c>
      <c r="BO327" s="5">
        <f t="shared" si="5"/>
        <v>22.8928199791883</v>
      </c>
      <c r="BP327" s="5" t="s">
        <v>144</v>
      </c>
      <c r="BQ327" s="5">
        <v>7.8</v>
      </c>
      <c r="BR327" s="5">
        <v>3445</v>
      </c>
    </row>
    <row r="328" s="1" customFormat="1" spans="1:70">
      <c r="A328" s="1">
        <v>3288528</v>
      </c>
      <c r="B328" s="1" t="s">
        <v>1077</v>
      </c>
      <c r="D328" s="4">
        <v>44974</v>
      </c>
      <c r="E328" s="4">
        <v>44983</v>
      </c>
      <c r="F328" s="7">
        <v>15897</v>
      </c>
      <c r="G328" s="1">
        <v>42</v>
      </c>
      <c r="H328" s="1">
        <v>9</v>
      </c>
      <c r="I328" s="1">
        <v>46</v>
      </c>
      <c r="J328" s="1">
        <v>9</v>
      </c>
      <c r="K328" s="1">
        <v>51</v>
      </c>
      <c r="M328" s="1">
        <v>1.38</v>
      </c>
      <c r="N328" s="1">
        <v>18.3</v>
      </c>
      <c r="O328" s="7">
        <v>15897</v>
      </c>
      <c r="P328" s="4">
        <v>44974</v>
      </c>
      <c r="Q328" s="4">
        <v>44983</v>
      </c>
      <c r="R328" s="1" t="s">
        <v>73</v>
      </c>
      <c r="AO328" s="7">
        <v>15897</v>
      </c>
      <c r="AP328" s="5">
        <v>9.1</v>
      </c>
      <c r="AQ328" s="5">
        <v>98</v>
      </c>
      <c r="AR328" s="5">
        <v>38.9</v>
      </c>
      <c r="AS328" s="5">
        <v>72.4</v>
      </c>
      <c r="AT328" s="5">
        <v>78</v>
      </c>
      <c r="AU328" s="5">
        <v>32</v>
      </c>
      <c r="AV328" s="5">
        <v>40.6</v>
      </c>
      <c r="AW328" s="5">
        <v>6.95</v>
      </c>
      <c r="AX328" s="5">
        <v>62</v>
      </c>
      <c r="AY328" s="5" t="s">
        <v>125</v>
      </c>
      <c r="AZ328" s="5">
        <v>5.84</v>
      </c>
      <c r="BA328" s="5">
        <v>4.97</v>
      </c>
      <c r="BB328" s="12" t="s">
        <v>76</v>
      </c>
      <c r="BC328" s="5">
        <v>4.59</v>
      </c>
      <c r="BD328" s="5">
        <v>98</v>
      </c>
      <c r="BE328" s="5">
        <v>0.68</v>
      </c>
      <c r="BF328" s="5">
        <v>3.16</v>
      </c>
      <c r="BG328" s="15">
        <v>36.8</v>
      </c>
      <c r="BH328" s="5" t="s">
        <v>76</v>
      </c>
      <c r="BI328" s="5">
        <v>66</v>
      </c>
      <c r="BJ328" s="5">
        <v>16</v>
      </c>
      <c r="BK328" s="5">
        <v>109</v>
      </c>
      <c r="BL328" s="5">
        <v>59</v>
      </c>
      <c r="BM328" s="5">
        <v>60</v>
      </c>
      <c r="BN328" s="5">
        <v>160</v>
      </c>
      <c r="BO328" s="5">
        <f t="shared" si="5"/>
        <v>23.4375</v>
      </c>
      <c r="BP328" s="5" t="s">
        <v>323</v>
      </c>
      <c r="BQ328" s="5">
        <v>5.2</v>
      </c>
      <c r="BR328" s="5">
        <v>6912</v>
      </c>
    </row>
    <row r="329" s="1" customFormat="1" spans="1:70">
      <c r="A329" s="1" t="s">
        <v>1078</v>
      </c>
      <c r="B329" s="1" t="s">
        <v>1079</v>
      </c>
      <c r="D329" s="4">
        <v>44900</v>
      </c>
      <c r="E329" s="4">
        <v>44932</v>
      </c>
      <c r="F329" s="7">
        <v>15903</v>
      </c>
      <c r="G329" s="1">
        <v>42</v>
      </c>
      <c r="H329" s="1">
        <v>9</v>
      </c>
      <c r="I329" s="1">
        <v>48</v>
      </c>
      <c r="J329" s="1">
        <v>9</v>
      </c>
      <c r="K329" s="1">
        <v>48</v>
      </c>
      <c r="M329" s="9">
        <v>1.3</v>
      </c>
      <c r="O329" s="7">
        <v>15903</v>
      </c>
      <c r="P329" s="4">
        <v>44900</v>
      </c>
      <c r="Q329" s="4">
        <v>44932</v>
      </c>
      <c r="R329" s="1" t="s">
        <v>73</v>
      </c>
      <c r="AO329" s="7">
        <v>15903</v>
      </c>
      <c r="AP329" s="5" t="s">
        <v>1080</v>
      </c>
      <c r="AQ329" s="5" t="s">
        <v>100</v>
      </c>
      <c r="AR329" s="5" t="s">
        <v>1081</v>
      </c>
      <c r="AS329" s="5" t="s">
        <v>1082</v>
      </c>
      <c r="AT329" s="5" t="s">
        <v>658</v>
      </c>
      <c r="AU329" s="5" t="s">
        <v>171</v>
      </c>
      <c r="AV329" s="5" t="s">
        <v>1083</v>
      </c>
      <c r="AW329" s="5" t="s">
        <v>1084</v>
      </c>
      <c r="AX329" s="5" t="s">
        <v>89</v>
      </c>
      <c r="AY329" s="5" t="s">
        <v>1085</v>
      </c>
      <c r="AZ329" s="5" t="s">
        <v>75</v>
      </c>
      <c r="BA329" s="5" t="s">
        <v>1086</v>
      </c>
      <c r="BB329" s="12" t="s">
        <v>76</v>
      </c>
      <c r="BC329" s="5" t="s">
        <v>1087</v>
      </c>
      <c r="BD329" s="5" t="s">
        <v>100</v>
      </c>
      <c r="BE329" s="5" t="s">
        <v>1088</v>
      </c>
      <c r="BF329" s="5" t="s">
        <v>1089</v>
      </c>
      <c r="BG329" s="15">
        <v>36.5</v>
      </c>
      <c r="BH329" s="5" t="s">
        <v>76</v>
      </c>
      <c r="BI329" s="5" t="s">
        <v>942</v>
      </c>
      <c r="BJ329" s="5" t="s">
        <v>594</v>
      </c>
      <c r="BK329" s="5" t="s">
        <v>1090</v>
      </c>
      <c r="BL329" s="5" t="s">
        <v>347</v>
      </c>
      <c r="BM329" s="5" t="s">
        <v>77</v>
      </c>
      <c r="BN329" s="5" t="s">
        <v>77</v>
      </c>
      <c r="BO329" s="5" t="e">
        <f t="shared" si="5"/>
        <v>#VALUE!</v>
      </c>
      <c r="BP329" s="5" t="s">
        <v>1091</v>
      </c>
      <c r="BQ329" s="5" t="s">
        <v>1092</v>
      </c>
      <c r="BR329" s="5" t="s">
        <v>1093</v>
      </c>
    </row>
    <row r="330" s="1" customFormat="1" spans="1:70">
      <c r="A330" s="1" t="s">
        <v>1094</v>
      </c>
      <c r="B330" s="1" t="s">
        <v>1095</v>
      </c>
      <c r="D330" s="4">
        <v>44957</v>
      </c>
      <c r="E330" s="4">
        <v>44964</v>
      </c>
      <c r="F330" s="7">
        <v>15904</v>
      </c>
      <c r="G330" s="1">
        <v>46</v>
      </c>
      <c r="H330" s="1">
        <v>9</v>
      </c>
      <c r="I330" s="1">
        <v>48</v>
      </c>
      <c r="J330" s="1">
        <v>9</v>
      </c>
      <c r="K330" s="1">
        <v>63</v>
      </c>
      <c r="L330" s="1">
        <v>33</v>
      </c>
      <c r="N330" s="1">
        <v>12.8</v>
      </c>
      <c r="O330" s="7">
        <v>15904</v>
      </c>
      <c r="P330" s="4">
        <v>44957</v>
      </c>
      <c r="Q330" s="4">
        <v>44964</v>
      </c>
      <c r="R330" s="1" t="s">
        <v>73</v>
      </c>
      <c r="AO330" s="7">
        <v>15904</v>
      </c>
      <c r="AP330" s="5" t="s">
        <v>442</v>
      </c>
      <c r="AQ330" s="5" t="s">
        <v>232</v>
      </c>
      <c r="AR330" s="5" t="s">
        <v>1096</v>
      </c>
      <c r="AS330" s="5" t="s">
        <v>1097</v>
      </c>
      <c r="AT330" s="5" t="s">
        <v>309</v>
      </c>
      <c r="AU330" s="5" t="s">
        <v>193</v>
      </c>
      <c r="AV330" s="5" t="s">
        <v>1007</v>
      </c>
      <c r="AW330" s="5" t="s">
        <v>1098</v>
      </c>
      <c r="AX330" s="5" t="s">
        <v>892</v>
      </c>
      <c r="AY330" s="5" t="s">
        <v>125</v>
      </c>
      <c r="AZ330" s="5" t="s">
        <v>76</v>
      </c>
      <c r="BA330" s="5" t="s">
        <v>76</v>
      </c>
      <c r="BB330" s="12" t="s">
        <v>76</v>
      </c>
      <c r="BC330" s="5" t="s">
        <v>1099</v>
      </c>
      <c r="BD330" s="5" t="s">
        <v>232</v>
      </c>
      <c r="BE330" s="5" t="s">
        <v>76</v>
      </c>
      <c r="BF330" s="5" t="s">
        <v>76</v>
      </c>
      <c r="BG330" s="15">
        <v>36.5</v>
      </c>
      <c r="BH330" s="5" t="s">
        <v>129</v>
      </c>
      <c r="BI330" s="5" t="s">
        <v>76</v>
      </c>
      <c r="BJ330" s="5" t="s">
        <v>293</v>
      </c>
      <c r="BK330" s="5" t="s">
        <v>1100</v>
      </c>
      <c r="BL330" s="5" t="s">
        <v>598</v>
      </c>
      <c r="BM330" s="5" t="s">
        <v>352</v>
      </c>
      <c r="BN330" s="5">
        <v>157</v>
      </c>
      <c r="BO330" s="5">
        <f t="shared" si="5"/>
        <v>22.3132784291452</v>
      </c>
      <c r="BP330" s="5" t="s">
        <v>196</v>
      </c>
      <c r="BQ330" s="5" t="s">
        <v>76</v>
      </c>
      <c r="BR330" s="5">
        <v>4061</v>
      </c>
    </row>
    <row r="331" s="1" customFormat="1" spans="1:70">
      <c r="A331" s="1">
        <v>3265007</v>
      </c>
      <c r="B331" s="1" t="s">
        <v>1101</v>
      </c>
      <c r="D331" s="4">
        <v>44936</v>
      </c>
      <c r="E331" s="4">
        <v>44945</v>
      </c>
      <c r="F331" s="7">
        <v>15916</v>
      </c>
      <c r="G331" s="1">
        <v>49</v>
      </c>
      <c r="H331" s="1">
        <v>9</v>
      </c>
      <c r="I331" s="1">
        <v>66</v>
      </c>
      <c r="J331" s="1">
        <v>9</v>
      </c>
      <c r="K331" s="1">
        <v>40</v>
      </c>
      <c r="L331" s="1">
        <v>20</v>
      </c>
      <c r="N331" s="1">
        <v>19.2</v>
      </c>
      <c r="O331" s="7">
        <v>15916</v>
      </c>
      <c r="P331" s="4">
        <v>44936</v>
      </c>
      <c r="Q331" s="4">
        <v>44945</v>
      </c>
      <c r="R331" s="1" t="s">
        <v>80</v>
      </c>
      <c r="AO331" s="7">
        <v>15916</v>
      </c>
      <c r="AP331" s="5">
        <v>7.9</v>
      </c>
      <c r="AQ331" s="5">
        <v>118</v>
      </c>
      <c r="AR331" s="5">
        <v>39.4</v>
      </c>
      <c r="AS331" s="5">
        <v>73</v>
      </c>
      <c r="AT331" s="5">
        <v>27</v>
      </c>
      <c r="AU331" s="5">
        <v>24</v>
      </c>
      <c r="AV331" s="5">
        <v>37</v>
      </c>
      <c r="AW331" s="5">
        <v>5.88</v>
      </c>
      <c r="AX331" s="5">
        <v>76</v>
      </c>
      <c r="AY331" s="5">
        <v>91.22</v>
      </c>
      <c r="AZ331" s="5" t="s">
        <v>76</v>
      </c>
      <c r="BA331" s="5" t="s">
        <v>76</v>
      </c>
      <c r="BB331" s="12" t="s">
        <v>76</v>
      </c>
      <c r="BC331" s="5">
        <v>4.36</v>
      </c>
      <c r="BD331" s="5">
        <v>118</v>
      </c>
      <c r="BE331" s="5" t="s">
        <v>76</v>
      </c>
      <c r="BF331" s="5" t="s">
        <v>76</v>
      </c>
      <c r="BG331" s="15">
        <v>36.5</v>
      </c>
      <c r="BH331" s="5">
        <v>115</v>
      </c>
      <c r="BI331" s="5">
        <v>130</v>
      </c>
      <c r="BJ331" s="5">
        <v>18</v>
      </c>
      <c r="BK331" s="5">
        <v>120</v>
      </c>
      <c r="BL331" s="5">
        <v>70</v>
      </c>
      <c r="BM331" s="5">
        <v>90</v>
      </c>
      <c r="BN331" s="5">
        <v>170</v>
      </c>
      <c r="BO331" s="5">
        <f t="shared" si="5"/>
        <v>31.1418685121107</v>
      </c>
      <c r="BP331" s="5" t="s">
        <v>107</v>
      </c>
      <c r="BQ331" s="5" t="s">
        <v>76</v>
      </c>
      <c r="BR331" s="5">
        <v>9177</v>
      </c>
    </row>
    <row r="332" s="1" customFormat="1" spans="1:70">
      <c r="A332" s="1">
        <v>3498362</v>
      </c>
      <c r="B332" s="1" t="s">
        <v>1102</v>
      </c>
      <c r="D332" s="4">
        <v>45264</v>
      </c>
      <c r="E332" s="4">
        <v>45267</v>
      </c>
      <c r="F332" s="7">
        <v>15921</v>
      </c>
      <c r="G332" s="1">
        <v>35</v>
      </c>
      <c r="H332" s="1">
        <v>9</v>
      </c>
      <c r="I332" s="1">
        <v>50</v>
      </c>
      <c r="J332" s="1">
        <v>9</v>
      </c>
      <c r="K332" s="1">
        <v>61</v>
      </c>
      <c r="L332" s="1">
        <v>33</v>
      </c>
      <c r="M332" s="1">
        <v>0.59</v>
      </c>
      <c r="N332" s="1">
        <v>11.9</v>
      </c>
      <c r="O332" s="7">
        <v>15921</v>
      </c>
      <c r="P332" s="4">
        <v>45264</v>
      </c>
      <c r="Q332" s="4">
        <v>45267</v>
      </c>
      <c r="R332" s="1" t="s">
        <v>80</v>
      </c>
      <c r="AO332" s="7">
        <v>15921</v>
      </c>
      <c r="AP332" s="5">
        <v>8.1</v>
      </c>
      <c r="AQ332" s="5">
        <v>123</v>
      </c>
      <c r="AR332" s="5">
        <v>40.2</v>
      </c>
      <c r="AS332" s="5">
        <v>86.4</v>
      </c>
      <c r="AT332" s="5">
        <v>21</v>
      </c>
      <c r="AU332" s="5">
        <v>7</v>
      </c>
      <c r="AV332" s="5">
        <v>36.8</v>
      </c>
      <c r="AW332" s="5">
        <v>9.64</v>
      </c>
      <c r="AX332" s="5">
        <v>94</v>
      </c>
      <c r="AY332" s="5">
        <v>71.2</v>
      </c>
      <c r="AZ332" s="5">
        <v>5.4</v>
      </c>
      <c r="BA332" s="5">
        <v>4.25</v>
      </c>
      <c r="BB332" s="12" t="s">
        <v>76</v>
      </c>
      <c r="BC332" s="5">
        <v>4.16</v>
      </c>
      <c r="BD332" s="5">
        <v>123</v>
      </c>
      <c r="BE332" s="5">
        <v>0.98</v>
      </c>
      <c r="BF332" s="5">
        <v>2.25</v>
      </c>
      <c r="BG332" s="15">
        <v>36.7</v>
      </c>
      <c r="BH332" s="5">
        <v>86</v>
      </c>
      <c r="BI332" s="5">
        <v>86</v>
      </c>
      <c r="BJ332" s="5">
        <v>19</v>
      </c>
      <c r="BK332" s="5">
        <v>151</v>
      </c>
      <c r="BL332" s="5">
        <v>82</v>
      </c>
      <c r="BM332" s="5">
        <v>60</v>
      </c>
      <c r="BN332" s="5">
        <v>170</v>
      </c>
      <c r="BO332" s="5">
        <f t="shared" si="5"/>
        <v>20.7612456747405</v>
      </c>
      <c r="BP332" s="5" t="s">
        <v>323</v>
      </c>
      <c r="BQ332" s="5">
        <v>6</v>
      </c>
      <c r="BR332" s="5">
        <v>3169.47</v>
      </c>
    </row>
    <row r="333" s="1" customFormat="1" spans="1:70">
      <c r="A333" s="1">
        <v>3501370</v>
      </c>
      <c r="B333" s="1" t="s">
        <v>1103</v>
      </c>
      <c r="C333" s="1">
        <v>1</v>
      </c>
      <c r="D333" s="4">
        <v>45268</v>
      </c>
      <c r="E333" s="4">
        <v>45275</v>
      </c>
      <c r="F333" s="7">
        <v>15923</v>
      </c>
      <c r="G333" s="1">
        <v>38</v>
      </c>
      <c r="H333" s="1">
        <v>11</v>
      </c>
      <c r="I333" s="1">
        <v>51</v>
      </c>
      <c r="J333" s="1">
        <v>11</v>
      </c>
      <c r="K333" s="1">
        <v>30</v>
      </c>
      <c r="L333" s="1">
        <v>14</v>
      </c>
      <c r="O333" s="7">
        <v>15923</v>
      </c>
      <c r="P333" s="4">
        <v>45268</v>
      </c>
      <c r="Q333" s="4">
        <v>45275</v>
      </c>
      <c r="R333" s="1" t="s">
        <v>73</v>
      </c>
      <c r="AO333" s="7">
        <v>15923</v>
      </c>
      <c r="AP333" s="5">
        <v>7.2</v>
      </c>
      <c r="AQ333" s="5">
        <v>140</v>
      </c>
      <c r="AR333" s="5" t="s">
        <v>1104</v>
      </c>
      <c r="AS333" s="5">
        <v>97.6</v>
      </c>
      <c r="AT333" s="5">
        <v>80</v>
      </c>
      <c r="AU333" s="5">
        <v>69</v>
      </c>
      <c r="AV333" s="5">
        <v>42.7</v>
      </c>
      <c r="AW333" s="5">
        <v>9.6</v>
      </c>
      <c r="AX333" s="5">
        <v>96</v>
      </c>
      <c r="AY333" s="5" t="s">
        <v>76</v>
      </c>
      <c r="AZ333" s="5" t="s">
        <v>1105</v>
      </c>
      <c r="BA333" s="5">
        <v>6.54</v>
      </c>
      <c r="BB333" s="12" t="s">
        <v>76</v>
      </c>
      <c r="BC333" s="5">
        <v>4.64</v>
      </c>
      <c r="BD333" s="5">
        <v>140</v>
      </c>
      <c r="BE333" s="5">
        <v>1.28</v>
      </c>
      <c r="BF333" s="5">
        <v>3.72</v>
      </c>
      <c r="BG333" s="15">
        <v>36.3</v>
      </c>
      <c r="BH333" s="5" t="s">
        <v>76</v>
      </c>
      <c r="BI333" s="5">
        <v>115</v>
      </c>
      <c r="BJ333" s="5">
        <v>27</v>
      </c>
      <c r="BK333" s="5">
        <v>111</v>
      </c>
      <c r="BL333" s="5">
        <v>72</v>
      </c>
      <c r="BM333" s="5">
        <v>60</v>
      </c>
      <c r="BN333" s="5">
        <v>156</v>
      </c>
      <c r="BO333" s="5">
        <f t="shared" si="5"/>
        <v>24.65483234714</v>
      </c>
      <c r="BP333" s="5" t="s">
        <v>394</v>
      </c>
      <c r="BQ333" s="5">
        <v>8.7</v>
      </c>
      <c r="BR333" s="5" t="s">
        <v>814</v>
      </c>
    </row>
    <row r="334" s="1" customFormat="1" spans="1:70">
      <c r="A334" s="1">
        <v>3267606</v>
      </c>
      <c r="B334" s="1" t="s">
        <v>1106</v>
      </c>
      <c r="D334" s="4">
        <v>44942</v>
      </c>
      <c r="E334" s="4">
        <v>44970</v>
      </c>
      <c r="F334" s="7">
        <v>15923</v>
      </c>
      <c r="G334" s="1">
        <v>32</v>
      </c>
      <c r="H334" s="1">
        <v>9</v>
      </c>
      <c r="I334" s="1">
        <v>41</v>
      </c>
      <c r="J334" s="1">
        <v>9</v>
      </c>
      <c r="K334" s="1">
        <v>52</v>
      </c>
      <c r="L334" s="1">
        <v>27</v>
      </c>
      <c r="M334" s="1">
        <v>1.35</v>
      </c>
      <c r="N334" s="1">
        <v>18.5</v>
      </c>
      <c r="O334" s="7">
        <v>15923</v>
      </c>
      <c r="P334" s="4">
        <v>44942</v>
      </c>
      <c r="Q334" s="4">
        <v>44970</v>
      </c>
      <c r="R334" s="1" t="s">
        <v>73</v>
      </c>
      <c r="AO334" s="7">
        <v>15923</v>
      </c>
      <c r="AP334" s="5">
        <v>9.1</v>
      </c>
      <c r="AQ334" s="5">
        <v>94</v>
      </c>
      <c r="AR334" s="5">
        <v>39.6</v>
      </c>
      <c r="AS334" s="5">
        <v>72.3</v>
      </c>
      <c r="AT334" s="5">
        <v>56</v>
      </c>
      <c r="AU334" s="5">
        <v>57</v>
      </c>
      <c r="AV334" s="5">
        <v>36.6</v>
      </c>
      <c r="AW334" s="5">
        <v>6.48</v>
      </c>
      <c r="AX334" s="5">
        <v>95</v>
      </c>
      <c r="AY334" s="5">
        <v>98.31</v>
      </c>
      <c r="AZ334" s="5" t="s">
        <v>75</v>
      </c>
      <c r="BA334" s="5">
        <v>4.51</v>
      </c>
      <c r="BB334" s="12" t="s">
        <v>76</v>
      </c>
      <c r="BC334" s="5">
        <v>4.17</v>
      </c>
      <c r="BD334" s="5">
        <v>94</v>
      </c>
      <c r="BE334" s="5">
        <v>0.83</v>
      </c>
      <c r="BF334" s="5">
        <v>2.97</v>
      </c>
      <c r="BG334" s="15">
        <v>36.5</v>
      </c>
      <c r="BH334" s="5">
        <v>100</v>
      </c>
      <c r="BI334" s="5" t="s">
        <v>76</v>
      </c>
      <c r="BJ334" s="5">
        <v>18</v>
      </c>
      <c r="BK334" s="5">
        <v>151</v>
      </c>
      <c r="BL334" s="5">
        <v>106</v>
      </c>
      <c r="BM334" s="5">
        <v>55</v>
      </c>
      <c r="BN334" s="5">
        <v>155</v>
      </c>
      <c r="BO334" s="5">
        <f t="shared" si="5"/>
        <v>22.8928199791883</v>
      </c>
      <c r="BP334" s="5" t="s">
        <v>457</v>
      </c>
      <c r="BQ334" s="5" t="s">
        <v>76</v>
      </c>
      <c r="BR334" s="5">
        <v>3185</v>
      </c>
    </row>
    <row r="335" s="1" customFormat="1" spans="1:70">
      <c r="A335" s="1">
        <v>3320954</v>
      </c>
      <c r="B335" s="1" t="s">
        <v>1107</v>
      </c>
      <c r="D335" s="4">
        <v>45019</v>
      </c>
      <c r="E335" s="4">
        <v>45029</v>
      </c>
      <c r="F335" s="7">
        <v>15930</v>
      </c>
      <c r="G335" s="1">
        <v>44</v>
      </c>
      <c r="H335" s="1">
        <v>9</v>
      </c>
      <c r="I335" s="1">
        <v>46</v>
      </c>
      <c r="J335" s="1">
        <v>9</v>
      </c>
      <c r="K335" s="1">
        <v>60</v>
      </c>
      <c r="L335" s="1">
        <v>32</v>
      </c>
      <c r="N335" s="1">
        <v>11.9</v>
      </c>
      <c r="O335" s="7">
        <v>15930</v>
      </c>
      <c r="P335" s="4">
        <v>45019</v>
      </c>
      <c r="Q335" s="4">
        <v>45029</v>
      </c>
      <c r="R335" s="1" t="s">
        <v>73</v>
      </c>
      <c r="AO335" s="7">
        <v>15930</v>
      </c>
      <c r="AP335" s="5">
        <v>6.9</v>
      </c>
      <c r="AQ335" s="5">
        <v>112</v>
      </c>
      <c r="AR335" s="5">
        <v>34.8</v>
      </c>
      <c r="AS335" s="5">
        <v>36</v>
      </c>
      <c r="AT335" s="5">
        <v>23</v>
      </c>
      <c r="AU335" s="5">
        <v>21</v>
      </c>
      <c r="AV335" s="5">
        <v>37.1</v>
      </c>
      <c r="AW335" s="5">
        <v>6.06</v>
      </c>
      <c r="AX335" s="5">
        <v>48</v>
      </c>
      <c r="AY335" s="5">
        <v>117.86</v>
      </c>
      <c r="AZ335" s="5" t="s">
        <v>75</v>
      </c>
      <c r="BA335" s="5" t="s">
        <v>76</v>
      </c>
      <c r="BB335" s="12" t="s">
        <v>76</v>
      </c>
      <c r="BC335" s="5">
        <v>4.07</v>
      </c>
      <c r="BD335" s="5">
        <v>112</v>
      </c>
      <c r="BE335" s="5" t="s">
        <v>76</v>
      </c>
      <c r="BF335" s="5" t="s">
        <v>76</v>
      </c>
      <c r="BG335" s="15">
        <v>36.2</v>
      </c>
      <c r="BH335" s="5">
        <v>86</v>
      </c>
      <c r="BI335" s="5">
        <v>86</v>
      </c>
      <c r="BJ335" s="5">
        <v>23</v>
      </c>
      <c r="BK335" s="5">
        <v>103</v>
      </c>
      <c r="BL335" s="5">
        <v>64</v>
      </c>
      <c r="BM335" s="5">
        <v>55</v>
      </c>
      <c r="BN335" s="5">
        <v>158</v>
      </c>
      <c r="BO335" s="5">
        <f t="shared" si="5"/>
        <v>22.0317256849864</v>
      </c>
      <c r="BP335" s="5" t="s">
        <v>168</v>
      </c>
      <c r="BQ335" s="5" t="s">
        <v>76</v>
      </c>
      <c r="BR335" s="5">
        <v>2206</v>
      </c>
    </row>
    <row r="336" s="1" customFormat="1" spans="1:70">
      <c r="A336" s="1">
        <v>3262764</v>
      </c>
      <c r="B336" s="1" t="s">
        <v>1108</v>
      </c>
      <c r="D336" s="4">
        <v>44932</v>
      </c>
      <c r="E336" s="4">
        <v>44947</v>
      </c>
      <c r="F336" s="7">
        <v>15930</v>
      </c>
      <c r="G336" s="1">
        <v>45</v>
      </c>
      <c r="H336" s="1">
        <v>10</v>
      </c>
      <c r="I336" s="1">
        <v>50</v>
      </c>
      <c r="J336" s="1">
        <v>10</v>
      </c>
      <c r="K336" s="1">
        <v>64</v>
      </c>
      <c r="L336" s="1">
        <v>34</v>
      </c>
      <c r="O336" s="7">
        <v>15930</v>
      </c>
      <c r="P336" s="4">
        <v>44932</v>
      </c>
      <c r="Q336" s="4">
        <v>44947</v>
      </c>
      <c r="R336" s="1" t="s">
        <v>80</v>
      </c>
      <c r="AO336" s="7">
        <v>15930</v>
      </c>
      <c r="AP336" s="5">
        <v>9.4</v>
      </c>
      <c r="AQ336" s="5">
        <v>95</v>
      </c>
      <c r="AR336" s="5">
        <v>39.8</v>
      </c>
      <c r="AS336" s="5">
        <v>69.6</v>
      </c>
      <c r="AT336" s="5">
        <v>99</v>
      </c>
      <c r="AU336" s="5">
        <v>89</v>
      </c>
      <c r="AV336" s="5">
        <v>39.5</v>
      </c>
      <c r="AW336" s="5">
        <v>7.12</v>
      </c>
      <c r="AX336" s="5">
        <v>99</v>
      </c>
      <c r="AY336" s="5">
        <v>71.38</v>
      </c>
      <c r="AZ336" s="5" t="s">
        <v>75</v>
      </c>
      <c r="BA336" s="5" t="s">
        <v>76</v>
      </c>
      <c r="BB336" s="12" t="s">
        <v>76</v>
      </c>
      <c r="BC336" s="5">
        <v>6.71</v>
      </c>
      <c r="BD336" s="5">
        <v>95</v>
      </c>
      <c r="BE336" s="5" t="s">
        <v>76</v>
      </c>
      <c r="BF336" s="5" t="s">
        <v>76</v>
      </c>
      <c r="BG336" s="15">
        <v>36.7</v>
      </c>
      <c r="BH336" s="5">
        <v>107</v>
      </c>
      <c r="BI336" s="5">
        <v>107</v>
      </c>
      <c r="BJ336" s="5">
        <v>32</v>
      </c>
      <c r="BK336" s="5">
        <v>183</v>
      </c>
      <c r="BL336" s="5">
        <v>95</v>
      </c>
      <c r="BM336" s="5" t="s">
        <v>77</v>
      </c>
      <c r="BN336" s="5" t="s">
        <v>77</v>
      </c>
      <c r="BO336" s="5" t="e">
        <f t="shared" si="5"/>
        <v>#VALUE!</v>
      </c>
      <c r="BP336" s="5" t="s">
        <v>117</v>
      </c>
      <c r="BQ336" s="5" t="s">
        <v>76</v>
      </c>
      <c r="BR336" s="5">
        <v>8258.55</v>
      </c>
    </row>
    <row r="337" s="1" customFormat="1" spans="1:70">
      <c r="A337" s="1">
        <v>3248979</v>
      </c>
      <c r="B337" s="1" t="s">
        <v>1109</v>
      </c>
      <c r="D337" s="4">
        <v>44899</v>
      </c>
      <c r="E337" s="4">
        <v>44908</v>
      </c>
      <c r="F337" s="7">
        <v>15938</v>
      </c>
      <c r="G337" s="1">
        <v>39</v>
      </c>
      <c r="H337" s="1">
        <v>9</v>
      </c>
      <c r="I337" s="1">
        <v>46</v>
      </c>
      <c r="J337" s="1">
        <v>9</v>
      </c>
      <c r="K337" s="1">
        <v>48</v>
      </c>
      <c r="L337" s="1">
        <v>24</v>
      </c>
      <c r="M337" s="1">
        <v>0.52</v>
      </c>
      <c r="N337" s="1">
        <v>10.4</v>
      </c>
      <c r="O337" s="7">
        <v>15938</v>
      </c>
      <c r="P337" s="4">
        <v>44899</v>
      </c>
      <c r="Q337" s="4">
        <v>44908</v>
      </c>
      <c r="R337" s="1" t="s">
        <v>73</v>
      </c>
      <c r="AO337" s="7">
        <v>15938</v>
      </c>
      <c r="AP337" s="5">
        <v>9.2</v>
      </c>
      <c r="AQ337" s="5">
        <v>97</v>
      </c>
      <c r="AR337" s="5">
        <v>37.1</v>
      </c>
      <c r="AS337" s="5" t="s">
        <v>81</v>
      </c>
      <c r="AT337" s="5">
        <v>81</v>
      </c>
      <c r="AU337" s="5">
        <v>77</v>
      </c>
      <c r="AV337" s="5">
        <v>39.9</v>
      </c>
      <c r="AW337" s="5">
        <v>7.35</v>
      </c>
      <c r="AX337" s="5">
        <v>89</v>
      </c>
      <c r="AY337" s="5">
        <v>88.91</v>
      </c>
      <c r="AZ337" s="5" t="s">
        <v>75</v>
      </c>
      <c r="BA337" s="5">
        <v>5.47</v>
      </c>
      <c r="BB337" s="12" t="s">
        <v>76</v>
      </c>
      <c r="BC337" s="5">
        <v>4.76</v>
      </c>
      <c r="BD337" s="5">
        <v>97</v>
      </c>
      <c r="BE337" s="5">
        <v>1.06</v>
      </c>
      <c r="BF337" s="5">
        <v>3.94</v>
      </c>
      <c r="BG337" s="15">
        <v>36.3</v>
      </c>
      <c r="BH337" s="5">
        <v>83</v>
      </c>
      <c r="BI337" s="5">
        <v>83</v>
      </c>
      <c r="BJ337" s="5">
        <v>20</v>
      </c>
      <c r="BK337" s="5">
        <v>133</v>
      </c>
      <c r="BL337" s="5">
        <v>84</v>
      </c>
      <c r="BM337" s="5">
        <v>55</v>
      </c>
      <c r="BN337" s="5">
        <v>160</v>
      </c>
      <c r="BO337" s="5">
        <f t="shared" si="5"/>
        <v>21.484375</v>
      </c>
      <c r="BP337" s="5" t="s">
        <v>121</v>
      </c>
      <c r="BQ337" s="5">
        <v>6.2</v>
      </c>
      <c r="BR337" s="5">
        <v>8483.16</v>
      </c>
    </row>
    <row r="338" s="1" customFormat="1" spans="1:70">
      <c r="A338" s="1">
        <v>3300996</v>
      </c>
      <c r="B338" s="1" t="s">
        <v>1110</v>
      </c>
      <c r="D338" s="4">
        <v>44992</v>
      </c>
      <c r="E338" s="4">
        <v>44998</v>
      </c>
      <c r="F338" s="7">
        <v>15946</v>
      </c>
      <c r="G338" s="1">
        <v>41</v>
      </c>
      <c r="H338" s="1">
        <v>9</v>
      </c>
      <c r="I338" s="1">
        <v>56</v>
      </c>
      <c r="J338" s="1">
        <v>9</v>
      </c>
      <c r="K338" s="1">
        <v>47</v>
      </c>
      <c r="L338" s="1">
        <v>24</v>
      </c>
      <c r="M338" s="1">
        <v>0.49</v>
      </c>
      <c r="N338" s="1">
        <v>13.3</v>
      </c>
      <c r="O338" s="7">
        <v>15946</v>
      </c>
      <c r="P338" s="4">
        <v>44992</v>
      </c>
      <c r="Q338" s="4">
        <v>44998</v>
      </c>
      <c r="R338" s="1" t="s">
        <v>73</v>
      </c>
      <c r="AO338" s="7">
        <v>15946</v>
      </c>
      <c r="AP338" s="5">
        <v>86.7</v>
      </c>
      <c r="AQ338" s="5">
        <v>81</v>
      </c>
      <c r="AR338" s="5">
        <v>25.3</v>
      </c>
      <c r="AS338" s="5">
        <v>15.9</v>
      </c>
      <c r="AT338" s="5">
        <v>46</v>
      </c>
      <c r="AU338" s="5">
        <v>19</v>
      </c>
      <c r="AV338" s="5">
        <v>33.5</v>
      </c>
      <c r="AW338" s="5">
        <v>6.6</v>
      </c>
      <c r="AX338" s="5">
        <v>154</v>
      </c>
      <c r="AY338" s="5">
        <v>29.96</v>
      </c>
      <c r="AZ338" s="5" t="s">
        <v>75</v>
      </c>
      <c r="BA338" s="5">
        <v>4.34</v>
      </c>
      <c r="BB338" s="12" t="s">
        <v>76</v>
      </c>
      <c r="BC338" s="5">
        <v>3.22</v>
      </c>
      <c r="BD338" s="5">
        <v>81</v>
      </c>
      <c r="BE338" s="5">
        <v>1.18</v>
      </c>
      <c r="BF338" s="5">
        <v>2.44</v>
      </c>
      <c r="BG338" s="15">
        <v>38</v>
      </c>
      <c r="BH338" s="5">
        <v>90</v>
      </c>
      <c r="BI338" s="5" t="s">
        <v>76</v>
      </c>
      <c r="BJ338" s="5">
        <v>20</v>
      </c>
      <c r="BK338" s="5">
        <v>140</v>
      </c>
      <c r="BL338" s="5">
        <v>67</v>
      </c>
      <c r="BM338" s="5">
        <v>45</v>
      </c>
      <c r="BN338" s="5">
        <v>150</v>
      </c>
      <c r="BO338" s="5">
        <f t="shared" si="5"/>
        <v>20</v>
      </c>
      <c r="BP338" s="5" t="s">
        <v>156</v>
      </c>
      <c r="BQ338" s="5" t="s">
        <v>76</v>
      </c>
      <c r="BR338" s="5">
        <v>6213</v>
      </c>
    </row>
    <row r="339" s="1" customFormat="1" spans="1:70">
      <c r="A339" s="1" t="s">
        <v>1111</v>
      </c>
      <c r="B339" s="1" t="s">
        <v>1112</v>
      </c>
      <c r="D339" s="4">
        <v>44990</v>
      </c>
      <c r="E339" s="4">
        <v>45008</v>
      </c>
      <c r="F339" s="7">
        <v>15955</v>
      </c>
      <c r="G339" s="1">
        <v>47</v>
      </c>
      <c r="H339" s="1">
        <v>10</v>
      </c>
      <c r="I339" s="1">
        <v>50</v>
      </c>
      <c r="J339" s="1">
        <v>10</v>
      </c>
      <c r="K339" s="1">
        <v>57</v>
      </c>
      <c r="L339" s="1">
        <v>30</v>
      </c>
      <c r="N339" s="1">
        <v>10.7</v>
      </c>
      <c r="O339" s="7">
        <v>15955</v>
      </c>
      <c r="P339" s="4">
        <v>44990</v>
      </c>
      <c r="Q339" s="4">
        <v>45008</v>
      </c>
      <c r="R339" s="1" t="s">
        <v>80</v>
      </c>
      <c r="AO339" s="7">
        <v>15955</v>
      </c>
      <c r="AP339" s="5" t="s">
        <v>522</v>
      </c>
      <c r="AQ339" s="5" t="s">
        <v>1113</v>
      </c>
      <c r="AR339" s="5" t="s">
        <v>1114</v>
      </c>
      <c r="AS339" s="5" t="s">
        <v>1115</v>
      </c>
      <c r="AT339" s="5" t="s">
        <v>772</v>
      </c>
      <c r="AU339" s="5" t="s">
        <v>93</v>
      </c>
      <c r="AV339" s="5" t="s">
        <v>1116</v>
      </c>
      <c r="AW339" s="5" t="s">
        <v>1117</v>
      </c>
      <c r="AX339" s="5" t="s">
        <v>243</v>
      </c>
      <c r="AY339" s="5" t="s">
        <v>76</v>
      </c>
      <c r="AZ339" s="5" t="s">
        <v>1118</v>
      </c>
      <c r="BA339" s="5" t="s">
        <v>76</v>
      </c>
      <c r="BB339" s="12" t="s">
        <v>76</v>
      </c>
      <c r="BC339" s="5" t="s">
        <v>1119</v>
      </c>
      <c r="BD339" s="5" t="s">
        <v>1113</v>
      </c>
      <c r="BE339" s="5" t="s">
        <v>76</v>
      </c>
      <c r="BF339" s="5" t="s">
        <v>76</v>
      </c>
      <c r="BG339" s="15">
        <v>36.5</v>
      </c>
      <c r="BH339" s="5" t="s">
        <v>129</v>
      </c>
      <c r="BI339" s="5" t="s">
        <v>76</v>
      </c>
      <c r="BJ339" s="5" t="s">
        <v>246</v>
      </c>
      <c r="BK339" s="5" t="s">
        <v>1120</v>
      </c>
      <c r="BL339" s="5" t="s">
        <v>533</v>
      </c>
      <c r="BM339" s="5" t="s">
        <v>140</v>
      </c>
      <c r="BN339" s="5">
        <v>175</v>
      </c>
      <c r="BO339" s="5">
        <f t="shared" si="5"/>
        <v>26.1224489795918</v>
      </c>
      <c r="BP339" s="5" t="s">
        <v>1121</v>
      </c>
      <c r="BQ339" s="5" t="s">
        <v>76</v>
      </c>
      <c r="BR339" s="5">
        <v>5472</v>
      </c>
    </row>
    <row r="340" s="1" customFormat="1" spans="1:70">
      <c r="A340" s="1">
        <v>3513240</v>
      </c>
      <c r="B340" s="1" t="s">
        <v>1122</v>
      </c>
      <c r="D340" s="4">
        <v>45287</v>
      </c>
      <c r="E340" s="4">
        <v>45292</v>
      </c>
      <c r="F340" s="7">
        <v>15980</v>
      </c>
      <c r="G340" s="1">
        <v>51</v>
      </c>
      <c r="H340" s="1">
        <v>10</v>
      </c>
      <c r="I340" s="1">
        <v>69</v>
      </c>
      <c r="J340" s="1">
        <v>10</v>
      </c>
      <c r="K340" s="1">
        <v>35</v>
      </c>
      <c r="L340" s="1">
        <v>17</v>
      </c>
      <c r="M340" s="1">
        <v>1.33</v>
      </c>
      <c r="N340" s="1">
        <v>14.5</v>
      </c>
      <c r="O340" s="7">
        <v>15980</v>
      </c>
      <c r="P340" s="4">
        <v>45287</v>
      </c>
      <c r="Q340" s="4">
        <v>45292</v>
      </c>
      <c r="R340" s="1" t="s">
        <v>73</v>
      </c>
      <c r="AO340" s="7">
        <v>15980</v>
      </c>
      <c r="AP340" s="5">
        <v>8</v>
      </c>
      <c r="AQ340" s="5">
        <v>136</v>
      </c>
      <c r="AR340" s="5">
        <v>41.6</v>
      </c>
      <c r="AS340" s="5">
        <v>104</v>
      </c>
      <c r="AT340" s="5">
        <v>51</v>
      </c>
      <c r="AU340" s="5">
        <v>26</v>
      </c>
      <c r="AV340" s="5">
        <v>41.8</v>
      </c>
      <c r="AW340" s="5">
        <v>10.1</v>
      </c>
      <c r="AX340" s="5">
        <v>72</v>
      </c>
      <c r="AY340" s="5">
        <v>71.86</v>
      </c>
      <c r="AZ340" s="5">
        <v>8.41</v>
      </c>
      <c r="BA340" s="5">
        <v>3.18</v>
      </c>
      <c r="BB340" s="12" t="s">
        <v>76</v>
      </c>
      <c r="BC340" s="5">
        <v>4.08</v>
      </c>
      <c r="BD340" s="5">
        <v>136</v>
      </c>
      <c r="BE340" s="5">
        <v>1.21</v>
      </c>
      <c r="BF340" s="5">
        <v>1.05</v>
      </c>
      <c r="BG340" s="15">
        <v>36.2</v>
      </c>
      <c r="BH340" s="5">
        <v>93</v>
      </c>
      <c r="BI340" s="5">
        <v>93</v>
      </c>
      <c r="BJ340" s="5">
        <v>17</v>
      </c>
      <c r="BK340" s="5">
        <v>110</v>
      </c>
      <c r="BL340" s="5">
        <v>77</v>
      </c>
      <c r="BM340" s="5">
        <v>73</v>
      </c>
      <c r="BN340" s="5">
        <v>160</v>
      </c>
      <c r="BO340" s="5">
        <f t="shared" si="5"/>
        <v>28.515625</v>
      </c>
      <c r="BP340" s="5" t="s">
        <v>156</v>
      </c>
      <c r="BQ340" s="5">
        <v>6.2</v>
      </c>
      <c r="BR340" s="5">
        <v>6151</v>
      </c>
    </row>
    <row r="341" s="1" customFormat="1" spans="1:70">
      <c r="A341" s="1">
        <v>3272492</v>
      </c>
      <c r="B341" s="1" t="s">
        <v>1123</v>
      </c>
      <c r="D341" s="4">
        <v>44954</v>
      </c>
      <c r="E341" s="4">
        <v>44958</v>
      </c>
      <c r="F341" s="7">
        <v>15980</v>
      </c>
      <c r="G341" s="1">
        <v>38</v>
      </c>
      <c r="H341" s="1">
        <v>10</v>
      </c>
      <c r="I341" s="1">
        <v>47</v>
      </c>
      <c r="J341" s="1">
        <v>10</v>
      </c>
      <c r="K341" s="1">
        <v>56</v>
      </c>
      <c r="L341" s="1">
        <v>29</v>
      </c>
      <c r="M341" s="1">
        <v>0.56</v>
      </c>
      <c r="N341" s="1">
        <v>16.1</v>
      </c>
      <c r="O341" s="7">
        <v>15980</v>
      </c>
      <c r="P341" s="4">
        <v>44954</v>
      </c>
      <c r="Q341" s="4">
        <v>44958</v>
      </c>
      <c r="R341" s="1" t="s">
        <v>73</v>
      </c>
      <c r="AO341" s="7">
        <v>15980</v>
      </c>
      <c r="AP341" s="5">
        <v>7.8</v>
      </c>
      <c r="AQ341" s="5">
        <v>116</v>
      </c>
      <c r="AR341" s="5">
        <v>34.5</v>
      </c>
      <c r="AS341" s="5">
        <v>30.8</v>
      </c>
      <c r="AT341" s="5">
        <v>15</v>
      </c>
      <c r="AU341" s="5">
        <v>10</v>
      </c>
      <c r="AV341" s="5">
        <v>29.8</v>
      </c>
      <c r="AW341" s="5">
        <v>2.71</v>
      </c>
      <c r="AX341" s="5">
        <v>65</v>
      </c>
      <c r="AY341" s="5">
        <v>81.07</v>
      </c>
      <c r="AZ341" s="5" t="s">
        <v>375</v>
      </c>
      <c r="BA341" s="5">
        <v>5.88</v>
      </c>
      <c r="BB341" s="12" t="s">
        <v>76</v>
      </c>
      <c r="BC341" s="5">
        <v>3.48</v>
      </c>
      <c r="BD341" s="5">
        <v>116</v>
      </c>
      <c r="BE341" s="5">
        <v>0.69</v>
      </c>
      <c r="BF341" s="5">
        <v>1.89</v>
      </c>
      <c r="BG341" s="15">
        <v>36.6</v>
      </c>
      <c r="BH341" s="5">
        <v>68</v>
      </c>
      <c r="BI341" s="5">
        <v>68</v>
      </c>
      <c r="BJ341" s="5">
        <v>18</v>
      </c>
      <c r="BK341" s="5">
        <v>157</v>
      </c>
      <c r="BL341" s="5">
        <v>80</v>
      </c>
      <c r="BM341" s="5">
        <v>75</v>
      </c>
      <c r="BN341" s="5">
        <v>155</v>
      </c>
      <c r="BO341" s="5">
        <f t="shared" si="5"/>
        <v>31.2174817898023</v>
      </c>
      <c r="BP341" s="5" t="s">
        <v>121</v>
      </c>
      <c r="BQ341" s="5">
        <v>8.6</v>
      </c>
      <c r="BR341" s="5">
        <v>2083</v>
      </c>
    </row>
    <row r="342" s="1" customFormat="1" spans="1:70">
      <c r="A342" s="1">
        <v>3303801</v>
      </c>
      <c r="B342" s="1" t="s">
        <v>1124</v>
      </c>
      <c r="D342" s="4">
        <v>44995</v>
      </c>
      <c r="E342" s="4">
        <v>45002</v>
      </c>
      <c r="F342" s="7">
        <v>15992</v>
      </c>
      <c r="G342" s="1">
        <v>40</v>
      </c>
      <c r="H342" s="1">
        <v>10</v>
      </c>
      <c r="I342" s="1">
        <v>53</v>
      </c>
      <c r="J342" s="1">
        <v>10</v>
      </c>
      <c r="K342" s="1">
        <v>47</v>
      </c>
      <c r="N342" s="1">
        <v>14.7</v>
      </c>
      <c r="O342" s="7">
        <v>15992</v>
      </c>
      <c r="P342" s="4">
        <v>44995</v>
      </c>
      <c r="Q342" s="4">
        <v>45002</v>
      </c>
      <c r="R342" s="1" t="s">
        <v>80</v>
      </c>
      <c r="AO342" s="7">
        <v>15992</v>
      </c>
      <c r="AP342" s="5">
        <v>6.8</v>
      </c>
      <c r="AQ342" s="5">
        <v>142</v>
      </c>
      <c r="AR342" s="5">
        <v>42.6</v>
      </c>
      <c r="AS342" s="5">
        <v>17.1</v>
      </c>
      <c r="AT342" s="5">
        <v>27</v>
      </c>
      <c r="AU342" s="5">
        <v>16</v>
      </c>
      <c r="AV342" s="5">
        <v>35.7</v>
      </c>
      <c r="AW342" s="5">
        <v>4</v>
      </c>
      <c r="AX342" s="5">
        <v>80</v>
      </c>
      <c r="AY342" s="5">
        <v>89.86</v>
      </c>
      <c r="AZ342" s="5" t="s">
        <v>75</v>
      </c>
      <c r="BA342" s="5">
        <v>4.3</v>
      </c>
      <c r="BB342" s="12" t="s">
        <v>76</v>
      </c>
      <c r="BC342" s="5">
        <v>3.76</v>
      </c>
      <c r="BD342" s="5">
        <v>142</v>
      </c>
      <c r="BE342" s="5">
        <v>0.66</v>
      </c>
      <c r="BF342" s="5">
        <v>3.18</v>
      </c>
      <c r="BG342" s="15">
        <v>36.6</v>
      </c>
      <c r="BH342" s="5">
        <v>74</v>
      </c>
      <c r="BI342" s="5">
        <v>74</v>
      </c>
      <c r="BJ342" s="5">
        <v>20</v>
      </c>
      <c r="BK342" s="5">
        <v>167</v>
      </c>
      <c r="BL342" s="5">
        <v>98</v>
      </c>
      <c r="BM342" s="5">
        <v>75</v>
      </c>
      <c r="BN342" s="5">
        <v>175</v>
      </c>
      <c r="BO342" s="5">
        <f t="shared" si="5"/>
        <v>24.4897959183673</v>
      </c>
      <c r="BP342" s="5" t="s">
        <v>156</v>
      </c>
      <c r="BQ342" s="5">
        <v>5.4</v>
      </c>
      <c r="BR342" s="5">
        <v>3387</v>
      </c>
    </row>
    <row r="343" s="1" customFormat="1" spans="1:70">
      <c r="A343" s="1">
        <v>3497535</v>
      </c>
      <c r="B343" s="1" t="s">
        <v>1125</v>
      </c>
      <c r="D343" s="4">
        <v>45264</v>
      </c>
      <c r="E343" s="4">
        <v>45275</v>
      </c>
      <c r="F343" s="7">
        <v>15995</v>
      </c>
      <c r="G343" s="1">
        <v>44</v>
      </c>
      <c r="H343" s="1">
        <v>10</v>
      </c>
      <c r="I343" s="1">
        <v>46</v>
      </c>
      <c r="J343" s="1">
        <v>10</v>
      </c>
      <c r="K343" s="1">
        <v>51</v>
      </c>
      <c r="L343" s="1">
        <v>26</v>
      </c>
      <c r="N343" s="10">
        <v>28</v>
      </c>
      <c r="O343" s="7">
        <v>15995</v>
      </c>
      <c r="P343" s="4">
        <v>45264</v>
      </c>
      <c r="Q343" s="4">
        <v>45275</v>
      </c>
      <c r="R343" s="1" t="s">
        <v>73</v>
      </c>
      <c r="AO343" s="7">
        <v>15995</v>
      </c>
      <c r="AP343" s="5">
        <v>939</v>
      </c>
      <c r="AQ343" s="5">
        <v>88</v>
      </c>
      <c r="AR343" s="5">
        <v>28.2</v>
      </c>
      <c r="AS343" s="5">
        <v>40.9</v>
      </c>
      <c r="AT343" s="5">
        <v>85</v>
      </c>
      <c r="AU343" s="5">
        <v>95</v>
      </c>
      <c r="AV343" s="5">
        <v>38.4</v>
      </c>
      <c r="AW343" s="5">
        <v>9.69</v>
      </c>
      <c r="AX343" s="5">
        <v>89</v>
      </c>
      <c r="AY343" s="5">
        <v>75.48</v>
      </c>
      <c r="AZ343" s="5" t="s">
        <v>75</v>
      </c>
      <c r="BA343" s="5">
        <v>3.8</v>
      </c>
      <c r="BB343" s="12" t="s">
        <v>76</v>
      </c>
      <c r="BC343" s="5">
        <v>5.86</v>
      </c>
      <c r="BD343" s="5">
        <v>88</v>
      </c>
      <c r="BE343" s="5">
        <v>0.78</v>
      </c>
      <c r="BF343" s="5">
        <v>2.51</v>
      </c>
      <c r="BG343" s="15">
        <v>36</v>
      </c>
      <c r="BH343" s="5">
        <v>100</v>
      </c>
      <c r="BI343" s="5">
        <v>100</v>
      </c>
      <c r="BJ343" s="5">
        <v>16</v>
      </c>
      <c r="BK343" s="5">
        <v>124</v>
      </c>
      <c r="BL343" s="5">
        <v>83</v>
      </c>
      <c r="BM343" s="5">
        <v>51</v>
      </c>
      <c r="BN343" s="5">
        <v>154</v>
      </c>
      <c r="BO343" s="5">
        <f t="shared" si="5"/>
        <v>21.5044695564176</v>
      </c>
      <c r="BP343" s="5" t="s">
        <v>963</v>
      </c>
      <c r="BQ343" s="5">
        <v>9.6</v>
      </c>
      <c r="BR343" s="5" t="s">
        <v>118</v>
      </c>
    </row>
    <row r="344" s="1" customFormat="1" spans="1:70">
      <c r="A344" s="1" t="s">
        <v>1126</v>
      </c>
      <c r="B344" s="1" t="s">
        <v>1127</v>
      </c>
      <c r="D344" s="4">
        <v>44925</v>
      </c>
      <c r="E344" s="4">
        <v>44935</v>
      </c>
      <c r="F344" s="7">
        <v>16011</v>
      </c>
      <c r="G344" s="1">
        <v>39</v>
      </c>
      <c r="H344" s="1">
        <v>10</v>
      </c>
      <c r="I344" s="1">
        <v>49</v>
      </c>
      <c r="J344" s="1">
        <v>10</v>
      </c>
      <c r="K344" s="1">
        <v>58</v>
      </c>
      <c r="L344" s="1">
        <v>30</v>
      </c>
      <c r="M344" s="1">
        <v>0.83</v>
      </c>
      <c r="N344" s="1">
        <v>21.3</v>
      </c>
      <c r="O344" s="7">
        <v>16011</v>
      </c>
      <c r="P344" s="4">
        <v>44925</v>
      </c>
      <c r="Q344" s="4">
        <v>44935</v>
      </c>
      <c r="R344" s="1" t="s">
        <v>73</v>
      </c>
      <c r="S344" s="1">
        <v>79</v>
      </c>
      <c r="T344" s="1" t="s">
        <v>1128</v>
      </c>
      <c r="X344" s="1" t="s">
        <v>155</v>
      </c>
      <c r="Z344" s="1" t="s">
        <v>155</v>
      </c>
      <c r="AG344" s="1">
        <v>1</v>
      </c>
      <c r="AH344" s="1">
        <v>1</v>
      </c>
      <c r="AJ344" s="1">
        <v>1</v>
      </c>
      <c r="AM344" s="1">
        <v>1</v>
      </c>
      <c r="AO344" s="7">
        <v>16011</v>
      </c>
      <c r="AP344" s="5" t="s">
        <v>1129</v>
      </c>
      <c r="AQ344" s="5" t="s">
        <v>295</v>
      </c>
      <c r="AR344" s="5" t="s">
        <v>1130</v>
      </c>
      <c r="AS344" s="5" t="s">
        <v>1131</v>
      </c>
      <c r="AT344" s="5" t="s">
        <v>319</v>
      </c>
      <c r="AU344" s="5" t="s">
        <v>93</v>
      </c>
      <c r="AV344" s="5" t="s">
        <v>1132</v>
      </c>
      <c r="AW344" s="5" t="s">
        <v>1133</v>
      </c>
      <c r="AX344" s="5" t="s">
        <v>664</v>
      </c>
      <c r="AY344" s="5" t="s">
        <v>1134</v>
      </c>
      <c r="AZ344" s="5" t="s">
        <v>1135</v>
      </c>
      <c r="BA344" s="5" t="s">
        <v>812</v>
      </c>
      <c r="BB344" s="12" t="s">
        <v>76</v>
      </c>
      <c r="BC344" s="5" t="s">
        <v>1136</v>
      </c>
      <c r="BD344" s="5" t="s">
        <v>295</v>
      </c>
      <c r="BE344" s="5" t="s">
        <v>1051</v>
      </c>
      <c r="BF344" s="5" t="s">
        <v>1137</v>
      </c>
      <c r="BG344" s="15">
        <v>36.9</v>
      </c>
      <c r="BH344" s="5" t="s">
        <v>468</v>
      </c>
      <c r="BI344" s="5" t="s">
        <v>468</v>
      </c>
      <c r="BJ344" s="5" t="s">
        <v>293</v>
      </c>
      <c r="BK344" s="5" t="s">
        <v>1113</v>
      </c>
      <c r="BL344" s="5" t="s">
        <v>391</v>
      </c>
      <c r="BM344" s="5" t="s">
        <v>422</v>
      </c>
      <c r="BN344" s="5">
        <v>158</v>
      </c>
      <c r="BO344" s="5">
        <f t="shared" si="5"/>
        <v>18.0259573786252</v>
      </c>
      <c r="BP344" s="5" t="s">
        <v>501</v>
      </c>
      <c r="BQ344" s="5" t="s">
        <v>1138</v>
      </c>
      <c r="BR344" s="5">
        <v>5621</v>
      </c>
    </row>
    <row r="345" s="1" customFormat="1" spans="1:70">
      <c r="A345" s="1">
        <v>3295392</v>
      </c>
      <c r="B345" s="1" t="s">
        <v>1139</v>
      </c>
      <c r="D345" s="4">
        <v>44985</v>
      </c>
      <c r="E345" s="4">
        <v>44994</v>
      </c>
      <c r="F345" s="7">
        <v>16041</v>
      </c>
      <c r="G345" s="1">
        <v>39</v>
      </c>
      <c r="H345" s="1">
        <v>9</v>
      </c>
      <c r="I345" s="1">
        <v>46</v>
      </c>
      <c r="J345" s="1">
        <v>9</v>
      </c>
      <c r="K345" s="1">
        <v>53</v>
      </c>
      <c r="L345" s="1">
        <v>27</v>
      </c>
      <c r="M345" s="1">
        <v>2.36</v>
      </c>
      <c r="N345" s="1">
        <v>17</v>
      </c>
      <c r="O345" s="7">
        <v>16041</v>
      </c>
      <c r="P345" s="4">
        <v>44985</v>
      </c>
      <c r="Q345" s="4">
        <v>44994</v>
      </c>
      <c r="R345" s="1" t="s">
        <v>73</v>
      </c>
      <c r="AO345" s="7">
        <v>16041</v>
      </c>
      <c r="AP345" s="5">
        <v>8.6</v>
      </c>
      <c r="AQ345" s="5">
        <v>95</v>
      </c>
      <c r="AR345" s="5">
        <v>37.4</v>
      </c>
      <c r="AS345" s="5">
        <v>9.4</v>
      </c>
      <c r="AT345" s="5">
        <v>89</v>
      </c>
      <c r="AU345" s="5">
        <v>79</v>
      </c>
      <c r="AV345" s="5">
        <v>41.1</v>
      </c>
      <c r="AW345" s="5">
        <v>8.32</v>
      </c>
      <c r="AX345" s="5">
        <v>67</v>
      </c>
      <c r="AY345" s="5">
        <v>98.31</v>
      </c>
      <c r="AZ345" s="5" t="s">
        <v>75</v>
      </c>
      <c r="BA345" s="5">
        <v>3.64</v>
      </c>
      <c r="BB345" s="12" t="s">
        <v>76</v>
      </c>
      <c r="BC345" s="5">
        <v>4.69</v>
      </c>
      <c r="BD345" s="5">
        <v>95</v>
      </c>
      <c r="BE345" s="5">
        <v>1.07</v>
      </c>
      <c r="BF345" s="5">
        <v>2.09</v>
      </c>
      <c r="BG345" s="15">
        <v>37</v>
      </c>
      <c r="BH345" s="5">
        <v>66</v>
      </c>
      <c r="BI345" s="5">
        <v>66</v>
      </c>
      <c r="BJ345" s="5">
        <v>20</v>
      </c>
      <c r="BK345" s="5">
        <v>123</v>
      </c>
      <c r="BL345" s="5">
        <v>68</v>
      </c>
      <c r="BM345" s="5">
        <v>50</v>
      </c>
      <c r="BN345" s="5">
        <v>160</v>
      </c>
      <c r="BO345" s="5">
        <f t="shared" si="5"/>
        <v>19.53125</v>
      </c>
      <c r="BP345" s="5" t="s">
        <v>323</v>
      </c>
      <c r="BQ345" s="5">
        <v>5.3</v>
      </c>
      <c r="BR345" s="5">
        <v>3432.83</v>
      </c>
    </row>
    <row r="346" s="1" customFormat="1" spans="1:70">
      <c r="A346" s="1">
        <v>3249001</v>
      </c>
      <c r="B346" s="1" t="s">
        <v>1140</v>
      </c>
      <c r="C346" s="1"/>
      <c r="D346" s="4">
        <v>44899</v>
      </c>
      <c r="E346" s="4">
        <v>44907</v>
      </c>
      <c r="F346" s="7">
        <v>16044</v>
      </c>
      <c r="G346" s="1">
        <v>51</v>
      </c>
      <c r="H346" s="1">
        <v>10</v>
      </c>
      <c r="I346" s="1">
        <v>62</v>
      </c>
      <c r="J346" s="1">
        <v>10</v>
      </c>
      <c r="K346" s="1">
        <v>40</v>
      </c>
      <c r="L346" s="1">
        <v>20</v>
      </c>
      <c r="N346" s="1">
        <v>0.1</v>
      </c>
      <c r="O346" s="7">
        <v>16044</v>
      </c>
      <c r="P346" s="4">
        <v>44899</v>
      </c>
      <c r="Q346" s="4">
        <v>44907</v>
      </c>
      <c r="R346" s="1" t="s">
        <v>80</v>
      </c>
      <c r="AO346" s="7">
        <v>16044</v>
      </c>
      <c r="AP346" s="5">
        <v>8.7</v>
      </c>
      <c r="AQ346" s="5">
        <v>127</v>
      </c>
      <c r="AR346" s="5">
        <v>39.6</v>
      </c>
      <c r="AS346" s="5">
        <v>56.3</v>
      </c>
      <c r="AT346" s="5">
        <v>24</v>
      </c>
      <c r="AU346" s="5" t="s">
        <v>76</v>
      </c>
      <c r="AV346" s="5" t="s">
        <v>76</v>
      </c>
      <c r="AW346" s="5" t="s">
        <v>76</v>
      </c>
      <c r="AX346" s="5" t="s">
        <v>76</v>
      </c>
      <c r="AY346" s="5" t="s">
        <v>76</v>
      </c>
      <c r="AZ346" s="5">
        <v>5.17</v>
      </c>
      <c r="BA346" s="5">
        <v>3.31</v>
      </c>
      <c r="BB346" s="12" t="s">
        <v>76</v>
      </c>
      <c r="BC346" s="5" t="s">
        <v>76</v>
      </c>
      <c r="BD346" s="5">
        <v>127</v>
      </c>
      <c r="BE346" s="5">
        <v>1.17</v>
      </c>
      <c r="BF346" s="5">
        <v>1.68</v>
      </c>
      <c r="BG346" s="15">
        <v>36.2</v>
      </c>
      <c r="BH346" s="5">
        <v>63</v>
      </c>
      <c r="BI346" s="5">
        <v>63</v>
      </c>
      <c r="BJ346" s="5">
        <v>15</v>
      </c>
      <c r="BK346" s="5">
        <v>168</v>
      </c>
      <c r="BL346" s="5">
        <v>92</v>
      </c>
      <c r="BM346" s="5">
        <v>70</v>
      </c>
      <c r="BN346" s="5">
        <v>173</v>
      </c>
      <c r="BO346" s="5">
        <f t="shared" si="5"/>
        <v>23.3886865581877</v>
      </c>
      <c r="BP346" s="5" t="s">
        <v>161</v>
      </c>
      <c r="BQ346" s="5">
        <v>5.8</v>
      </c>
      <c r="BR346" s="5">
        <v>8036</v>
      </c>
    </row>
    <row r="347" s="1" customFormat="1" spans="1:70">
      <c r="A347" s="1" t="s">
        <v>1141</v>
      </c>
      <c r="B347" s="1" t="s">
        <v>1142</v>
      </c>
      <c r="D347" s="4">
        <v>44984</v>
      </c>
      <c r="E347" s="4">
        <v>44995</v>
      </c>
      <c r="F347" s="7">
        <v>16048</v>
      </c>
      <c r="G347" s="1">
        <v>36</v>
      </c>
      <c r="H347" s="1">
        <v>10</v>
      </c>
      <c r="I347" s="1">
        <v>47</v>
      </c>
      <c r="J347" s="1">
        <v>9</v>
      </c>
      <c r="K347" s="1">
        <v>60</v>
      </c>
      <c r="L347" s="1">
        <v>32</v>
      </c>
      <c r="M347" s="1">
        <v>0.76</v>
      </c>
      <c r="N347" s="1">
        <v>11.5</v>
      </c>
      <c r="O347" s="7">
        <v>16048</v>
      </c>
      <c r="P347" s="4">
        <v>44984</v>
      </c>
      <c r="Q347" s="4">
        <v>44995</v>
      </c>
      <c r="R347" s="1" t="s">
        <v>73</v>
      </c>
      <c r="AO347" s="7">
        <v>16048</v>
      </c>
      <c r="AP347" s="5" t="s">
        <v>306</v>
      </c>
      <c r="AQ347" s="5" t="s">
        <v>290</v>
      </c>
      <c r="AR347" s="5" t="s">
        <v>1143</v>
      </c>
      <c r="AS347" s="5" t="s">
        <v>1132</v>
      </c>
      <c r="AT347" s="5" t="s">
        <v>293</v>
      </c>
      <c r="AU347" s="5" t="s">
        <v>93</v>
      </c>
      <c r="AV347" s="5" t="s">
        <v>1144</v>
      </c>
      <c r="AW347" s="5" t="s">
        <v>1145</v>
      </c>
      <c r="AX347" s="5" t="s">
        <v>772</v>
      </c>
      <c r="AY347" s="5" t="s">
        <v>76</v>
      </c>
      <c r="AZ347" s="5" t="s">
        <v>1146</v>
      </c>
      <c r="BA347" s="5" t="s">
        <v>76</v>
      </c>
      <c r="BB347" s="12" t="s">
        <v>76</v>
      </c>
      <c r="BC347" s="5" t="s">
        <v>1147</v>
      </c>
      <c r="BD347" s="5" t="s">
        <v>290</v>
      </c>
      <c r="BE347" s="5" t="s">
        <v>76</v>
      </c>
      <c r="BF347" s="5" t="s">
        <v>76</v>
      </c>
      <c r="BG347" s="15">
        <v>36.8</v>
      </c>
      <c r="BH347" s="5" t="s">
        <v>89</v>
      </c>
      <c r="BI347" s="5" t="s">
        <v>89</v>
      </c>
      <c r="BJ347" s="5" t="s">
        <v>101</v>
      </c>
      <c r="BK347" s="5" t="s">
        <v>664</v>
      </c>
      <c r="BL347" s="5" t="s">
        <v>318</v>
      </c>
      <c r="BM347" s="5" t="s">
        <v>215</v>
      </c>
      <c r="BN347" s="5">
        <v>165</v>
      </c>
      <c r="BO347" s="5">
        <f t="shared" si="5"/>
        <v>22.038567493113</v>
      </c>
      <c r="BP347" s="5" t="s">
        <v>986</v>
      </c>
      <c r="BQ347" s="5" t="s">
        <v>76</v>
      </c>
      <c r="BR347" s="5">
        <v>2387</v>
      </c>
    </row>
    <row r="348" s="1" customFormat="1" spans="1:70">
      <c r="A348" s="1">
        <v>3335245</v>
      </c>
      <c r="B348" s="1" t="s">
        <v>1148</v>
      </c>
      <c r="D348" s="4">
        <v>45040</v>
      </c>
      <c r="E348" s="4">
        <v>45043</v>
      </c>
      <c r="F348" s="7">
        <v>16052</v>
      </c>
      <c r="G348" s="1">
        <v>37</v>
      </c>
      <c r="H348" s="1">
        <v>10</v>
      </c>
      <c r="I348" s="1">
        <v>48</v>
      </c>
      <c r="J348" s="1">
        <v>10</v>
      </c>
      <c r="K348" s="1">
        <v>58</v>
      </c>
      <c r="L348" s="1">
        <v>31</v>
      </c>
      <c r="M348" s="1">
        <v>0.91</v>
      </c>
      <c r="N348" s="1">
        <v>19.3</v>
      </c>
      <c r="O348" s="7">
        <v>16052</v>
      </c>
      <c r="P348" s="4">
        <v>45040</v>
      </c>
      <c r="Q348" s="4">
        <v>45043</v>
      </c>
      <c r="R348" s="1" t="s">
        <v>80</v>
      </c>
      <c r="AO348" s="7">
        <v>16052</v>
      </c>
      <c r="AP348" s="5">
        <v>6.1</v>
      </c>
      <c r="AQ348" s="5">
        <v>72</v>
      </c>
      <c r="AR348" s="5">
        <v>21.9</v>
      </c>
      <c r="AS348" s="5" t="s">
        <v>76</v>
      </c>
      <c r="AT348" s="5">
        <v>22</v>
      </c>
      <c r="AU348" s="5">
        <v>19</v>
      </c>
      <c r="AV348" s="5">
        <v>35.3</v>
      </c>
      <c r="AW348" s="5">
        <v>14.37</v>
      </c>
      <c r="AX348" s="5">
        <v>146</v>
      </c>
      <c r="AY348" s="5">
        <v>42.94</v>
      </c>
      <c r="AZ348" s="5" t="s">
        <v>75</v>
      </c>
      <c r="BA348" s="5">
        <v>3.85</v>
      </c>
      <c r="BB348" s="12" t="s">
        <v>76</v>
      </c>
      <c r="BC348" s="5">
        <v>4.55</v>
      </c>
      <c r="BD348" s="5">
        <v>72</v>
      </c>
      <c r="BE348" s="5">
        <v>1.01</v>
      </c>
      <c r="BF348" s="5">
        <v>1.93</v>
      </c>
      <c r="BG348" s="15">
        <v>36.2</v>
      </c>
      <c r="BH348" s="5">
        <v>90</v>
      </c>
      <c r="BI348" s="5">
        <v>90</v>
      </c>
      <c r="BJ348" s="5">
        <v>18</v>
      </c>
      <c r="BK348" s="5">
        <v>152</v>
      </c>
      <c r="BL348" s="5">
        <v>74</v>
      </c>
      <c r="BM348" s="5" t="s">
        <v>77</v>
      </c>
      <c r="BN348" s="5">
        <v>167</v>
      </c>
      <c r="BO348" s="5" t="e">
        <f t="shared" si="5"/>
        <v>#VALUE!</v>
      </c>
      <c r="BP348" s="5" t="s">
        <v>588</v>
      </c>
      <c r="BQ348" s="5">
        <v>6</v>
      </c>
      <c r="BR348" s="5">
        <v>8432</v>
      </c>
    </row>
    <row r="349" s="1" customFormat="1" spans="1:70">
      <c r="A349" s="1">
        <v>3266555</v>
      </c>
      <c r="B349" s="1" t="s">
        <v>1149</v>
      </c>
      <c r="D349" s="4">
        <v>44939</v>
      </c>
      <c r="E349" s="4">
        <v>44947</v>
      </c>
      <c r="F349" s="7">
        <v>16053</v>
      </c>
      <c r="G349" s="1">
        <v>45</v>
      </c>
      <c r="H349" s="1">
        <v>10</v>
      </c>
      <c r="I349" s="1">
        <v>47</v>
      </c>
      <c r="J349" s="1">
        <v>10</v>
      </c>
      <c r="K349" s="1">
        <v>52</v>
      </c>
      <c r="L349" s="1">
        <v>27</v>
      </c>
      <c r="O349" s="7">
        <v>16053</v>
      </c>
      <c r="P349" s="4">
        <v>44939</v>
      </c>
      <c r="Q349" s="4">
        <v>44947</v>
      </c>
      <c r="R349" s="1" t="s">
        <v>73</v>
      </c>
      <c r="AO349" s="7">
        <v>16053</v>
      </c>
      <c r="AP349" s="5">
        <v>99.7</v>
      </c>
      <c r="AQ349" s="5">
        <v>93</v>
      </c>
      <c r="AR349" s="5">
        <v>31</v>
      </c>
      <c r="AS349" s="5">
        <v>9.1</v>
      </c>
      <c r="AT349" s="5">
        <v>50</v>
      </c>
      <c r="AU349" s="5">
        <v>48</v>
      </c>
      <c r="AV349" s="5">
        <v>32</v>
      </c>
      <c r="AW349" s="5">
        <v>18.73</v>
      </c>
      <c r="AX349" s="5">
        <v>138</v>
      </c>
      <c r="AY349" s="5">
        <v>38.83</v>
      </c>
      <c r="AZ349" s="5" t="s">
        <v>75</v>
      </c>
      <c r="BA349" s="5">
        <v>2.32</v>
      </c>
      <c r="BB349" s="12" t="s">
        <v>76</v>
      </c>
      <c r="BC349" s="5">
        <v>5.92</v>
      </c>
      <c r="BD349" s="5">
        <v>93</v>
      </c>
      <c r="BE349" s="5">
        <v>0.85</v>
      </c>
      <c r="BF349" s="5">
        <v>1.29</v>
      </c>
      <c r="BG349" s="15">
        <v>36.3</v>
      </c>
      <c r="BH349" s="5">
        <v>70</v>
      </c>
      <c r="BI349" s="5">
        <v>70</v>
      </c>
      <c r="BJ349" s="5">
        <v>20</v>
      </c>
      <c r="BK349" s="5">
        <v>120</v>
      </c>
      <c r="BL349" s="5">
        <v>70</v>
      </c>
      <c r="BM349" s="5">
        <v>60</v>
      </c>
      <c r="BN349" s="5">
        <v>160</v>
      </c>
      <c r="BO349" s="5">
        <f t="shared" si="5"/>
        <v>23.4375</v>
      </c>
      <c r="BP349" s="5" t="s">
        <v>83</v>
      </c>
      <c r="BQ349" s="5">
        <v>5.7</v>
      </c>
      <c r="BR349" s="5">
        <v>8632</v>
      </c>
    </row>
    <row r="350" s="1" customFormat="1" spans="1:70">
      <c r="A350" s="1">
        <v>3320875</v>
      </c>
      <c r="B350" s="1" t="s">
        <v>1150</v>
      </c>
      <c r="D350" s="4">
        <v>45019</v>
      </c>
      <c r="E350" s="4">
        <v>45038</v>
      </c>
      <c r="F350" s="7">
        <v>16054</v>
      </c>
      <c r="G350" s="1">
        <v>47</v>
      </c>
      <c r="H350" s="1">
        <v>10</v>
      </c>
      <c r="I350" s="1">
        <v>51</v>
      </c>
      <c r="J350" s="1">
        <v>10</v>
      </c>
      <c r="K350" s="1">
        <v>67</v>
      </c>
      <c r="L350" s="1">
        <v>37</v>
      </c>
      <c r="O350" s="7">
        <v>16054</v>
      </c>
      <c r="P350" s="4">
        <v>45019</v>
      </c>
      <c r="Q350" s="4">
        <v>45038</v>
      </c>
      <c r="R350" s="1" t="s">
        <v>80</v>
      </c>
      <c r="AO350" s="7">
        <v>16054</v>
      </c>
      <c r="AP350" s="5">
        <v>948.4</v>
      </c>
      <c r="AQ350" s="5">
        <v>91</v>
      </c>
      <c r="AR350" s="5">
        <v>31.4</v>
      </c>
      <c r="AS350" s="5">
        <v>90.1</v>
      </c>
      <c r="AT350" s="5">
        <v>9</v>
      </c>
      <c r="AU350" s="5" t="s">
        <v>171</v>
      </c>
      <c r="AV350" s="5">
        <v>40.1</v>
      </c>
      <c r="AW350" s="5">
        <v>34</v>
      </c>
      <c r="AX350" s="5">
        <v>391</v>
      </c>
      <c r="AY350" s="5">
        <v>18.63</v>
      </c>
      <c r="AZ350" s="5" t="s">
        <v>75</v>
      </c>
      <c r="BA350" s="5" t="s">
        <v>76</v>
      </c>
      <c r="BB350" s="12" t="s">
        <v>76</v>
      </c>
      <c r="BC350" s="5">
        <v>4.22</v>
      </c>
      <c r="BD350" s="5">
        <v>91</v>
      </c>
      <c r="BE350" s="5" t="s">
        <v>76</v>
      </c>
      <c r="BF350" s="5" t="s">
        <v>76</v>
      </c>
      <c r="BG350" s="15">
        <v>36</v>
      </c>
      <c r="BH350" s="5">
        <v>100</v>
      </c>
      <c r="BI350" s="5">
        <v>100</v>
      </c>
      <c r="BJ350" s="5">
        <v>17</v>
      </c>
      <c r="BK350" s="5">
        <v>167</v>
      </c>
      <c r="BL350" s="5">
        <v>97</v>
      </c>
      <c r="BM350" s="5">
        <v>70</v>
      </c>
      <c r="BN350" s="5">
        <v>173</v>
      </c>
      <c r="BO350" s="5">
        <f t="shared" si="5"/>
        <v>23.3886865581877</v>
      </c>
      <c r="BP350" s="5" t="s">
        <v>394</v>
      </c>
      <c r="BQ350" s="5">
        <v>5.8</v>
      </c>
      <c r="BR350" s="5">
        <v>7335</v>
      </c>
    </row>
    <row r="351" s="1" customFormat="1" spans="1:70">
      <c r="A351" s="1">
        <v>3331466</v>
      </c>
      <c r="B351" s="1" t="s">
        <v>1151</v>
      </c>
      <c r="D351" s="4">
        <v>45034</v>
      </c>
      <c r="E351" s="4">
        <v>45044</v>
      </c>
      <c r="F351" s="7">
        <v>16060</v>
      </c>
      <c r="G351" s="1">
        <v>34</v>
      </c>
      <c r="H351" s="1">
        <v>9</v>
      </c>
      <c r="I351" s="1">
        <v>49</v>
      </c>
      <c r="J351" s="1">
        <v>9</v>
      </c>
      <c r="K351" s="1">
        <v>38</v>
      </c>
      <c r="L351" s="1">
        <v>19</v>
      </c>
      <c r="M351" s="1">
        <v>0.67</v>
      </c>
      <c r="N351" s="1">
        <v>17.9</v>
      </c>
      <c r="O351" s="7">
        <v>16060</v>
      </c>
      <c r="P351" s="4">
        <v>45034</v>
      </c>
      <c r="Q351" s="4">
        <v>45044</v>
      </c>
      <c r="R351" s="1" t="s">
        <v>73</v>
      </c>
      <c r="AO351" s="7">
        <v>16060</v>
      </c>
      <c r="AP351" s="5">
        <v>9.9</v>
      </c>
      <c r="AQ351" s="5">
        <v>96</v>
      </c>
      <c r="AR351" s="5">
        <v>32.2</v>
      </c>
      <c r="AS351" s="5">
        <v>9.4</v>
      </c>
      <c r="AT351" s="5">
        <v>78</v>
      </c>
      <c r="AU351" s="5">
        <v>49</v>
      </c>
      <c r="AV351" s="5">
        <v>39.1</v>
      </c>
      <c r="AW351" s="5">
        <v>8.73</v>
      </c>
      <c r="AX351" s="5">
        <v>77</v>
      </c>
      <c r="AY351" s="5" t="s">
        <v>125</v>
      </c>
      <c r="AZ351" s="5">
        <v>8.8</v>
      </c>
      <c r="BA351" s="5" t="s">
        <v>76</v>
      </c>
      <c r="BB351" s="12" t="s">
        <v>76</v>
      </c>
      <c r="BC351" s="5">
        <v>4.83</v>
      </c>
      <c r="BD351" s="5">
        <v>96</v>
      </c>
      <c r="BE351" s="5" t="s">
        <v>76</v>
      </c>
      <c r="BF351" s="5" t="s">
        <v>76</v>
      </c>
      <c r="BG351" s="15">
        <v>36.5</v>
      </c>
      <c r="BH351" s="5" t="s">
        <v>76</v>
      </c>
      <c r="BI351" s="5">
        <v>103</v>
      </c>
      <c r="BJ351" s="5">
        <v>28</v>
      </c>
      <c r="BK351" s="5">
        <v>151</v>
      </c>
      <c r="BL351" s="5">
        <v>89</v>
      </c>
      <c r="BM351" s="5" t="s">
        <v>76</v>
      </c>
      <c r="BN351" s="5" t="s">
        <v>76</v>
      </c>
      <c r="BO351" s="5" t="e">
        <f t="shared" si="5"/>
        <v>#VALUE!</v>
      </c>
      <c r="BP351" s="5" t="s">
        <v>174</v>
      </c>
      <c r="BQ351" s="5">
        <v>7.9</v>
      </c>
      <c r="BR351" s="5">
        <v>8802</v>
      </c>
    </row>
    <row r="352" s="1" customFormat="1" spans="1:70">
      <c r="A352" s="1">
        <v>3256477</v>
      </c>
      <c r="B352" s="1" t="s">
        <v>1152</v>
      </c>
      <c r="D352" s="4">
        <v>44922</v>
      </c>
      <c r="E352" s="4">
        <v>44940</v>
      </c>
      <c r="F352" s="7">
        <v>16089</v>
      </c>
      <c r="G352" s="1">
        <v>50</v>
      </c>
      <c r="H352" s="1">
        <v>11</v>
      </c>
      <c r="I352" s="1">
        <v>52</v>
      </c>
      <c r="J352" s="1">
        <v>10</v>
      </c>
      <c r="K352" s="1">
        <v>50</v>
      </c>
      <c r="L352" s="1">
        <v>25</v>
      </c>
      <c r="M352" s="1">
        <v>1.05</v>
      </c>
      <c r="N352" s="1">
        <v>31.5</v>
      </c>
      <c r="O352" s="7">
        <v>16089</v>
      </c>
      <c r="P352" s="4">
        <v>44922</v>
      </c>
      <c r="Q352" s="4">
        <v>44940</v>
      </c>
      <c r="R352" s="1" t="s">
        <v>73</v>
      </c>
      <c r="S352" s="1">
        <v>78</v>
      </c>
      <c r="T352" s="1" t="s">
        <v>1153</v>
      </c>
      <c r="V352" s="1" t="s">
        <v>155</v>
      </c>
      <c r="Z352" s="1" t="s">
        <v>155</v>
      </c>
      <c r="AA352" s="1" t="s">
        <v>155</v>
      </c>
      <c r="AG352" s="1">
        <v>1</v>
      </c>
      <c r="AH352" s="1">
        <v>1</v>
      </c>
      <c r="AI352" s="1">
        <v>1</v>
      </c>
      <c r="AM352" s="1">
        <v>1</v>
      </c>
      <c r="AN352" s="1">
        <v>1</v>
      </c>
      <c r="AO352" s="7">
        <v>16089</v>
      </c>
      <c r="AP352" s="5">
        <v>6.3</v>
      </c>
      <c r="AQ352" s="5">
        <v>69</v>
      </c>
      <c r="AR352" s="5">
        <v>23.7</v>
      </c>
      <c r="AS352" s="5">
        <v>63.2</v>
      </c>
      <c r="AT352" s="5">
        <v>29</v>
      </c>
      <c r="AU352" s="5">
        <v>52</v>
      </c>
      <c r="AV352" s="5">
        <v>28.2</v>
      </c>
      <c r="AW352" s="5">
        <v>8.4</v>
      </c>
      <c r="AX352" s="5">
        <v>165</v>
      </c>
      <c r="AY352" s="5">
        <v>35.89</v>
      </c>
      <c r="AZ352" s="5">
        <v>4.68</v>
      </c>
      <c r="BA352" s="5">
        <v>3.46</v>
      </c>
      <c r="BB352" s="12" t="s">
        <v>76</v>
      </c>
      <c r="BC352" s="5">
        <v>5.19</v>
      </c>
      <c r="BD352" s="5">
        <v>69</v>
      </c>
      <c r="BE352" s="5">
        <v>0.74</v>
      </c>
      <c r="BF352" s="5">
        <v>2.14</v>
      </c>
      <c r="BG352" s="15">
        <v>36.7</v>
      </c>
      <c r="BH352" s="5">
        <v>77</v>
      </c>
      <c r="BI352" s="5">
        <v>77</v>
      </c>
      <c r="BJ352" s="5">
        <v>18</v>
      </c>
      <c r="BK352" s="5">
        <v>139</v>
      </c>
      <c r="BL352" s="5">
        <v>83</v>
      </c>
      <c r="BM352" s="5">
        <v>48</v>
      </c>
      <c r="BN352" s="5">
        <v>160</v>
      </c>
      <c r="BO352" s="5">
        <f t="shared" si="5"/>
        <v>18.75</v>
      </c>
      <c r="BP352" s="5" t="s">
        <v>78</v>
      </c>
      <c r="BQ352" s="5">
        <v>5.9</v>
      </c>
      <c r="BR352" s="5">
        <v>32560</v>
      </c>
    </row>
    <row r="353" s="1" customFormat="1" spans="1:70">
      <c r="A353" s="1">
        <v>3320381</v>
      </c>
      <c r="B353" s="1" t="s">
        <v>1154</v>
      </c>
      <c r="C353" s="1">
        <v>1</v>
      </c>
      <c r="D353" s="4">
        <v>45019</v>
      </c>
      <c r="E353" s="4">
        <v>45033</v>
      </c>
      <c r="F353" s="7">
        <v>16099</v>
      </c>
      <c r="G353" s="1">
        <v>49</v>
      </c>
      <c r="H353" s="1">
        <v>9</v>
      </c>
      <c r="I353" s="1">
        <v>66</v>
      </c>
      <c r="J353" s="1">
        <v>8</v>
      </c>
      <c r="K353" s="1">
        <v>33</v>
      </c>
      <c r="L353" s="1">
        <v>17</v>
      </c>
      <c r="M353" s="1">
        <v>1.24</v>
      </c>
      <c r="N353" s="1">
        <v>17.7</v>
      </c>
      <c r="O353" s="7">
        <v>16099</v>
      </c>
      <c r="P353" s="4">
        <v>45019</v>
      </c>
      <c r="Q353" s="4">
        <v>45033</v>
      </c>
      <c r="R353" s="1" t="s">
        <v>73</v>
      </c>
      <c r="AO353" s="7">
        <v>16099</v>
      </c>
      <c r="AP353" s="5">
        <v>7.4</v>
      </c>
      <c r="AQ353" s="5">
        <v>97</v>
      </c>
      <c r="AR353" s="5">
        <v>39</v>
      </c>
      <c r="AS353" s="5">
        <v>9.2</v>
      </c>
      <c r="AT353" s="5">
        <v>21</v>
      </c>
      <c r="AU353" s="5">
        <v>9</v>
      </c>
      <c r="AV353" s="5">
        <v>38.3</v>
      </c>
      <c r="AW353" s="5">
        <v>9.87</v>
      </c>
      <c r="AX353" s="5">
        <v>75</v>
      </c>
      <c r="AY353" s="5">
        <v>81.07</v>
      </c>
      <c r="AZ353" s="5">
        <v>8.01</v>
      </c>
      <c r="BA353" s="5">
        <v>2.52</v>
      </c>
      <c r="BB353" s="12" t="s">
        <v>76</v>
      </c>
      <c r="BC353" s="5">
        <v>4.94</v>
      </c>
      <c r="BD353" s="5">
        <v>97</v>
      </c>
      <c r="BE353" s="5">
        <v>0.9</v>
      </c>
      <c r="BF353" s="5">
        <v>1.4</v>
      </c>
      <c r="BG353" s="15">
        <v>36.6</v>
      </c>
      <c r="BH353" s="5">
        <v>79</v>
      </c>
      <c r="BI353" s="5">
        <v>79</v>
      </c>
      <c r="BJ353" s="5">
        <v>17</v>
      </c>
      <c r="BK353" s="5">
        <v>86</v>
      </c>
      <c r="BL353" s="5">
        <v>65</v>
      </c>
      <c r="BM353" s="5">
        <v>50</v>
      </c>
      <c r="BN353" s="5">
        <v>150</v>
      </c>
      <c r="BO353" s="5">
        <f t="shared" si="5"/>
        <v>22.2222222222222</v>
      </c>
      <c r="BP353" s="5" t="s">
        <v>78</v>
      </c>
      <c r="BQ353" s="5">
        <v>7.6</v>
      </c>
      <c r="BR353" s="5" t="s">
        <v>1155</v>
      </c>
    </row>
    <row r="354" s="1" customFormat="1" spans="1:70">
      <c r="A354" s="1">
        <v>3314238</v>
      </c>
      <c r="B354" s="1" t="s">
        <v>1156</v>
      </c>
      <c r="D354" s="4">
        <v>45009</v>
      </c>
      <c r="E354" s="4">
        <v>45017</v>
      </c>
      <c r="F354" s="7">
        <v>16099</v>
      </c>
      <c r="G354" s="1">
        <v>36</v>
      </c>
      <c r="H354" s="1">
        <v>10</v>
      </c>
      <c r="I354" s="1">
        <v>51</v>
      </c>
      <c r="J354" s="1">
        <v>10</v>
      </c>
      <c r="K354" s="1">
        <v>45</v>
      </c>
      <c r="L354" s="1">
        <v>23</v>
      </c>
      <c r="M354" s="1">
        <v>0.58</v>
      </c>
      <c r="N354" s="1">
        <v>23.6</v>
      </c>
      <c r="O354" s="7">
        <v>16099</v>
      </c>
      <c r="P354" s="4">
        <v>45009</v>
      </c>
      <c r="Q354" s="4">
        <v>45017</v>
      </c>
      <c r="R354" s="1" t="s">
        <v>73</v>
      </c>
      <c r="AO354" s="7">
        <v>16099</v>
      </c>
      <c r="AP354" s="5">
        <v>8.6</v>
      </c>
      <c r="AQ354" s="5">
        <v>123</v>
      </c>
      <c r="AR354" s="5">
        <v>38</v>
      </c>
      <c r="AS354" s="5">
        <v>67.9</v>
      </c>
      <c r="AT354" s="5">
        <v>27</v>
      </c>
      <c r="AU354" s="5">
        <v>8</v>
      </c>
      <c r="AV354" s="5">
        <v>41.1</v>
      </c>
      <c r="AW354" s="5">
        <v>8.43</v>
      </c>
      <c r="AX354" s="5">
        <v>89</v>
      </c>
      <c r="AY354" s="5">
        <v>57.15</v>
      </c>
      <c r="AZ354" s="5">
        <v>7.47</v>
      </c>
      <c r="BA354" s="5">
        <v>5.46</v>
      </c>
      <c r="BB354" s="12" t="s">
        <v>76</v>
      </c>
      <c r="BC354" s="5">
        <v>4.87</v>
      </c>
      <c r="BD354" s="5">
        <v>123</v>
      </c>
      <c r="BE354" s="5">
        <v>1.12</v>
      </c>
      <c r="BF354" s="5">
        <v>3.94</v>
      </c>
      <c r="BG354" s="15">
        <v>36.2</v>
      </c>
      <c r="BH354" s="5">
        <v>89</v>
      </c>
      <c r="BI354" s="5">
        <v>89</v>
      </c>
      <c r="BJ354" s="5">
        <v>17</v>
      </c>
      <c r="BK354" s="5">
        <v>156</v>
      </c>
      <c r="BL354" s="5">
        <v>72</v>
      </c>
      <c r="BM354" s="5">
        <v>52</v>
      </c>
      <c r="BN354" s="5">
        <v>155</v>
      </c>
      <c r="BO354" s="5">
        <f t="shared" si="5"/>
        <v>21.6441207075963</v>
      </c>
      <c r="BP354" s="5" t="s">
        <v>323</v>
      </c>
      <c r="BQ354" s="5">
        <v>7.6</v>
      </c>
      <c r="BR354" s="5" t="s">
        <v>118</v>
      </c>
    </row>
    <row r="355" s="1" customFormat="1" spans="1:70">
      <c r="A355" s="1">
        <v>3311131</v>
      </c>
      <c r="B355" s="1" t="s">
        <v>1157</v>
      </c>
      <c r="D355" s="4">
        <v>45005</v>
      </c>
      <c r="E355" s="4">
        <v>45026</v>
      </c>
      <c r="F355" s="7">
        <v>16099</v>
      </c>
      <c r="G355" s="1">
        <v>33</v>
      </c>
      <c r="H355" s="1">
        <v>9</v>
      </c>
      <c r="I355" s="1">
        <v>41</v>
      </c>
      <c r="J355" s="1">
        <v>9</v>
      </c>
      <c r="K355" s="1">
        <v>65</v>
      </c>
      <c r="L355" s="1">
        <v>36</v>
      </c>
      <c r="M355" s="1">
        <v>1.22</v>
      </c>
      <c r="O355" s="7">
        <v>16099</v>
      </c>
      <c r="P355" s="4">
        <v>45005</v>
      </c>
      <c r="Q355" s="4">
        <v>45026</v>
      </c>
      <c r="R355" s="1" t="s">
        <v>80</v>
      </c>
      <c r="AO355" s="7">
        <v>16099</v>
      </c>
      <c r="AP355" s="5">
        <v>7.5</v>
      </c>
      <c r="AQ355" s="5">
        <v>79</v>
      </c>
      <c r="AR355" s="5">
        <v>28.7</v>
      </c>
      <c r="AS355" s="5">
        <v>73.5</v>
      </c>
      <c r="AT355" s="5">
        <v>25</v>
      </c>
      <c r="AU355" s="5">
        <v>9</v>
      </c>
      <c r="AV355" s="5">
        <v>30.1</v>
      </c>
      <c r="AW355" s="5">
        <v>8.88</v>
      </c>
      <c r="AX355" s="5">
        <v>62</v>
      </c>
      <c r="AY355" s="5" t="s">
        <v>125</v>
      </c>
      <c r="AZ355" s="5" t="s">
        <v>75</v>
      </c>
      <c r="BA355" s="5" t="s">
        <v>76</v>
      </c>
      <c r="BB355" s="12" t="s">
        <v>76</v>
      </c>
      <c r="BC355" s="5">
        <v>4.66</v>
      </c>
      <c r="BD355" s="5">
        <v>79</v>
      </c>
      <c r="BE355" s="5" t="s">
        <v>76</v>
      </c>
      <c r="BF355" s="5" t="s">
        <v>76</v>
      </c>
      <c r="BG355" s="15">
        <v>36.5</v>
      </c>
      <c r="BH355" s="5">
        <v>80</v>
      </c>
      <c r="BI355" s="5">
        <v>90</v>
      </c>
      <c r="BJ355" s="5">
        <v>28</v>
      </c>
      <c r="BK355" s="5">
        <v>149</v>
      </c>
      <c r="BL355" s="5">
        <v>99</v>
      </c>
      <c r="BM355" s="5" t="s">
        <v>77</v>
      </c>
      <c r="BN355" s="5" t="s">
        <v>77</v>
      </c>
      <c r="BO355" s="5" t="e">
        <f t="shared" si="5"/>
        <v>#VALUE!</v>
      </c>
      <c r="BP355" s="5" t="s">
        <v>83</v>
      </c>
      <c r="BQ355" s="5" t="s">
        <v>76</v>
      </c>
      <c r="BR355" s="5">
        <v>5890</v>
      </c>
    </row>
    <row r="356" s="1" customFormat="1" spans="1:70">
      <c r="A356" s="1" t="s">
        <v>1158</v>
      </c>
      <c r="B356" s="1" t="s">
        <v>1159</v>
      </c>
      <c r="D356" s="4">
        <v>45034</v>
      </c>
      <c r="E356" s="4">
        <v>45040</v>
      </c>
      <c r="F356" s="7">
        <v>16103</v>
      </c>
      <c r="G356" s="1">
        <v>44</v>
      </c>
      <c r="H356" s="1">
        <v>10</v>
      </c>
      <c r="I356" s="1">
        <v>49</v>
      </c>
      <c r="J356" s="1">
        <v>10</v>
      </c>
      <c r="K356" s="1">
        <v>50</v>
      </c>
      <c r="M356" s="1">
        <v>0.58</v>
      </c>
      <c r="N356" s="1">
        <v>8.9</v>
      </c>
      <c r="O356" s="7">
        <v>16103</v>
      </c>
      <c r="P356" s="4">
        <v>45034</v>
      </c>
      <c r="Q356" s="4">
        <v>45040</v>
      </c>
      <c r="R356" s="1" t="s">
        <v>73</v>
      </c>
      <c r="AO356" s="7">
        <v>16103</v>
      </c>
      <c r="AP356" s="5" t="s">
        <v>1160</v>
      </c>
      <c r="AQ356" s="5" t="s">
        <v>1161</v>
      </c>
      <c r="AR356" s="5" t="s">
        <v>1162</v>
      </c>
      <c r="AS356" s="5" t="s">
        <v>81</v>
      </c>
      <c r="AT356" s="5" t="s">
        <v>445</v>
      </c>
      <c r="AU356" s="5" t="s">
        <v>101</v>
      </c>
      <c r="AV356" s="5" t="s">
        <v>202</v>
      </c>
      <c r="AW356" s="5" t="s">
        <v>607</v>
      </c>
      <c r="AX356" s="5" t="s">
        <v>129</v>
      </c>
      <c r="AY356" s="5" t="s">
        <v>1163</v>
      </c>
      <c r="AZ356" s="5" t="s">
        <v>75</v>
      </c>
      <c r="BA356" s="5" t="s">
        <v>1164</v>
      </c>
      <c r="BB356" s="12" t="s">
        <v>76</v>
      </c>
      <c r="BC356" s="5" t="s">
        <v>1165</v>
      </c>
      <c r="BD356" s="5" t="s">
        <v>1161</v>
      </c>
      <c r="BE356" s="5" t="s">
        <v>1051</v>
      </c>
      <c r="BF356" s="5" t="s">
        <v>1166</v>
      </c>
      <c r="BG356" s="15">
        <v>36.5</v>
      </c>
      <c r="BH356" s="5" t="s">
        <v>139</v>
      </c>
      <c r="BI356" s="5" t="s">
        <v>139</v>
      </c>
      <c r="BJ356" s="5" t="s">
        <v>246</v>
      </c>
      <c r="BK356" s="5" t="s">
        <v>654</v>
      </c>
      <c r="BL356" s="5" t="s">
        <v>129</v>
      </c>
      <c r="BM356" s="5" t="s">
        <v>195</v>
      </c>
      <c r="BN356" s="5">
        <v>160</v>
      </c>
      <c r="BO356" s="5">
        <f t="shared" si="5"/>
        <v>19.53125</v>
      </c>
      <c r="BP356" s="5" t="s">
        <v>1167</v>
      </c>
      <c r="BQ356" s="5" t="s">
        <v>76</v>
      </c>
      <c r="BR356" s="5">
        <v>4361</v>
      </c>
    </row>
    <row r="357" s="1" customFormat="1" spans="1:70">
      <c r="A357" s="1">
        <v>3316293</v>
      </c>
      <c r="B357" s="1" t="s">
        <v>1168</v>
      </c>
      <c r="D357" s="4">
        <v>45013</v>
      </c>
      <c r="E357" s="4">
        <v>45020</v>
      </c>
      <c r="F357" s="7">
        <v>16131</v>
      </c>
      <c r="G357" s="1">
        <v>35</v>
      </c>
      <c r="H357" s="1">
        <v>8</v>
      </c>
      <c r="I357" s="1">
        <v>42</v>
      </c>
      <c r="J357" s="1">
        <v>8</v>
      </c>
      <c r="K357" s="1">
        <v>58</v>
      </c>
      <c r="L357" s="1">
        <v>30</v>
      </c>
      <c r="N357" s="1">
        <v>6.8</v>
      </c>
      <c r="O357" s="7">
        <v>16131</v>
      </c>
      <c r="P357" s="4">
        <v>45013</v>
      </c>
      <c r="Q357" s="4">
        <v>45020</v>
      </c>
      <c r="R357" s="1" t="s">
        <v>80</v>
      </c>
      <c r="AO357" s="7">
        <v>16131</v>
      </c>
      <c r="AP357" s="5">
        <v>4.1</v>
      </c>
      <c r="AQ357" s="5">
        <v>148</v>
      </c>
      <c r="AR357" s="5">
        <v>47.9</v>
      </c>
      <c r="AS357" s="5">
        <v>36.1</v>
      </c>
      <c r="AT357" s="5">
        <v>36</v>
      </c>
      <c r="AU357" s="5">
        <v>23</v>
      </c>
      <c r="AV357" s="5">
        <v>32.8</v>
      </c>
      <c r="AW357" s="5">
        <v>9</v>
      </c>
      <c r="AX357" s="5">
        <v>74</v>
      </c>
      <c r="AY357" s="5" t="s">
        <v>76</v>
      </c>
      <c r="AZ357" s="5">
        <v>4.07</v>
      </c>
      <c r="BA357" s="5">
        <v>3.21</v>
      </c>
      <c r="BB357" s="12" t="s">
        <v>76</v>
      </c>
      <c r="BC357" s="5">
        <v>5.8</v>
      </c>
      <c r="BD357" s="5">
        <v>148</v>
      </c>
      <c r="BE357" s="5" t="s">
        <v>76</v>
      </c>
      <c r="BF357" s="5" t="s">
        <v>76</v>
      </c>
      <c r="BG357" s="15">
        <v>36.6</v>
      </c>
      <c r="BH357" s="5">
        <v>66</v>
      </c>
      <c r="BI357" s="5">
        <v>66</v>
      </c>
      <c r="BJ357" s="5">
        <v>18</v>
      </c>
      <c r="BK357" s="5">
        <v>127</v>
      </c>
      <c r="BL357" s="5">
        <v>61</v>
      </c>
      <c r="BM357" s="5">
        <v>55</v>
      </c>
      <c r="BN357" s="5">
        <v>156</v>
      </c>
      <c r="BO357" s="5">
        <f t="shared" si="5"/>
        <v>22.6002629848784</v>
      </c>
      <c r="BP357" s="5" t="s">
        <v>149</v>
      </c>
      <c r="BQ357" s="5" t="s">
        <v>76</v>
      </c>
      <c r="BR357" s="5">
        <v>7067</v>
      </c>
    </row>
    <row r="358" s="1" customFormat="1" spans="1:70">
      <c r="A358" s="1">
        <v>3495252</v>
      </c>
      <c r="B358" s="1" t="s">
        <v>1169</v>
      </c>
      <c r="D358" s="4">
        <v>45260</v>
      </c>
      <c r="E358" s="4">
        <v>45267</v>
      </c>
      <c r="F358" s="7">
        <v>16134</v>
      </c>
      <c r="G358" s="1">
        <v>46</v>
      </c>
      <c r="H358" s="1">
        <v>9</v>
      </c>
      <c r="I358" s="1">
        <v>47</v>
      </c>
      <c r="J358" s="1">
        <v>9</v>
      </c>
      <c r="K358" s="1">
        <v>68</v>
      </c>
      <c r="L358" s="1">
        <v>38</v>
      </c>
      <c r="N358" s="1">
        <v>7.5</v>
      </c>
      <c r="O358" s="7">
        <v>16134</v>
      </c>
      <c r="P358" s="4">
        <v>45260</v>
      </c>
      <c r="Q358" s="4">
        <v>45267</v>
      </c>
      <c r="R358" s="1" t="s">
        <v>73</v>
      </c>
      <c r="AO358" s="7">
        <v>16134</v>
      </c>
      <c r="AP358" s="5">
        <v>8.9</v>
      </c>
      <c r="AQ358" s="5">
        <v>136</v>
      </c>
      <c r="AR358" s="5">
        <v>42.9</v>
      </c>
      <c r="AS358" s="5">
        <v>34.4</v>
      </c>
      <c r="AT358" s="5">
        <v>28</v>
      </c>
      <c r="AU358" s="5">
        <v>22</v>
      </c>
      <c r="AV358" s="5">
        <v>44.9</v>
      </c>
      <c r="AW358" s="5">
        <v>16.68</v>
      </c>
      <c r="AX358" s="5">
        <v>153</v>
      </c>
      <c r="AY358" s="5">
        <v>39.2</v>
      </c>
      <c r="AZ358" s="5">
        <v>5.5</v>
      </c>
      <c r="BA358" s="5">
        <v>2.27</v>
      </c>
      <c r="BB358" s="12" t="s">
        <v>76</v>
      </c>
      <c r="BC358" s="5">
        <v>4.75</v>
      </c>
      <c r="BD358" s="5">
        <v>136</v>
      </c>
      <c r="BE358" s="5" t="s">
        <v>76</v>
      </c>
      <c r="BF358" s="5" t="s">
        <v>76</v>
      </c>
      <c r="BG358" s="15">
        <v>36.5</v>
      </c>
      <c r="BH358" s="5">
        <v>60</v>
      </c>
      <c r="BI358" s="5">
        <v>65</v>
      </c>
      <c r="BJ358" s="5">
        <v>19</v>
      </c>
      <c r="BK358" s="5">
        <v>90</v>
      </c>
      <c r="BL358" s="5">
        <v>45</v>
      </c>
      <c r="BM358" s="5">
        <v>90</v>
      </c>
      <c r="BN358" s="5">
        <v>160</v>
      </c>
      <c r="BO358" s="5">
        <f t="shared" si="5"/>
        <v>35.15625</v>
      </c>
      <c r="BP358" s="5" t="s">
        <v>107</v>
      </c>
      <c r="BQ358" s="5">
        <v>6.3</v>
      </c>
      <c r="BR358" s="5">
        <v>5534.99</v>
      </c>
    </row>
    <row r="359" s="1" customFormat="1" spans="1:70">
      <c r="A359" s="1" t="s">
        <v>1170</v>
      </c>
      <c r="B359" s="1" t="s">
        <v>1171</v>
      </c>
      <c r="D359" s="4">
        <v>44933</v>
      </c>
      <c r="E359" s="4">
        <v>44940</v>
      </c>
      <c r="F359" s="7">
        <v>16144</v>
      </c>
      <c r="G359" s="1">
        <v>36</v>
      </c>
      <c r="H359" s="1">
        <v>10</v>
      </c>
      <c r="I359" s="1">
        <v>47</v>
      </c>
      <c r="J359" s="1">
        <v>9</v>
      </c>
      <c r="K359" s="1">
        <v>57</v>
      </c>
      <c r="L359" s="1">
        <v>30</v>
      </c>
      <c r="M359" s="1">
        <v>0.56</v>
      </c>
      <c r="N359" s="1">
        <v>11.4</v>
      </c>
      <c r="O359" s="7">
        <v>16144</v>
      </c>
      <c r="P359" s="4">
        <v>44933</v>
      </c>
      <c r="Q359" s="4">
        <v>44940</v>
      </c>
      <c r="R359" s="1" t="s">
        <v>73</v>
      </c>
      <c r="AO359" s="7">
        <v>16144</v>
      </c>
      <c r="AP359" s="5" t="s">
        <v>306</v>
      </c>
      <c r="AQ359" s="5" t="s">
        <v>243</v>
      </c>
      <c r="AR359" s="5" t="s">
        <v>1172</v>
      </c>
      <c r="AS359" s="5" t="s">
        <v>1173</v>
      </c>
      <c r="AT359" s="5" t="s">
        <v>419</v>
      </c>
      <c r="AU359" s="5" t="s">
        <v>245</v>
      </c>
      <c r="AV359" s="5" t="s">
        <v>1174</v>
      </c>
      <c r="AW359" s="5" t="s">
        <v>1175</v>
      </c>
      <c r="AX359" s="5" t="s">
        <v>1176</v>
      </c>
      <c r="AY359" s="5" t="s">
        <v>1177</v>
      </c>
      <c r="AZ359" s="5" t="s">
        <v>75</v>
      </c>
      <c r="BA359" s="5" t="s">
        <v>76</v>
      </c>
      <c r="BB359" s="12" t="s">
        <v>76</v>
      </c>
      <c r="BC359" s="5" t="s">
        <v>480</v>
      </c>
      <c r="BD359" s="5" t="s">
        <v>243</v>
      </c>
      <c r="BE359" s="5" t="s">
        <v>76</v>
      </c>
      <c r="BF359" s="5" t="s">
        <v>76</v>
      </c>
      <c r="BG359" s="15">
        <v>36.2</v>
      </c>
      <c r="BH359" s="5" t="s">
        <v>76</v>
      </c>
      <c r="BI359" s="5" t="s">
        <v>212</v>
      </c>
      <c r="BJ359" s="5" t="s">
        <v>101</v>
      </c>
      <c r="BK359" s="5" t="s">
        <v>994</v>
      </c>
      <c r="BL359" s="5" t="s">
        <v>215</v>
      </c>
      <c r="BM359" s="5" t="s">
        <v>352</v>
      </c>
      <c r="BN359" s="5">
        <v>155</v>
      </c>
      <c r="BO359" s="5">
        <f t="shared" si="5"/>
        <v>22.8928199791883</v>
      </c>
      <c r="BP359" s="5" t="s">
        <v>1091</v>
      </c>
      <c r="BQ359" s="5" t="s">
        <v>76</v>
      </c>
      <c r="BR359" s="5">
        <v>7584</v>
      </c>
    </row>
    <row r="360" s="1" customFormat="1" spans="1:70">
      <c r="A360" s="1">
        <v>3478292</v>
      </c>
      <c r="B360" s="1" t="s">
        <v>1178</v>
      </c>
      <c r="D360" s="4">
        <v>45237</v>
      </c>
      <c r="E360" s="4">
        <v>45268</v>
      </c>
      <c r="F360" s="7">
        <v>16157</v>
      </c>
      <c r="G360" s="1">
        <v>36</v>
      </c>
      <c r="H360" s="1">
        <v>10</v>
      </c>
      <c r="I360" s="1">
        <v>43</v>
      </c>
      <c r="J360" s="1">
        <v>10</v>
      </c>
      <c r="K360" s="1">
        <v>50</v>
      </c>
      <c r="M360" s="1">
        <v>1.13</v>
      </c>
      <c r="O360" s="7">
        <v>16157</v>
      </c>
      <c r="P360" s="4">
        <v>45237</v>
      </c>
      <c r="Q360" s="4">
        <v>45268</v>
      </c>
      <c r="R360" s="1" t="s">
        <v>80</v>
      </c>
      <c r="AO360" s="7">
        <v>16157</v>
      </c>
      <c r="AP360" s="5">
        <v>9.3</v>
      </c>
      <c r="AQ360" s="5">
        <v>94</v>
      </c>
      <c r="AR360" s="5">
        <v>39.2</v>
      </c>
      <c r="AS360" s="5">
        <v>9.4</v>
      </c>
      <c r="AT360" s="5">
        <v>53</v>
      </c>
      <c r="AU360" s="5">
        <v>47</v>
      </c>
      <c r="AV360" s="5">
        <v>36.8</v>
      </c>
      <c r="AW360" s="5">
        <v>6.3</v>
      </c>
      <c r="AX360" s="5">
        <v>61</v>
      </c>
      <c r="AY360" s="5" t="s">
        <v>125</v>
      </c>
      <c r="AZ360" s="5" t="s">
        <v>75</v>
      </c>
      <c r="BA360" s="5">
        <v>3.97</v>
      </c>
      <c r="BB360" s="12" t="s">
        <v>76</v>
      </c>
      <c r="BC360" s="5">
        <v>4.27</v>
      </c>
      <c r="BD360" s="5">
        <v>94</v>
      </c>
      <c r="BE360" s="5" t="s">
        <v>76</v>
      </c>
      <c r="BF360" s="5" t="s">
        <v>76</v>
      </c>
      <c r="BG360" s="15">
        <v>36.2</v>
      </c>
      <c r="BH360" s="5">
        <v>51</v>
      </c>
      <c r="BI360" s="5">
        <v>51</v>
      </c>
      <c r="BJ360" s="5">
        <v>18</v>
      </c>
      <c r="BK360" s="5">
        <v>119</v>
      </c>
      <c r="BL360" s="5">
        <v>63</v>
      </c>
      <c r="BM360" s="5">
        <v>48</v>
      </c>
      <c r="BN360" s="5">
        <v>150</v>
      </c>
      <c r="BO360" s="5">
        <f t="shared" si="5"/>
        <v>21.3333333333333</v>
      </c>
      <c r="BP360" s="5" t="s">
        <v>394</v>
      </c>
      <c r="BQ360" s="5" t="s">
        <v>76</v>
      </c>
      <c r="BR360" s="5">
        <v>6768</v>
      </c>
    </row>
    <row r="361" s="1" customFormat="1" spans="1:70">
      <c r="A361" s="1">
        <v>3258625</v>
      </c>
      <c r="B361" s="1" t="s">
        <v>1179</v>
      </c>
      <c r="D361" s="4">
        <v>44925</v>
      </c>
      <c r="E361" s="4">
        <v>44938</v>
      </c>
      <c r="F361" s="7">
        <v>16184</v>
      </c>
      <c r="G361" s="1">
        <v>41</v>
      </c>
      <c r="H361" s="1">
        <v>10</v>
      </c>
      <c r="I361" s="1">
        <v>45</v>
      </c>
      <c r="J361" s="1">
        <v>9</v>
      </c>
      <c r="K361" s="1">
        <v>67</v>
      </c>
      <c r="L361" s="1">
        <v>37</v>
      </c>
      <c r="N361" s="1">
        <v>13.9</v>
      </c>
      <c r="O361" s="7">
        <v>16184</v>
      </c>
      <c r="P361" s="4">
        <v>44925</v>
      </c>
      <c r="Q361" s="4">
        <v>44938</v>
      </c>
      <c r="R361" s="1" t="s">
        <v>73</v>
      </c>
      <c r="AO361" s="7">
        <v>16184</v>
      </c>
      <c r="AP361" s="5">
        <v>7.1</v>
      </c>
      <c r="AQ361" s="5">
        <v>124</v>
      </c>
      <c r="AR361" s="5">
        <v>39.9</v>
      </c>
      <c r="AS361" s="5">
        <v>27.2</v>
      </c>
      <c r="AT361" s="5">
        <v>26</v>
      </c>
      <c r="AU361" s="5">
        <v>28</v>
      </c>
      <c r="AV361" s="5">
        <v>34.5</v>
      </c>
      <c r="AW361" s="5">
        <v>4.6</v>
      </c>
      <c r="AX361" s="5">
        <v>67</v>
      </c>
      <c r="AY361" s="5">
        <v>85.83</v>
      </c>
      <c r="AZ361" s="5" t="s">
        <v>75</v>
      </c>
      <c r="BA361" s="5">
        <v>3.82</v>
      </c>
      <c r="BB361" s="12" t="s">
        <v>76</v>
      </c>
      <c r="BC361" s="5">
        <v>4.07</v>
      </c>
      <c r="BD361" s="5">
        <v>124</v>
      </c>
      <c r="BE361" s="5">
        <v>0.62</v>
      </c>
      <c r="BF361" s="5">
        <v>2.8</v>
      </c>
      <c r="BG361" s="15">
        <v>36.2</v>
      </c>
      <c r="BH361" s="5">
        <v>110</v>
      </c>
      <c r="BI361" s="5">
        <v>120</v>
      </c>
      <c r="BJ361" s="5">
        <v>18</v>
      </c>
      <c r="BK361" s="5">
        <v>158</v>
      </c>
      <c r="BL361" s="5">
        <v>108</v>
      </c>
      <c r="BM361" s="5">
        <v>48</v>
      </c>
      <c r="BN361" s="5">
        <v>150</v>
      </c>
      <c r="BO361" s="5">
        <f t="shared" si="5"/>
        <v>21.3333333333333</v>
      </c>
      <c r="BP361" s="5" t="s">
        <v>254</v>
      </c>
      <c r="BQ361" s="5">
        <v>6.7</v>
      </c>
      <c r="BR361" s="5">
        <v>6165</v>
      </c>
    </row>
    <row r="362" s="1" customFormat="1" spans="1:70">
      <c r="A362" s="1">
        <v>3243955</v>
      </c>
      <c r="B362" s="1" t="s">
        <v>1180</v>
      </c>
      <c r="D362" s="4">
        <v>44889</v>
      </c>
      <c r="E362" s="4">
        <v>44899</v>
      </c>
      <c r="F362" s="7">
        <v>16192</v>
      </c>
      <c r="G362" s="1">
        <v>36</v>
      </c>
      <c r="H362" s="1">
        <v>10</v>
      </c>
      <c r="I362" s="1">
        <v>50</v>
      </c>
      <c r="J362" s="1">
        <v>10</v>
      </c>
      <c r="K362" s="1">
        <v>48</v>
      </c>
      <c r="L362" s="1">
        <v>24</v>
      </c>
      <c r="M362" s="1">
        <v>0.63</v>
      </c>
      <c r="O362" s="7">
        <v>16192</v>
      </c>
      <c r="P362" s="4">
        <v>44889</v>
      </c>
      <c r="Q362" s="4">
        <v>44899</v>
      </c>
      <c r="R362" s="1" t="s">
        <v>80</v>
      </c>
      <c r="AO362" s="7">
        <v>16192</v>
      </c>
      <c r="AP362" s="5">
        <v>27.9</v>
      </c>
      <c r="AQ362" s="5">
        <v>140</v>
      </c>
      <c r="AR362" s="5">
        <v>58</v>
      </c>
      <c r="AS362" s="5">
        <v>95.5</v>
      </c>
      <c r="AT362" s="5">
        <v>92</v>
      </c>
      <c r="AU362" s="5">
        <v>83</v>
      </c>
      <c r="AV362" s="5">
        <v>33.5</v>
      </c>
      <c r="AW362" s="5">
        <v>8.32</v>
      </c>
      <c r="AX362" s="5">
        <v>82</v>
      </c>
      <c r="AY362" s="5">
        <v>83.78</v>
      </c>
      <c r="AZ362" s="5">
        <v>8.5</v>
      </c>
      <c r="BA362" s="5">
        <v>5.15</v>
      </c>
      <c r="BB362" s="12" t="s">
        <v>76</v>
      </c>
      <c r="BC362" s="5">
        <v>3.75</v>
      </c>
      <c r="BD362" s="5">
        <v>140</v>
      </c>
      <c r="BE362" s="5">
        <v>0.38</v>
      </c>
      <c r="BF362" s="5">
        <v>0.92</v>
      </c>
      <c r="BG362" s="15">
        <v>36</v>
      </c>
      <c r="BH362" s="5">
        <v>98</v>
      </c>
      <c r="BI362" s="5">
        <v>98</v>
      </c>
      <c r="BJ362" s="5">
        <v>17</v>
      </c>
      <c r="BK362" s="5">
        <v>123</v>
      </c>
      <c r="BL362" s="5">
        <v>65</v>
      </c>
      <c r="BM362" s="5">
        <v>86</v>
      </c>
      <c r="BN362" s="5">
        <v>160</v>
      </c>
      <c r="BO362" s="5">
        <f t="shared" si="5"/>
        <v>33.59375</v>
      </c>
      <c r="BP362" s="5" t="s">
        <v>323</v>
      </c>
      <c r="BQ362" s="5">
        <v>7.3</v>
      </c>
      <c r="BR362" s="5">
        <v>7691</v>
      </c>
    </row>
    <row r="363" s="1" customFormat="1" spans="1:70">
      <c r="A363" s="1">
        <v>3491897</v>
      </c>
      <c r="B363" s="1" t="s">
        <v>1181</v>
      </c>
      <c r="D363" s="4">
        <v>45256</v>
      </c>
      <c r="E363" s="4">
        <v>45264</v>
      </c>
      <c r="F363" s="7">
        <v>16206</v>
      </c>
      <c r="G363" s="1">
        <v>38</v>
      </c>
      <c r="H363" s="1">
        <v>9</v>
      </c>
      <c r="I363" s="1">
        <v>47</v>
      </c>
      <c r="J363" s="1">
        <v>9</v>
      </c>
      <c r="K363" s="1">
        <v>50</v>
      </c>
      <c r="L363" s="1">
        <v>25</v>
      </c>
      <c r="M363" s="1">
        <v>0.81</v>
      </c>
      <c r="N363" s="1">
        <v>10.5</v>
      </c>
      <c r="O363" s="7">
        <v>16206</v>
      </c>
      <c r="P363" s="4">
        <v>45256</v>
      </c>
      <c r="Q363" s="4">
        <v>45264</v>
      </c>
      <c r="R363" s="1" t="s">
        <v>73</v>
      </c>
      <c r="AO363" s="7">
        <v>16206</v>
      </c>
      <c r="AP363" s="5">
        <v>9</v>
      </c>
      <c r="AQ363" s="5">
        <v>110</v>
      </c>
      <c r="AR363" s="5">
        <v>33.9</v>
      </c>
      <c r="AS363" s="5" t="s">
        <v>76</v>
      </c>
      <c r="AT363" s="5">
        <v>84</v>
      </c>
      <c r="AU363" s="5">
        <v>26</v>
      </c>
      <c r="AV363" s="5">
        <v>37.4</v>
      </c>
      <c r="AW363" s="5">
        <v>4.29</v>
      </c>
      <c r="AX363" s="5">
        <v>53</v>
      </c>
      <c r="AY363" s="5">
        <v>102.6</v>
      </c>
      <c r="AZ363" s="5" t="s">
        <v>75</v>
      </c>
      <c r="BA363" s="5">
        <v>2.73</v>
      </c>
      <c r="BB363" s="12" t="s">
        <v>76</v>
      </c>
      <c r="BC363" s="5">
        <v>3.48</v>
      </c>
      <c r="BD363" s="5">
        <v>110</v>
      </c>
      <c r="BE363" s="5">
        <v>0.65</v>
      </c>
      <c r="BF363" s="5">
        <v>1.48</v>
      </c>
      <c r="BG363" s="15">
        <v>36.5</v>
      </c>
      <c r="BH363" s="5">
        <v>60</v>
      </c>
      <c r="BI363" s="5">
        <v>60</v>
      </c>
      <c r="BJ363" s="5">
        <v>17</v>
      </c>
      <c r="BK363" s="5">
        <v>112</v>
      </c>
      <c r="BL363" s="5">
        <v>70</v>
      </c>
      <c r="BM363" s="5">
        <v>60</v>
      </c>
      <c r="BN363" s="5">
        <v>155</v>
      </c>
      <c r="BO363" s="5">
        <f t="shared" si="5"/>
        <v>24.9739854318418</v>
      </c>
      <c r="BP363" s="5" t="s">
        <v>121</v>
      </c>
      <c r="BQ363" s="5" t="s">
        <v>76</v>
      </c>
      <c r="BR363" s="5">
        <v>2289</v>
      </c>
    </row>
    <row r="364" s="1" customFormat="1" spans="1:70">
      <c r="A364" s="1">
        <v>3278215</v>
      </c>
      <c r="B364" s="1" t="s">
        <v>1182</v>
      </c>
      <c r="D364" s="4">
        <v>44960</v>
      </c>
      <c r="E364" s="4">
        <v>44992</v>
      </c>
      <c r="F364" s="7">
        <v>16221</v>
      </c>
      <c r="G364" s="1">
        <v>42</v>
      </c>
      <c r="H364" s="1">
        <v>10</v>
      </c>
      <c r="I364" s="1">
        <v>55</v>
      </c>
      <c r="J364" s="1">
        <v>10</v>
      </c>
      <c r="K364" s="1">
        <v>52</v>
      </c>
      <c r="L364" s="1">
        <v>27</v>
      </c>
      <c r="M364" s="1">
        <v>1.86</v>
      </c>
      <c r="N364" s="1">
        <v>23.5</v>
      </c>
      <c r="O364" s="7">
        <v>16221</v>
      </c>
      <c r="P364" s="4">
        <v>44960</v>
      </c>
      <c r="Q364" s="4">
        <v>44992</v>
      </c>
      <c r="R364" s="1" t="s">
        <v>80</v>
      </c>
      <c r="AO364" s="7">
        <v>16221</v>
      </c>
      <c r="AP364" s="5">
        <v>8.8</v>
      </c>
      <c r="AQ364" s="5">
        <v>99</v>
      </c>
      <c r="AR364" s="5">
        <v>35.4</v>
      </c>
      <c r="AS364" s="5">
        <v>9.9</v>
      </c>
      <c r="AT364" s="5">
        <v>72</v>
      </c>
      <c r="AU364" s="5">
        <v>81</v>
      </c>
      <c r="AV364" s="5">
        <v>36.4</v>
      </c>
      <c r="AW364" s="5">
        <v>9.52</v>
      </c>
      <c r="AX364" s="5">
        <v>99</v>
      </c>
      <c r="AY364" s="5">
        <v>83.78</v>
      </c>
      <c r="AZ364" s="5" t="s">
        <v>75</v>
      </c>
      <c r="BA364" s="5">
        <v>3.88</v>
      </c>
      <c r="BB364" s="12" t="s">
        <v>76</v>
      </c>
      <c r="BC364" s="5">
        <v>4.5</v>
      </c>
      <c r="BD364" s="5">
        <v>99</v>
      </c>
      <c r="BE364" s="5" t="s">
        <v>76</v>
      </c>
      <c r="BF364" s="5" t="s">
        <v>76</v>
      </c>
      <c r="BG364" s="15">
        <v>36.5</v>
      </c>
      <c r="BH364" s="5" t="s">
        <v>76</v>
      </c>
      <c r="BI364" s="5">
        <v>98</v>
      </c>
      <c r="BJ364" s="5">
        <v>23</v>
      </c>
      <c r="BK364" s="5">
        <v>116</v>
      </c>
      <c r="BL364" s="5">
        <v>55</v>
      </c>
      <c r="BM364" s="5">
        <v>70</v>
      </c>
      <c r="BN364" s="5">
        <v>170</v>
      </c>
      <c r="BO364" s="5">
        <f t="shared" si="5"/>
        <v>24.2214532871972</v>
      </c>
      <c r="BP364" s="5" t="s">
        <v>164</v>
      </c>
      <c r="BQ364" s="5">
        <v>6.1</v>
      </c>
      <c r="BR364" s="5">
        <v>9844</v>
      </c>
    </row>
    <row r="365" s="1" customFormat="1" spans="1:70">
      <c r="A365" s="1">
        <v>3329904</v>
      </c>
      <c r="B365" s="1" t="s">
        <v>1183</v>
      </c>
      <c r="D365" s="4">
        <v>45033</v>
      </c>
      <c r="E365" s="4">
        <v>45037</v>
      </c>
      <c r="F365" s="7">
        <v>16231</v>
      </c>
      <c r="G365" s="1">
        <v>43</v>
      </c>
      <c r="H365" s="1">
        <v>9</v>
      </c>
      <c r="I365" s="1">
        <v>53</v>
      </c>
      <c r="J365" s="1">
        <v>9</v>
      </c>
      <c r="K365" s="1">
        <v>50</v>
      </c>
      <c r="L365" s="1">
        <v>25</v>
      </c>
      <c r="N365" s="10">
        <v>13</v>
      </c>
      <c r="O365" s="7">
        <v>16231</v>
      </c>
      <c r="P365" s="4">
        <v>45033</v>
      </c>
      <c r="Q365" s="4">
        <v>45037</v>
      </c>
      <c r="R365" s="1" t="s">
        <v>80</v>
      </c>
      <c r="AO365" s="7">
        <v>16231</v>
      </c>
      <c r="AP365" s="5">
        <v>8.2</v>
      </c>
      <c r="AQ365" s="5">
        <v>132</v>
      </c>
      <c r="AR365" s="5">
        <v>39.1</v>
      </c>
      <c r="AS365" s="5">
        <v>1.8</v>
      </c>
      <c r="AT365" s="5">
        <v>19</v>
      </c>
      <c r="AU365" s="5">
        <v>9</v>
      </c>
      <c r="AV365" s="5">
        <v>44.2</v>
      </c>
      <c r="AW365" s="5">
        <v>7.52</v>
      </c>
      <c r="AX365" s="5">
        <v>76</v>
      </c>
      <c r="AY365" s="5">
        <v>95.81</v>
      </c>
      <c r="AZ365" s="5" t="s">
        <v>75</v>
      </c>
      <c r="BA365" s="5">
        <v>2.58</v>
      </c>
      <c r="BB365" s="12" t="s">
        <v>76</v>
      </c>
      <c r="BC365" s="5">
        <v>4.15</v>
      </c>
      <c r="BD365" s="5">
        <v>132</v>
      </c>
      <c r="BE365" s="5">
        <v>0.85</v>
      </c>
      <c r="BF365" s="5">
        <v>1.03</v>
      </c>
      <c r="BG365" s="15">
        <v>36.5</v>
      </c>
      <c r="BH365" s="5">
        <v>78</v>
      </c>
      <c r="BI365" s="5">
        <v>78</v>
      </c>
      <c r="BJ365" s="5">
        <v>17</v>
      </c>
      <c r="BK365" s="5">
        <v>106</v>
      </c>
      <c r="BL365" s="5">
        <v>80</v>
      </c>
      <c r="BM365" s="5">
        <v>65</v>
      </c>
      <c r="BN365" s="5">
        <v>165</v>
      </c>
      <c r="BO365" s="5">
        <f t="shared" si="5"/>
        <v>23.8751147842057</v>
      </c>
      <c r="BP365" s="5" t="s">
        <v>121</v>
      </c>
      <c r="BQ365" s="5">
        <v>6.4</v>
      </c>
      <c r="BR365" s="5">
        <v>2994</v>
      </c>
    </row>
    <row r="366" s="1" customFormat="1" spans="1:70">
      <c r="A366" s="1">
        <v>3256918</v>
      </c>
      <c r="B366" s="1" t="s">
        <v>1184</v>
      </c>
      <c r="D366" s="4">
        <v>44922</v>
      </c>
      <c r="E366" s="4">
        <v>44937</v>
      </c>
      <c r="F366" s="7">
        <v>16247</v>
      </c>
      <c r="G366" s="1">
        <v>36</v>
      </c>
      <c r="H366" s="1">
        <v>8</v>
      </c>
      <c r="I366" s="1">
        <v>51</v>
      </c>
      <c r="J366" s="1">
        <v>8</v>
      </c>
      <c r="K366" s="1">
        <v>69</v>
      </c>
      <c r="L366" s="1">
        <v>38</v>
      </c>
      <c r="M366" s="1">
        <v>0.49</v>
      </c>
      <c r="N366" s="1">
        <v>10.2</v>
      </c>
      <c r="O366" s="7">
        <v>16247</v>
      </c>
      <c r="P366" s="4">
        <v>44922</v>
      </c>
      <c r="Q366" s="4">
        <v>44937</v>
      </c>
      <c r="R366" s="1" t="s">
        <v>80</v>
      </c>
      <c r="S366" s="1">
        <v>78</v>
      </c>
      <c r="T366" s="1" t="s">
        <v>1185</v>
      </c>
      <c r="V366" s="1" t="s">
        <v>155</v>
      </c>
      <c r="X366" s="1" t="s">
        <v>155</v>
      </c>
      <c r="Z366" s="1" t="s">
        <v>155</v>
      </c>
      <c r="AA366" s="1" t="s">
        <v>155</v>
      </c>
      <c r="AH366" s="1">
        <v>1</v>
      </c>
      <c r="AI366" s="1">
        <v>1</v>
      </c>
      <c r="AM366" s="1">
        <v>1</v>
      </c>
      <c r="AN366" s="1">
        <v>1</v>
      </c>
      <c r="AO366" s="7">
        <v>16247</v>
      </c>
      <c r="AP366" s="5">
        <v>7.7</v>
      </c>
      <c r="AQ366" s="5">
        <v>92</v>
      </c>
      <c r="AR366" s="5">
        <v>29.1</v>
      </c>
      <c r="AS366" s="5">
        <v>9</v>
      </c>
      <c r="AT366" s="5">
        <v>20</v>
      </c>
      <c r="AU366" s="5">
        <v>7</v>
      </c>
      <c r="AV366" s="5">
        <v>38.8</v>
      </c>
      <c r="AW366" s="5">
        <v>43.83</v>
      </c>
      <c r="AX366" s="5">
        <v>391</v>
      </c>
      <c r="AY366" s="5">
        <v>17.99</v>
      </c>
      <c r="AZ366" s="5" t="s">
        <v>75</v>
      </c>
      <c r="BA366" s="5">
        <v>3.66</v>
      </c>
      <c r="BB366" s="12" t="s">
        <v>76</v>
      </c>
      <c r="BC366" s="5">
        <v>5.1</v>
      </c>
      <c r="BD366" s="5">
        <v>92</v>
      </c>
      <c r="BE366" s="5">
        <v>0.74</v>
      </c>
      <c r="BF366" s="5">
        <v>2.23</v>
      </c>
      <c r="BG366" s="15">
        <v>36.8</v>
      </c>
      <c r="BH366" s="5">
        <v>84</v>
      </c>
      <c r="BI366" s="5" t="s">
        <v>76</v>
      </c>
      <c r="BJ366" s="5">
        <v>15</v>
      </c>
      <c r="BK366" s="5">
        <v>121</v>
      </c>
      <c r="BL366" s="5">
        <v>76</v>
      </c>
      <c r="BM366" s="5">
        <v>62</v>
      </c>
      <c r="BN366" s="5">
        <v>170</v>
      </c>
      <c r="BO366" s="5">
        <f t="shared" si="5"/>
        <v>21.4532871972318</v>
      </c>
      <c r="BP366" s="5" t="s">
        <v>300</v>
      </c>
      <c r="BQ366" s="5">
        <v>8.4</v>
      </c>
      <c r="BR366" s="5">
        <v>2157</v>
      </c>
    </row>
    <row r="367" s="1" customFormat="1" spans="1:70">
      <c r="A367" s="1">
        <v>3327432</v>
      </c>
      <c r="B367" s="1" t="s">
        <v>1186</v>
      </c>
      <c r="D367" s="4">
        <v>45028</v>
      </c>
      <c r="E367" s="4">
        <v>45033</v>
      </c>
      <c r="F367" s="7">
        <v>16263</v>
      </c>
      <c r="G367" s="1">
        <v>35</v>
      </c>
      <c r="H367" s="1">
        <v>10</v>
      </c>
      <c r="I367" s="1">
        <v>42</v>
      </c>
      <c r="J367" s="1">
        <v>10</v>
      </c>
      <c r="K367" s="1">
        <v>57</v>
      </c>
      <c r="L367" s="1">
        <v>29</v>
      </c>
      <c r="M367" s="1">
        <v>0.55</v>
      </c>
      <c r="O367" s="7">
        <v>16263</v>
      </c>
      <c r="P367" s="4">
        <v>45028</v>
      </c>
      <c r="Q367" s="4">
        <v>45033</v>
      </c>
      <c r="R367" s="1" t="s">
        <v>73</v>
      </c>
      <c r="AO367" s="7">
        <v>16263</v>
      </c>
      <c r="AP367" s="5">
        <v>42.4</v>
      </c>
      <c r="AQ367" s="5">
        <v>81</v>
      </c>
      <c r="AR367" s="5">
        <v>32.2</v>
      </c>
      <c r="AS367" s="5">
        <v>77.6</v>
      </c>
      <c r="AT367" s="5">
        <v>21</v>
      </c>
      <c r="AU367" s="5">
        <v>18</v>
      </c>
      <c r="AV367" s="5">
        <v>32.5</v>
      </c>
      <c r="AW367" s="5">
        <v>5.99</v>
      </c>
      <c r="AX367" s="5">
        <v>99</v>
      </c>
      <c r="AY367" s="5">
        <v>69.98</v>
      </c>
      <c r="AZ367" s="5" t="s">
        <v>75</v>
      </c>
      <c r="BA367" s="5" t="s">
        <v>76</v>
      </c>
      <c r="BB367" s="12" t="s">
        <v>76</v>
      </c>
      <c r="BC367" s="5">
        <v>4.08</v>
      </c>
      <c r="BD367" s="5">
        <v>81</v>
      </c>
      <c r="BE367" s="5" t="s">
        <v>76</v>
      </c>
      <c r="BF367" s="5" t="s">
        <v>76</v>
      </c>
      <c r="BG367" s="15">
        <v>36.5</v>
      </c>
      <c r="BH367" s="5">
        <v>86</v>
      </c>
      <c r="BI367" s="5">
        <v>86</v>
      </c>
      <c r="BJ367" s="5">
        <v>17</v>
      </c>
      <c r="BK367" s="5">
        <v>105</v>
      </c>
      <c r="BL367" s="5">
        <v>54</v>
      </c>
      <c r="BM367" s="5" t="s">
        <v>77</v>
      </c>
      <c r="BN367" s="5" t="s">
        <v>77</v>
      </c>
      <c r="BO367" s="5" t="e">
        <f t="shared" si="5"/>
        <v>#VALUE!</v>
      </c>
      <c r="BP367" s="5" t="s">
        <v>117</v>
      </c>
      <c r="BQ367" s="5" t="s">
        <v>76</v>
      </c>
      <c r="BR367" s="5">
        <v>8098</v>
      </c>
    </row>
    <row r="368" s="1" customFormat="1" spans="1:70">
      <c r="A368" s="1">
        <v>3334012</v>
      </c>
      <c r="B368" s="1" t="s">
        <v>1187</v>
      </c>
      <c r="D368" s="4">
        <v>45037</v>
      </c>
      <c r="E368" s="4">
        <v>45043</v>
      </c>
      <c r="F368" s="7">
        <v>16291</v>
      </c>
      <c r="G368" s="1">
        <v>39</v>
      </c>
      <c r="H368" s="1">
        <v>9</v>
      </c>
      <c r="I368" s="1">
        <v>49</v>
      </c>
      <c r="J368" s="1">
        <v>9</v>
      </c>
      <c r="K368" s="1">
        <v>44</v>
      </c>
      <c r="L368" s="1">
        <v>22</v>
      </c>
      <c r="M368" s="1">
        <v>1.87</v>
      </c>
      <c r="N368" s="1">
        <v>31.6</v>
      </c>
      <c r="O368" s="7">
        <v>16291</v>
      </c>
      <c r="P368" s="4">
        <v>45037</v>
      </c>
      <c r="Q368" s="4">
        <v>45043</v>
      </c>
      <c r="R368" s="1" t="s">
        <v>73</v>
      </c>
      <c r="AO368" s="7">
        <v>16291</v>
      </c>
      <c r="AP368" s="5">
        <v>6.3</v>
      </c>
      <c r="AQ368" s="5">
        <v>119</v>
      </c>
      <c r="AR368" s="5">
        <v>38.1</v>
      </c>
      <c r="AS368" s="5">
        <v>10.5</v>
      </c>
      <c r="AT368" s="5">
        <v>15</v>
      </c>
      <c r="AU368" s="5">
        <v>6</v>
      </c>
      <c r="AV368" s="5">
        <v>39</v>
      </c>
      <c r="AW368" s="5">
        <v>5.97</v>
      </c>
      <c r="AX368" s="5">
        <v>32</v>
      </c>
      <c r="AY368" s="5" t="s">
        <v>76</v>
      </c>
      <c r="AZ368" s="5">
        <v>4.78</v>
      </c>
      <c r="BA368" s="5">
        <v>4.22</v>
      </c>
      <c r="BB368" s="12" t="s">
        <v>76</v>
      </c>
      <c r="BC368" s="5">
        <v>4.57</v>
      </c>
      <c r="BD368" s="5">
        <v>119</v>
      </c>
      <c r="BE368" s="5">
        <v>0.94</v>
      </c>
      <c r="BF368" s="5">
        <v>2.48</v>
      </c>
      <c r="BG368" s="15">
        <v>36.5</v>
      </c>
      <c r="BH368" s="5">
        <v>78</v>
      </c>
      <c r="BI368" s="5">
        <v>78</v>
      </c>
      <c r="BJ368" s="5">
        <v>18</v>
      </c>
      <c r="BK368" s="5">
        <v>140</v>
      </c>
      <c r="BL368" s="5">
        <v>72</v>
      </c>
      <c r="BM368" s="5">
        <v>40</v>
      </c>
      <c r="BN368" s="5">
        <v>140</v>
      </c>
      <c r="BO368" s="5">
        <f t="shared" si="5"/>
        <v>20.4081632653061</v>
      </c>
      <c r="BP368" s="5" t="s">
        <v>639</v>
      </c>
      <c r="BQ368" s="5" t="s">
        <v>76</v>
      </c>
      <c r="BR368" s="5">
        <v>6180</v>
      </c>
    </row>
    <row r="369" s="1" customFormat="1" spans="1:70">
      <c r="A369" s="1">
        <v>3506751</v>
      </c>
      <c r="B369" s="1" t="s">
        <v>1188</v>
      </c>
      <c r="D369" s="4">
        <v>45275</v>
      </c>
      <c r="E369" s="4">
        <v>45281</v>
      </c>
      <c r="F369" s="7">
        <v>16300</v>
      </c>
      <c r="G369" s="1">
        <v>42</v>
      </c>
      <c r="H369" s="1">
        <v>9</v>
      </c>
      <c r="I369" s="1">
        <v>52</v>
      </c>
      <c r="J369" s="1">
        <v>9</v>
      </c>
      <c r="K369" s="1">
        <v>59</v>
      </c>
      <c r="L369" s="1">
        <v>32</v>
      </c>
      <c r="N369" s="10">
        <v>13</v>
      </c>
      <c r="O369" s="7">
        <v>16300</v>
      </c>
      <c r="P369" s="4">
        <v>45275</v>
      </c>
      <c r="Q369" s="4">
        <v>45281</v>
      </c>
      <c r="R369" s="1" t="s">
        <v>80</v>
      </c>
      <c r="AO369" s="7">
        <v>16300</v>
      </c>
      <c r="AP369" s="5">
        <v>7.4</v>
      </c>
      <c r="AQ369" s="5">
        <v>122</v>
      </c>
      <c r="AR369" s="5">
        <v>56</v>
      </c>
      <c r="AS369" s="5">
        <v>7.3</v>
      </c>
      <c r="AT369" s="5">
        <v>45</v>
      </c>
      <c r="AU369" s="5">
        <v>26</v>
      </c>
      <c r="AV369" s="5">
        <v>39.1</v>
      </c>
      <c r="AW369" s="5">
        <v>5.27</v>
      </c>
      <c r="AX369" s="5">
        <v>63</v>
      </c>
      <c r="AY369" s="5">
        <v>113.27</v>
      </c>
      <c r="AZ369" s="5">
        <v>7.72</v>
      </c>
      <c r="BA369" s="5">
        <v>3.27</v>
      </c>
      <c r="BB369" s="12" t="s">
        <v>76</v>
      </c>
      <c r="BC369" s="5">
        <v>4.79</v>
      </c>
      <c r="BD369" s="5">
        <v>122</v>
      </c>
      <c r="BE369" s="5">
        <v>0.92</v>
      </c>
      <c r="BF369" s="5">
        <v>1.88</v>
      </c>
      <c r="BG369" s="15">
        <v>36.3</v>
      </c>
      <c r="BH369" s="5">
        <v>92</v>
      </c>
      <c r="BI369" s="5">
        <v>156</v>
      </c>
      <c r="BJ369" s="5">
        <v>18</v>
      </c>
      <c r="BK369" s="5">
        <v>127</v>
      </c>
      <c r="BL369" s="5">
        <v>98</v>
      </c>
      <c r="BM369" s="5">
        <v>75</v>
      </c>
      <c r="BN369" s="5">
        <v>178</v>
      </c>
      <c r="BO369" s="5">
        <f t="shared" si="5"/>
        <v>23.6712536295922</v>
      </c>
      <c r="BP369" s="5" t="s">
        <v>107</v>
      </c>
      <c r="BQ369" s="5">
        <v>7.2</v>
      </c>
      <c r="BR369" s="5">
        <v>5055</v>
      </c>
    </row>
    <row r="370" s="1" customFormat="1" spans="1:70">
      <c r="A370" s="1">
        <v>3256000</v>
      </c>
      <c r="B370" s="1" t="s">
        <v>1189</v>
      </c>
      <c r="C370" s="1">
        <v>1</v>
      </c>
      <c r="D370" s="4">
        <v>44921</v>
      </c>
      <c r="E370" s="4">
        <v>44927</v>
      </c>
      <c r="F370" s="7">
        <v>16310</v>
      </c>
      <c r="G370" s="1">
        <v>34</v>
      </c>
      <c r="H370" s="1">
        <v>10</v>
      </c>
      <c r="I370" s="1">
        <v>45</v>
      </c>
      <c r="J370" s="1">
        <v>10</v>
      </c>
      <c r="K370" s="1">
        <v>59</v>
      </c>
      <c r="L370" s="1">
        <v>31</v>
      </c>
      <c r="M370" s="1">
        <v>0.66</v>
      </c>
      <c r="N370" s="1">
        <v>10.1</v>
      </c>
      <c r="O370" s="7">
        <v>16310</v>
      </c>
      <c r="P370" s="4">
        <v>44921</v>
      </c>
      <c r="Q370" s="4">
        <v>44927</v>
      </c>
      <c r="R370" s="1" t="s">
        <v>80</v>
      </c>
      <c r="AO370" s="7">
        <v>16310</v>
      </c>
      <c r="AP370" s="5">
        <v>16.9</v>
      </c>
      <c r="AQ370" s="5">
        <v>116</v>
      </c>
      <c r="AR370" s="5">
        <v>36.3</v>
      </c>
      <c r="AS370" s="5">
        <v>293.9</v>
      </c>
      <c r="AT370" s="5">
        <v>85</v>
      </c>
      <c r="AU370" s="5">
        <v>25</v>
      </c>
      <c r="AV370" s="5">
        <v>22.7</v>
      </c>
      <c r="AW370" s="5">
        <v>21.84</v>
      </c>
      <c r="AX370" s="5">
        <v>296</v>
      </c>
      <c r="AY370" s="5">
        <v>27.69</v>
      </c>
      <c r="AZ370" s="5" t="s">
        <v>375</v>
      </c>
      <c r="BA370" s="5">
        <v>4.01</v>
      </c>
      <c r="BB370" s="12" t="s">
        <v>76</v>
      </c>
      <c r="BC370" s="5">
        <v>4.27</v>
      </c>
      <c r="BD370" s="5">
        <v>116</v>
      </c>
      <c r="BE370" s="5">
        <v>1.24</v>
      </c>
      <c r="BF370" s="5">
        <v>2.2</v>
      </c>
      <c r="BG370" s="15">
        <v>36.2</v>
      </c>
      <c r="BH370" s="5">
        <v>78</v>
      </c>
      <c r="BI370" s="5" t="s">
        <v>76</v>
      </c>
      <c r="BJ370" s="5">
        <v>16</v>
      </c>
      <c r="BK370" s="5">
        <v>190</v>
      </c>
      <c r="BL370" s="5">
        <v>120</v>
      </c>
      <c r="BM370" s="5">
        <v>50</v>
      </c>
      <c r="BN370" s="5">
        <v>175</v>
      </c>
      <c r="BO370" s="5">
        <f t="shared" si="5"/>
        <v>16.3265306122449</v>
      </c>
      <c r="BP370" s="5" t="s">
        <v>174</v>
      </c>
      <c r="BQ370" s="5">
        <v>11.9</v>
      </c>
      <c r="BR370" s="5" t="s">
        <v>118</v>
      </c>
    </row>
    <row r="371" s="1" customFormat="1" spans="1:70">
      <c r="A371" s="1">
        <v>3511641</v>
      </c>
      <c r="B371" s="1" t="s">
        <v>1190</v>
      </c>
      <c r="D371" s="4">
        <v>45282</v>
      </c>
      <c r="E371" s="4">
        <v>45286</v>
      </c>
      <c r="F371" s="7">
        <v>16324</v>
      </c>
      <c r="G371" s="1">
        <v>47</v>
      </c>
      <c r="H371" s="1">
        <v>10</v>
      </c>
      <c r="I371" s="1">
        <v>48</v>
      </c>
      <c r="J371" s="1">
        <v>9</v>
      </c>
      <c r="K371" s="1">
        <v>58</v>
      </c>
      <c r="L371" s="1">
        <v>31</v>
      </c>
      <c r="N371" s="1">
        <v>11.2</v>
      </c>
      <c r="O371" s="7">
        <v>16324</v>
      </c>
      <c r="P371" s="4">
        <v>45282</v>
      </c>
      <c r="Q371" s="4">
        <v>45286</v>
      </c>
      <c r="R371" s="1" t="s">
        <v>73</v>
      </c>
      <c r="AO371" s="7">
        <v>16324</v>
      </c>
      <c r="AP371" s="5">
        <v>6.9</v>
      </c>
      <c r="AQ371" s="5">
        <v>122</v>
      </c>
      <c r="AR371" s="5">
        <v>37</v>
      </c>
      <c r="AS371" s="5">
        <v>9.8</v>
      </c>
      <c r="AT371" s="5">
        <v>19</v>
      </c>
      <c r="AU371" s="5">
        <v>17</v>
      </c>
      <c r="AV371" s="5">
        <v>40.8</v>
      </c>
      <c r="AW371" s="5">
        <v>7.03</v>
      </c>
      <c r="AX371" s="5">
        <v>67</v>
      </c>
      <c r="AY371" s="5">
        <v>78.28</v>
      </c>
      <c r="AZ371" s="5">
        <v>7.38</v>
      </c>
      <c r="BA371" s="5">
        <v>3.56</v>
      </c>
      <c r="BB371" s="12" t="s">
        <v>76</v>
      </c>
      <c r="BC371" s="5">
        <v>4.69</v>
      </c>
      <c r="BD371" s="5">
        <v>122</v>
      </c>
      <c r="BE371" s="5">
        <v>0.81</v>
      </c>
      <c r="BF371" s="5">
        <v>1.67</v>
      </c>
      <c r="BG371" s="15">
        <v>36.4</v>
      </c>
      <c r="BH371" s="5">
        <v>70</v>
      </c>
      <c r="BI371" s="5">
        <v>80</v>
      </c>
      <c r="BJ371" s="5">
        <v>16</v>
      </c>
      <c r="BK371" s="5">
        <v>127</v>
      </c>
      <c r="BL371" s="5">
        <v>84</v>
      </c>
      <c r="BM371" s="5">
        <v>75</v>
      </c>
      <c r="BN371" s="5">
        <v>162</v>
      </c>
      <c r="BO371" s="5">
        <f t="shared" si="5"/>
        <v>28.5779606767261</v>
      </c>
      <c r="BP371" s="5" t="s">
        <v>121</v>
      </c>
      <c r="BQ371" s="5" t="s">
        <v>76</v>
      </c>
      <c r="BR371" s="5">
        <v>2742</v>
      </c>
    </row>
    <row r="372" s="1" customFormat="1" spans="1:70">
      <c r="A372" s="1">
        <v>3515418</v>
      </c>
      <c r="B372" s="1" t="s">
        <v>1191</v>
      </c>
      <c r="D372" s="4">
        <v>45287</v>
      </c>
      <c r="E372" s="4">
        <v>45296</v>
      </c>
      <c r="F372" s="7">
        <v>16331</v>
      </c>
      <c r="G372" s="1">
        <v>35</v>
      </c>
      <c r="H372" s="1">
        <v>10</v>
      </c>
      <c r="I372" s="1">
        <v>49</v>
      </c>
      <c r="J372" s="1">
        <v>9</v>
      </c>
      <c r="K372" s="1">
        <v>51</v>
      </c>
      <c r="L372" s="1">
        <v>26</v>
      </c>
      <c r="M372" s="1">
        <v>0.5</v>
      </c>
      <c r="N372" s="1">
        <v>9.9</v>
      </c>
      <c r="O372" s="7">
        <v>16331</v>
      </c>
      <c r="P372" s="4">
        <v>45287</v>
      </c>
      <c r="Q372" s="4">
        <v>45296</v>
      </c>
      <c r="R372" s="1" t="s">
        <v>80</v>
      </c>
      <c r="AO372" s="7">
        <v>16331</v>
      </c>
      <c r="AP372" s="5">
        <v>9.6</v>
      </c>
      <c r="AQ372" s="5">
        <v>90</v>
      </c>
      <c r="AR372" s="5">
        <v>37.6</v>
      </c>
      <c r="AS372" s="5">
        <v>9.4</v>
      </c>
      <c r="AT372" s="5">
        <v>29</v>
      </c>
      <c r="AU372" s="5" t="s">
        <v>171</v>
      </c>
      <c r="AV372" s="5">
        <v>39.6</v>
      </c>
      <c r="AW372" s="5">
        <v>9.72</v>
      </c>
      <c r="AX372" s="5">
        <v>71</v>
      </c>
      <c r="AY372" s="5" t="s">
        <v>125</v>
      </c>
      <c r="AZ372" s="5">
        <v>9.8</v>
      </c>
      <c r="BA372" s="5" t="s">
        <v>76</v>
      </c>
      <c r="BB372" s="12" t="s">
        <v>76</v>
      </c>
      <c r="BC372" s="5">
        <v>4.16</v>
      </c>
      <c r="BD372" s="5">
        <v>90</v>
      </c>
      <c r="BE372" s="5" t="s">
        <v>76</v>
      </c>
      <c r="BF372" s="5" t="s">
        <v>76</v>
      </c>
      <c r="BG372" s="5" t="s">
        <v>76</v>
      </c>
      <c r="BH372" s="5" t="s">
        <v>76</v>
      </c>
      <c r="BI372" s="5" t="s">
        <v>76</v>
      </c>
      <c r="BJ372" s="5" t="s">
        <v>76</v>
      </c>
      <c r="BK372" s="5" t="s">
        <v>76</v>
      </c>
      <c r="BL372" s="5" t="s">
        <v>76</v>
      </c>
      <c r="BM372" s="5" t="s">
        <v>76</v>
      </c>
      <c r="BN372" s="5" t="s">
        <v>76</v>
      </c>
      <c r="BO372" s="5" t="e">
        <f t="shared" si="5"/>
        <v>#VALUE!</v>
      </c>
      <c r="BP372" s="5" t="s">
        <v>168</v>
      </c>
      <c r="BQ372" s="5">
        <v>7.4</v>
      </c>
      <c r="BR372" s="5">
        <v>5798</v>
      </c>
    </row>
    <row r="373" s="1" customFormat="1" spans="1:70">
      <c r="A373" s="1">
        <v>3255967</v>
      </c>
      <c r="B373" s="1" t="s">
        <v>1192</v>
      </c>
      <c r="D373" s="4">
        <v>44921</v>
      </c>
      <c r="E373" s="4">
        <v>44942</v>
      </c>
      <c r="F373" s="7">
        <v>16355</v>
      </c>
      <c r="G373" s="1">
        <v>52</v>
      </c>
      <c r="H373" s="1">
        <v>10</v>
      </c>
      <c r="I373" s="1">
        <v>52</v>
      </c>
      <c r="J373" s="1">
        <v>9</v>
      </c>
      <c r="K373" s="1">
        <v>50</v>
      </c>
      <c r="L373" s="1">
        <v>25</v>
      </c>
      <c r="N373" s="1">
        <v>10.7</v>
      </c>
      <c r="O373" s="7">
        <v>16355</v>
      </c>
      <c r="P373" s="4">
        <v>44921</v>
      </c>
      <c r="Q373" s="4">
        <v>44942</v>
      </c>
      <c r="R373" s="1" t="s">
        <v>80</v>
      </c>
      <c r="AO373" s="7">
        <v>16355</v>
      </c>
      <c r="AP373" s="5">
        <v>9</v>
      </c>
      <c r="AQ373" s="5">
        <v>174</v>
      </c>
      <c r="AR373" s="5">
        <v>52.3</v>
      </c>
      <c r="AS373" s="5">
        <v>82.1</v>
      </c>
      <c r="AT373" s="5">
        <v>21</v>
      </c>
      <c r="AU373" s="5">
        <v>21</v>
      </c>
      <c r="AV373" s="5">
        <v>41.9</v>
      </c>
      <c r="AW373" s="5">
        <v>8.7</v>
      </c>
      <c r="AX373" s="5">
        <v>49</v>
      </c>
      <c r="AY373" s="5" t="s">
        <v>125</v>
      </c>
      <c r="AZ373" s="5">
        <v>7.35</v>
      </c>
      <c r="BA373" s="5">
        <v>3.55</v>
      </c>
      <c r="BB373" s="12" t="s">
        <v>76</v>
      </c>
      <c r="BC373" s="5">
        <v>4.13</v>
      </c>
      <c r="BD373" s="5">
        <v>174</v>
      </c>
      <c r="BE373" s="5">
        <v>0.67</v>
      </c>
      <c r="BF373" s="5">
        <v>2.01</v>
      </c>
      <c r="BG373" s="15">
        <v>37</v>
      </c>
      <c r="BH373" s="5">
        <v>90</v>
      </c>
      <c r="BI373" s="5" t="s">
        <v>76</v>
      </c>
      <c r="BJ373" s="5">
        <v>19</v>
      </c>
      <c r="BK373" s="5" t="s">
        <v>76</v>
      </c>
      <c r="BL373" s="5" t="s">
        <v>76</v>
      </c>
      <c r="BM373" s="5">
        <v>82</v>
      </c>
      <c r="BN373" s="5">
        <v>178</v>
      </c>
      <c r="BO373" s="5">
        <f t="shared" si="5"/>
        <v>25.8805706350208</v>
      </c>
      <c r="BP373" s="5" t="s">
        <v>83</v>
      </c>
      <c r="BQ373" s="5" t="s">
        <v>76</v>
      </c>
      <c r="BR373" s="5">
        <v>3236</v>
      </c>
    </row>
    <row r="374" s="1" customFormat="1" spans="1:70">
      <c r="A374" s="1">
        <v>3268553</v>
      </c>
      <c r="B374" s="1" t="s">
        <v>1193</v>
      </c>
      <c r="D374" s="4">
        <v>44944</v>
      </c>
      <c r="E374" s="4">
        <v>44961</v>
      </c>
      <c r="F374" s="7">
        <v>16360</v>
      </c>
      <c r="G374" s="1">
        <v>45</v>
      </c>
      <c r="H374" s="1">
        <v>10</v>
      </c>
      <c r="I374" s="1">
        <v>53</v>
      </c>
      <c r="J374" s="1">
        <v>10</v>
      </c>
      <c r="K374" s="1">
        <v>32</v>
      </c>
      <c r="L374" s="1">
        <v>16</v>
      </c>
      <c r="M374" s="1">
        <v>3.64</v>
      </c>
      <c r="N374" s="1">
        <v>17.2</v>
      </c>
      <c r="O374" s="7">
        <v>16360</v>
      </c>
      <c r="P374" s="4">
        <v>44944</v>
      </c>
      <c r="Q374" s="4">
        <v>44961</v>
      </c>
      <c r="R374" s="1" t="s">
        <v>80</v>
      </c>
      <c r="AO374" s="7">
        <v>16360</v>
      </c>
      <c r="AP374" s="5">
        <v>9.4</v>
      </c>
      <c r="AQ374" s="5">
        <v>95</v>
      </c>
      <c r="AR374" s="5">
        <v>36.4</v>
      </c>
      <c r="AS374" s="5">
        <v>87.7</v>
      </c>
      <c r="AT374" s="5">
        <v>59</v>
      </c>
      <c r="AU374" s="5">
        <v>68</v>
      </c>
      <c r="AV374" s="5">
        <v>33.1</v>
      </c>
      <c r="AW374" s="5">
        <v>9.96</v>
      </c>
      <c r="AX374" s="5">
        <v>78</v>
      </c>
      <c r="AY374" s="5" t="s">
        <v>125</v>
      </c>
      <c r="AZ374" s="5">
        <v>9.2</v>
      </c>
      <c r="BA374" s="5">
        <v>2.07</v>
      </c>
      <c r="BB374" s="12" t="s">
        <v>76</v>
      </c>
      <c r="BC374" s="5">
        <v>4.96</v>
      </c>
      <c r="BD374" s="5">
        <v>95</v>
      </c>
      <c r="BE374" s="5" t="s">
        <v>76</v>
      </c>
      <c r="BF374" s="5" t="s">
        <v>76</v>
      </c>
      <c r="BG374" s="15">
        <v>37.6</v>
      </c>
      <c r="BH374" s="5">
        <v>69</v>
      </c>
      <c r="BI374" s="5">
        <v>69</v>
      </c>
      <c r="BJ374" s="5">
        <v>18</v>
      </c>
      <c r="BK374" s="5">
        <v>125</v>
      </c>
      <c r="BL374" s="5">
        <v>79</v>
      </c>
      <c r="BM374" s="5" t="s">
        <v>76</v>
      </c>
      <c r="BN374" s="5" t="s">
        <v>76</v>
      </c>
      <c r="BO374" s="5" t="e">
        <f t="shared" si="5"/>
        <v>#VALUE!</v>
      </c>
      <c r="BP374" s="5" t="s">
        <v>85</v>
      </c>
      <c r="BQ374" s="5" t="s">
        <v>76</v>
      </c>
      <c r="BR374" s="5">
        <v>8184</v>
      </c>
    </row>
    <row r="375" s="1" customFormat="1" spans="1:70">
      <c r="A375" s="1">
        <v>3249554</v>
      </c>
      <c r="B375" s="1" t="s">
        <v>1194</v>
      </c>
      <c r="D375" s="4">
        <v>44900</v>
      </c>
      <c r="E375" s="4">
        <v>44907</v>
      </c>
      <c r="F375" s="7">
        <v>16365</v>
      </c>
      <c r="G375" s="1">
        <v>41</v>
      </c>
      <c r="H375" s="1">
        <v>9</v>
      </c>
      <c r="I375" s="1">
        <v>52</v>
      </c>
      <c r="J375" s="1">
        <v>9</v>
      </c>
      <c r="K375" s="1">
        <v>60</v>
      </c>
      <c r="L375" s="1">
        <v>32</v>
      </c>
      <c r="M375" s="1">
        <v>0.4</v>
      </c>
      <c r="N375" s="1">
        <v>14.5</v>
      </c>
      <c r="O375" s="7">
        <v>16365</v>
      </c>
      <c r="P375" s="4">
        <v>44900</v>
      </c>
      <c r="Q375" s="4">
        <v>44907</v>
      </c>
      <c r="R375" s="1" t="s">
        <v>80</v>
      </c>
      <c r="S375" s="1">
        <v>78</v>
      </c>
      <c r="T375" s="1">
        <v>15105205851</v>
      </c>
      <c r="V375" s="1">
        <v>1</v>
      </c>
      <c r="X375" s="1">
        <v>1</v>
      </c>
      <c r="Z375" s="1">
        <v>1</v>
      </c>
      <c r="AG375" s="1">
        <v>1</v>
      </c>
      <c r="AH375" s="1">
        <v>1</v>
      </c>
      <c r="AI375" s="1">
        <v>1</v>
      </c>
      <c r="AJ375" s="1">
        <v>1</v>
      </c>
      <c r="AK375" s="1">
        <v>1</v>
      </c>
      <c r="AM375" s="1">
        <v>1</v>
      </c>
      <c r="AO375" s="7">
        <v>16365</v>
      </c>
      <c r="AP375" s="5">
        <v>4.2</v>
      </c>
      <c r="AQ375" s="5">
        <v>137</v>
      </c>
      <c r="AR375" s="5">
        <v>44</v>
      </c>
      <c r="AS375" s="5">
        <v>7.2</v>
      </c>
      <c r="AT375" s="5">
        <v>22</v>
      </c>
      <c r="AU375" s="5">
        <v>9</v>
      </c>
      <c r="AV375" s="5">
        <v>41.6</v>
      </c>
      <c r="AW375" s="5">
        <v>8.63</v>
      </c>
      <c r="AX375" s="5">
        <v>107</v>
      </c>
      <c r="AY375" s="5">
        <v>61.63</v>
      </c>
      <c r="AZ375" s="5">
        <v>9.69</v>
      </c>
      <c r="BA375" s="5">
        <v>5.54</v>
      </c>
      <c r="BB375" s="12" t="s">
        <v>76</v>
      </c>
      <c r="BC375" s="5">
        <v>4.71</v>
      </c>
      <c r="BD375" s="5">
        <v>137</v>
      </c>
      <c r="BE375" s="5">
        <v>0.76</v>
      </c>
      <c r="BF375" s="5">
        <v>3.55</v>
      </c>
      <c r="BG375" s="15">
        <v>36.2</v>
      </c>
      <c r="BH375" s="5" t="s">
        <v>76</v>
      </c>
      <c r="BI375" s="5">
        <v>64</v>
      </c>
      <c r="BJ375" s="5">
        <v>16</v>
      </c>
      <c r="BK375" s="5">
        <v>153</v>
      </c>
      <c r="BL375" s="5">
        <v>87</v>
      </c>
      <c r="BM375" s="5">
        <v>72</v>
      </c>
      <c r="BN375" s="5">
        <v>162</v>
      </c>
      <c r="BO375" s="5">
        <f t="shared" si="5"/>
        <v>27.4348422496571</v>
      </c>
      <c r="BP375" s="5" t="s">
        <v>78</v>
      </c>
      <c r="BQ375" s="5">
        <v>8.6</v>
      </c>
      <c r="BR375" s="5">
        <v>5552</v>
      </c>
    </row>
    <row r="376" s="1" customFormat="1" spans="1:70">
      <c r="A376" s="1">
        <v>3258280</v>
      </c>
      <c r="B376" s="1" t="s">
        <v>1195</v>
      </c>
      <c r="C376" s="1">
        <v>1</v>
      </c>
      <c r="D376" s="4">
        <v>44925</v>
      </c>
      <c r="E376" s="4">
        <v>44933</v>
      </c>
      <c r="F376" s="7">
        <v>16367</v>
      </c>
      <c r="G376" s="1">
        <v>42</v>
      </c>
      <c r="H376" s="1">
        <v>12</v>
      </c>
      <c r="I376" s="1">
        <v>57</v>
      </c>
      <c r="J376" s="1">
        <v>11</v>
      </c>
      <c r="K376" s="1">
        <v>40</v>
      </c>
      <c r="L376" s="1">
        <v>20</v>
      </c>
      <c r="N376" s="1">
        <v>17</v>
      </c>
      <c r="O376" s="7">
        <v>16367</v>
      </c>
      <c r="P376" s="4">
        <v>44925</v>
      </c>
      <c r="Q376" s="4">
        <v>44933</v>
      </c>
      <c r="R376" s="1" t="s">
        <v>80</v>
      </c>
      <c r="AO376" s="7">
        <v>16367</v>
      </c>
      <c r="AP376" s="5">
        <v>8.9</v>
      </c>
      <c r="AQ376" s="5">
        <v>87</v>
      </c>
      <c r="AR376" s="5">
        <v>45.5</v>
      </c>
      <c r="AS376" s="5">
        <v>9.9</v>
      </c>
      <c r="AT376" s="5">
        <v>43</v>
      </c>
      <c r="AU376" s="5">
        <v>6</v>
      </c>
      <c r="AV376" s="5" t="s">
        <v>1196</v>
      </c>
      <c r="AW376" s="5">
        <v>5.64</v>
      </c>
      <c r="AX376" s="5">
        <v>91</v>
      </c>
      <c r="AY376" s="5" t="s">
        <v>125</v>
      </c>
      <c r="AZ376" s="5">
        <v>8.55</v>
      </c>
      <c r="BA376" s="5">
        <v>4.7</v>
      </c>
      <c r="BB376" s="12" t="s">
        <v>76</v>
      </c>
      <c r="BC376" s="5" t="s">
        <v>4</v>
      </c>
      <c r="BD376" s="5">
        <v>87</v>
      </c>
      <c r="BE376" s="5">
        <v>1.36</v>
      </c>
      <c r="BF376" s="5">
        <v>2.82</v>
      </c>
      <c r="BG376" s="15">
        <v>36.6</v>
      </c>
      <c r="BH376" s="5">
        <v>59</v>
      </c>
      <c r="BI376" s="5" t="s">
        <v>76</v>
      </c>
      <c r="BJ376" s="5">
        <v>16</v>
      </c>
      <c r="BK376" s="5">
        <v>131</v>
      </c>
      <c r="BL376" s="5">
        <v>82</v>
      </c>
      <c r="BM376" s="5">
        <v>100</v>
      </c>
      <c r="BN376" s="5">
        <v>183</v>
      </c>
      <c r="BO376" s="5">
        <f t="shared" si="5"/>
        <v>29.8605512257756</v>
      </c>
      <c r="BP376" s="5" t="s">
        <v>174</v>
      </c>
      <c r="BQ376" s="5">
        <v>6.9</v>
      </c>
      <c r="BR376" s="5" t="s">
        <v>118</v>
      </c>
    </row>
    <row r="377" s="1" customFormat="1" spans="1:70">
      <c r="A377" s="1">
        <v>3502320</v>
      </c>
      <c r="B377" s="1" t="s">
        <v>1197</v>
      </c>
      <c r="C377" s="1">
        <v>1</v>
      </c>
      <c r="D377" s="4">
        <v>45271</v>
      </c>
      <c r="E377" s="4">
        <v>45279</v>
      </c>
      <c r="F377" s="7">
        <v>16379</v>
      </c>
      <c r="G377" s="1">
        <v>39</v>
      </c>
      <c r="H377" s="1">
        <v>9</v>
      </c>
      <c r="I377" s="1">
        <v>61</v>
      </c>
      <c r="J377" s="1">
        <v>9</v>
      </c>
      <c r="K377" s="1">
        <v>38</v>
      </c>
      <c r="L377" s="1">
        <v>19</v>
      </c>
      <c r="N377" s="10">
        <v>12</v>
      </c>
      <c r="O377" s="7">
        <v>16379</v>
      </c>
      <c r="P377" s="4">
        <v>45271</v>
      </c>
      <c r="Q377" s="4">
        <v>45279</v>
      </c>
      <c r="R377" s="1" t="s">
        <v>80</v>
      </c>
      <c r="AO377" s="7">
        <v>16379</v>
      </c>
      <c r="AP377" s="5">
        <v>12</v>
      </c>
      <c r="AQ377" s="5">
        <v>121</v>
      </c>
      <c r="AR377" s="5">
        <v>38.4</v>
      </c>
      <c r="AS377" s="5">
        <v>35.5</v>
      </c>
      <c r="AT377" s="5">
        <v>12</v>
      </c>
      <c r="AU377" s="5">
        <v>11</v>
      </c>
      <c r="AV377" s="5">
        <v>38.1</v>
      </c>
      <c r="AW377" s="5">
        <v>13.3</v>
      </c>
      <c r="AX377" s="5">
        <v>140</v>
      </c>
      <c r="AY377" s="5">
        <v>45.07</v>
      </c>
      <c r="AZ377" s="5" t="s">
        <v>75</v>
      </c>
      <c r="BA377" s="5">
        <v>3.69</v>
      </c>
      <c r="BB377" s="12" t="s">
        <v>76</v>
      </c>
      <c r="BC377" s="5">
        <v>4.46</v>
      </c>
      <c r="BD377" s="5">
        <v>121</v>
      </c>
      <c r="BE377" s="5">
        <v>1.31</v>
      </c>
      <c r="BF377" s="5">
        <v>1.34</v>
      </c>
      <c r="BG377" s="15">
        <v>36.4</v>
      </c>
      <c r="BH377" s="5">
        <v>97</v>
      </c>
      <c r="BI377" s="5">
        <v>97</v>
      </c>
      <c r="BJ377" s="5">
        <v>17</v>
      </c>
      <c r="BK377" s="5">
        <v>139</v>
      </c>
      <c r="BL377" s="5">
        <v>81</v>
      </c>
      <c r="BM377" s="5">
        <v>55</v>
      </c>
      <c r="BN377" s="5">
        <v>164</v>
      </c>
      <c r="BO377" s="5">
        <f t="shared" si="5"/>
        <v>20.4491374182035</v>
      </c>
      <c r="BP377" s="5" t="s">
        <v>156</v>
      </c>
      <c r="BQ377" s="5">
        <v>5.8</v>
      </c>
      <c r="BR377" s="5" t="s">
        <v>176</v>
      </c>
    </row>
    <row r="378" s="1" customFormat="1" spans="1:70">
      <c r="A378" s="1">
        <v>3484095</v>
      </c>
      <c r="B378" s="1" t="s">
        <v>1198</v>
      </c>
      <c r="D378" s="4">
        <v>45245</v>
      </c>
      <c r="E378" s="4">
        <v>45261</v>
      </c>
      <c r="F378" s="7">
        <v>16393</v>
      </c>
      <c r="G378" s="1">
        <v>42</v>
      </c>
      <c r="H378" s="1">
        <v>8</v>
      </c>
      <c r="I378" s="1">
        <v>51</v>
      </c>
      <c r="J378" s="1">
        <v>8</v>
      </c>
      <c r="K378" s="1">
        <v>36</v>
      </c>
      <c r="L378" s="1">
        <v>18</v>
      </c>
      <c r="M378" s="1">
        <v>1.22</v>
      </c>
      <c r="O378" s="7">
        <v>16393</v>
      </c>
      <c r="P378" s="4">
        <v>45245</v>
      </c>
      <c r="Q378" s="4">
        <v>45261</v>
      </c>
      <c r="R378" s="1" t="s">
        <v>80</v>
      </c>
      <c r="AO378" s="7">
        <v>16393</v>
      </c>
      <c r="AP378" s="5">
        <v>9.2</v>
      </c>
      <c r="AQ378" s="5">
        <v>93</v>
      </c>
      <c r="AR378" s="5">
        <v>31.4</v>
      </c>
      <c r="AS378" s="5">
        <v>8.8</v>
      </c>
      <c r="AT378" s="5">
        <v>820</v>
      </c>
      <c r="AU378" s="5">
        <v>670</v>
      </c>
      <c r="AV378" s="5">
        <v>35.8</v>
      </c>
      <c r="AW378" s="5">
        <v>6.97</v>
      </c>
      <c r="AX378" s="5">
        <v>87</v>
      </c>
      <c r="AY378" s="5">
        <v>91.22</v>
      </c>
      <c r="AZ378" s="5" t="s">
        <v>75</v>
      </c>
      <c r="BA378" s="5">
        <v>2.04</v>
      </c>
      <c r="BB378" s="12" t="s">
        <v>76</v>
      </c>
      <c r="BC378" s="5">
        <v>6.87</v>
      </c>
      <c r="BD378" s="5">
        <v>93</v>
      </c>
      <c r="BE378" s="5">
        <v>0.48</v>
      </c>
      <c r="BF378" s="5">
        <v>1.28</v>
      </c>
      <c r="BG378" s="15">
        <v>36.5</v>
      </c>
      <c r="BH378" s="5">
        <v>65</v>
      </c>
      <c r="BI378" s="5">
        <v>70</v>
      </c>
      <c r="BJ378" s="5">
        <v>20</v>
      </c>
      <c r="BK378" s="5">
        <v>104</v>
      </c>
      <c r="BL378" s="5">
        <v>62</v>
      </c>
      <c r="BM378" s="5">
        <v>53</v>
      </c>
      <c r="BN378" s="5">
        <v>165</v>
      </c>
      <c r="BO378" s="5">
        <f t="shared" si="5"/>
        <v>19.4674012855831</v>
      </c>
      <c r="BP378" s="5" t="s">
        <v>83</v>
      </c>
      <c r="BQ378" s="5">
        <v>6.2</v>
      </c>
      <c r="BR378" s="5">
        <v>6430</v>
      </c>
    </row>
    <row r="379" s="1" customFormat="1" spans="1:70">
      <c r="A379" s="1">
        <v>3255709</v>
      </c>
      <c r="B379" s="1" t="s">
        <v>1199</v>
      </c>
      <c r="D379" s="4">
        <v>44920</v>
      </c>
      <c r="E379" s="4">
        <v>44926</v>
      </c>
      <c r="F379" s="7">
        <v>16394</v>
      </c>
      <c r="G379" s="1">
        <v>36</v>
      </c>
      <c r="H379" s="1">
        <v>7</v>
      </c>
      <c r="I379" s="1">
        <v>48</v>
      </c>
      <c r="J379" s="1">
        <v>7</v>
      </c>
      <c r="K379" s="1">
        <v>68</v>
      </c>
      <c r="L379" s="1">
        <v>38</v>
      </c>
      <c r="M379" s="1">
        <v>0.74</v>
      </c>
      <c r="N379" s="1">
        <v>11.8</v>
      </c>
      <c r="O379" s="7">
        <v>16394</v>
      </c>
      <c r="P379" s="4">
        <v>44920</v>
      </c>
      <c r="Q379" s="4">
        <v>44926</v>
      </c>
      <c r="R379" s="1" t="s">
        <v>80</v>
      </c>
      <c r="AO379" s="7">
        <v>16394</v>
      </c>
      <c r="AP379" s="5">
        <v>9.2</v>
      </c>
      <c r="AQ379" s="5">
        <v>127</v>
      </c>
      <c r="AR379" s="5">
        <v>45</v>
      </c>
      <c r="AS379" s="5" t="s">
        <v>76</v>
      </c>
      <c r="AT379" s="5">
        <v>88</v>
      </c>
      <c r="AU379" s="5">
        <v>908</v>
      </c>
      <c r="AV379" s="5">
        <v>31.1</v>
      </c>
      <c r="AW379" s="5">
        <v>6.88</v>
      </c>
      <c r="AX379" s="5">
        <v>58</v>
      </c>
      <c r="AY379" s="5" t="s">
        <v>125</v>
      </c>
      <c r="AZ379" s="5">
        <v>9.1</v>
      </c>
      <c r="BA379" s="5" t="s">
        <v>76</v>
      </c>
      <c r="BB379" s="12" t="s">
        <v>76</v>
      </c>
      <c r="BC379" s="5">
        <v>4.39</v>
      </c>
      <c r="BD379" s="5">
        <v>127</v>
      </c>
      <c r="BE379" s="5" t="s">
        <v>76</v>
      </c>
      <c r="BF379" s="5" t="s">
        <v>76</v>
      </c>
      <c r="BG379" s="15">
        <v>38</v>
      </c>
      <c r="BH379" s="5" t="s">
        <v>76</v>
      </c>
      <c r="BI379" s="5">
        <v>84</v>
      </c>
      <c r="BJ379" s="5">
        <v>18</v>
      </c>
      <c r="BK379" s="5">
        <v>137</v>
      </c>
      <c r="BL379" s="5">
        <v>69</v>
      </c>
      <c r="BM379" s="5">
        <v>65</v>
      </c>
      <c r="BN379" s="5">
        <v>160</v>
      </c>
      <c r="BO379" s="5">
        <f t="shared" si="5"/>
        <v>25.390625</v>
      </c>
      <c r="BP379" s="5" t="s">
        <v>85</v>
      </c>
      <c r="BQ379" s="5">
        <v>6.3</v>
      </c>
      <c r="BR379" s="5">
        <v>3754</v>
      </c>
    </row>
    <row r="380" s="1" customFormat="1" spans="1:70">
      <c r="A380" s="1">
        <v>3258955</v>
      </c>
      <c r="B380" s="1" t="s">
        <v>1200</v>
      </c>
      <c r="D380" s="4">
        <v>44926</v>
      </c>
      <c r="E380" s="4">
        <v>44939</v>
      </c>
      <c r="F380" s="7">
        <v>16407</v>
      </c>
      <c r="G380" s="1">
        <v>43</v>
      </c>
      <c r="H380" s="1">
        <v>9</v>
      </c>
      <c r="I380" s="1">
        <v>55</v>
      </c>
      <c r="J380" s="1">
        <v>9</v>
      </c>
      <c r="K380" s="1">
        <v>65</v>
      </c>
      <c r="L380" s="1">
        <v>36</v>
      </c>
      <c r="M380" s="1">
        <v>1.39</v>
      </c>
      <c r="N380" s="1">
        <v>10.1</v>
      </c>
      <c r="O380" s="7">
        <v>16407</v>
      </c>
      <c r="P380" s="4">
        <v>44926</v>
      </c>
      <c r="Q380" s="4">
        <v>44939</v>
      </c>
      <c r="R380" s="1" t="s">
        <v>80</v>
      </c>
      <c r="AO380" s="7">
        <v>16407</v>
      </c>
      <c r="AP380" s="5">
        <v>6.9</v>
      </c>
      <c r="AQ380" s="5">
        <v>91</v>
      </c>
      <c r="AR380" s="5">
        <v>27.6</v>
      </c>
      <c r="AS380" s="5" t="s">
        <v>81</v>
      </c>
      <c r="AT380" s="5">
        <v>36</v>
      </c>
      <c r="AU380" s="5">
        <v>89</v>
      </c>
      <c r="AV380" s="5">
        <v>31.7</v>
      </c>
      <c r="AW380" s="5" t="s">
        <v>76</v>
      </c>
      <c r="AX380" s="5" t="s">
        <v>76</v>
      </c>
      <c r="AY380" s="5" t="s">
        <v>76</v>
      </c>
      <c r="AZ380" s="5" t="s">
        <v>76</v>
      </c>
      <c r="BA380" s="5" t="s">
        <v>76</v>
      </c>
      <c r="BB380" s="12" t="s">
        <v>76</v>
      </c>
      <c r="BC380" s="5">
        <v>4.91</v>
      </c>
      <c r="BD380" s="5">
        <v>91</v>
      </c>
      <c r="BE380" s="5" t="s">
        <v>76</v>
      </c>
      <c r="BF380" s="5" t="s">
        <v>76</v>
      </c>
      <c r="BG380" s="15">
        <v>36.6</v>
      </c>
      <c r="BH380" s="5">
        <v>76</v>
      </c>
      <c r="BI380" s="5">
        <v>76</v>
      </c>
      <c r="BJ380" s="5">
        <v>18</v>
      </c>
      <c r="BK380" s="5">
        <v>100</v>
      </c>
      <c r="BL380" s="5">
        <v>60</v>
      </c>
      <c r="BM380" s="5">
        <v>80</v>
      </c>
      <c r="BN380" s="5">
        <v>160</v>
      </c>
      <c r="BO380" s="5">
        <f t="shared" si="5"/>
        <v>31.25</v>
      </c>
      <c r="BP380" s="5" t="s">
        <v>588</v>
      </c>
      <c r="BQ380" s="5">
        <v>6.4</v>
      </c>
      <c r="BR380" s="5">
        <v>3488</v>
      </c>
    </row>
    <row r="381" s="1" customFormat="1" spans="1:70">
      <c r="A381" s="1" t="s">
        <v>1201</v>
      </c>
      <c r="B381" s="1" t="s">
        <v>1202</v>
      </c>
      <c r="D381" s="4">
        <v>44926</v>
      </c>
      <c r="E381" s="4">
        <v>44930</v>
      </c>
      <c r="F381" s="7">
        <v>16412</v>
      </c>
      <c r="G381" s="1">
        <v>35</v>
      </c>
      <c r="H381" s="1">
        <v>9</v>
      </c>
      <c r="I381" s="1">
        <v>52</v>
      </c>
      <c r="J381" s="1">
        <v>9</v>
      </c>
      <c r="K381" s="1">
        <v>59</v>
      </c>
      <c r="L381" s="1">
        <v>32</v>
      </c>
      <c r="M381" s="1">
        <v>0.68</v>
      </c>
      <c r="N381" s="1">
        <v>7.8</v>
      </c>
      <c r="O381" s="7">
        <v>16412</v>
      </c>
      <c r="P381" s="4">
        <v>44926</v>
      </c>
      <c r="Q381" s="4">
        <v>44930</v>
      </c>
      <c r="R381" s="1" t="s">
        <v>80</v>
      </c>
      <c r="AO381" s="7">
        <v>16412</v>
      </c>
      <c r="AP381" s="5" t="s">
        <v>1203</v>
      </c>
      <c r="AQ381" s="5" t="s">
        <v>411</v>
      </c>
      <c r="AR381" s="5" t="s">
        <v>676</v>
      </c>
      <c r="AS381" s="5" t="s">
        <v>1204</v>
      </c>
      <c r="AT381" s="5" t="s">
        <v>769</v>
      </c>
      <c r="AU381" s="5" t="s">
        <v>1205</v>
      </c>
      <c r="AV381" s="5" t="s">
        <v>1206</v>
      </c>
      <c r="AW381" s="5" t="s">
        <v>1207</v>
      </c>
      <c r="AX381" s="5" t="s">
        <v>103</v>
      </c>
      <c r="AY381" s="5" t="s">
        <v>76</v>
      </c>
      <c r="AZ381" s="5" t="s">
        <v>198</v>
      </c>
      <c r="BA381" s="5" t="s">
        <v>609</v>
      </c>
      <c r="BB381" s="12" t="s">
        <v>76</v>
      </c>
      <c r="BC381" s="5" t="s">
        <v>647</v>
      </c>
      <c r="BD381" s="5" t="s">
        <v>411</v>
      </c>
      <c r="BE381" s="5" t="s">
        <v>1208</v>
      </c>
      <c r="BF381" s="5" t="s">
        <v>1209</v>
      </c>
      <c r="BG381" s="15">
        <v>36.6</v>
      </c>
      <c r="BH381" s="5" t="s">
        <v>482</v>
      </c>
      <c r="BI381" s="5" t="s">
        <v>76</v>
      </c>
      <c r="BJ381" s="5" t="s">
        <v>293</v>
      </c>
      <c r="BK381" s="5" t="s">
        <v>1210</v>
      </c>
      <c r="BL381" s="5" t="s">
        <v>1006</v>
      </c>
      <c r="BM381" s="5" t="s">
        <v>468</v>
      </c>
      <c r="BN381" s="5">
        <v>165</v>
      </c>
      <c r="BO381" s="5">
        <f t="shared" si="5"/>
        <v>23.8751147842057</v>
      </c>
      <c r="BP381" s="5" t="s">
        <v>196</v>
      </c>
      <c r="BQ381" s="5" t="s">
        <v>76</v>
      </c>
      <c r="BR381" s="5">
        <v>1809</v>
      </c>
    </row>
    <row r="382" s="1" customFormat="1" spans="1:70">
      <c r="A382" s="1">
        <v>3326633</v>
      </c>
      <c r="B382" s="1" t="s">
        <v>1211</v>
      </c>
      <c r="D382" s="4">
        <v>45027</v>
      </c>
      <c r="E382" s="4">
        <v>45035</v>
      </c>
      <c r="F382" s="7">
        <v>16414</v>
      </c>
      <c r="G382" s="1">
        <v>43</v>
      </c>
      <c r="H382" s="1">
        <v>9</v>
      </c>
      <c r="I382" s="1">
        <v>47</v>
      </c>
      <c r="J382" s="1">
        <v>9</v>
      </c>
      <c r="K382" s="1">
        <v>58</v>
      </c>
      <c r="L382" s="1">
        <v>31</v>
      </c>
      <c r="M382" s="1">
        <v>0.67</v>
      </c>
      <c r="N382" s="1">
        <v>14.1</v>
      </c>
      <c r="O382" s="7">
        <v>16414</v>
      </c>
      <c r="P382" s="4">
        <v>45027</v>
      </c>
      <c r="Q382" s="4">
        <v>45035</v>
      </c>
      <c r="R382" s="1" t="s">
        <v>73</v>
      </c>
      <c r="AO382" s="7">
        <v>16414</v>
      </c>
      <c r="AP382" s="5">
        <v>5.1</v>
      </c>
      <c r="AQ382" s="5">
        <v>94</v>
      </c>
      <c r="AR382" s="5">
        <v>30.7</v>
      </c>
      <c r="AS382" s="5">
        <v>12.2</v>
      </c>
      <c r="AT382" s="5">
        <v>24</v>
      </c>
      <c r="AU382" s="5">
        <v>24</v>
      </c>
      <c r="AV382" s="5">
        <v>39.9</v>
      </c>
      <c r="AW382" s="5">
        <v>18.29</v>
      </c>
      <c r="AX382" s="5">
        <v>97</v>
      </c>
      <c r="AY382" s="5">
        <v>51.21</v>
      </c>
      <c r="AZ382" s="5" t="s">
        <v>75</v>
      </c>
      <c r="BA382" s="5">
        <v>4.78</v>
      </c>
      <c r="BB382" s="12" t="s">
        <v>76</v>
      </c>
      <c r="BC382" s="5">
        <v>4.44</v>
      </c>
      <c r="BD382" s="5">
        <v>94</v>
      </c>
      <c r="BE382" s="5" t="s">
        <v>76</v>
      </c>
      <c r="BF382" s="5" t="s">
        <v>76</v>
      </c>
      <c r="BG382" s="15">
        <v>36.5</v>
      </c>
      <c r="BH382" s="5">
        <v>77</v>
      </c>
      <c r="BI382" s="5">
        <v>77</v>
      </c>
      <c r="BJ382" s="5">
        <v>18</v>
      </c>
      <c r="BK382" s="5">
        <v>130</v>
      </c>
      <c r="BL382" s="5">
        <v>51</v>
      </c>
      <c r="BM382" s="5">
        <v>60</v>
      </c>
      <c r="BN382" s="5">
        <v>155</v>
      </c>
      <c r="BO382" s="5">
        <f t="shared" si="5"/>
        <v>24.9739854318418</v>
      </c>
      <c r="BP382" s="5" t="s">
        <v>107</v>
      </c>
      <c r="BQ382" s="5">
        <v>5.4</v>
      </c>
      <c r="BR382" s="5">
        <v>4794</v>
      </c>
    </row>
    <row r="383" s="1" customFormat="1" spans="1:70">
      <c r="A383" s="1">
        <v>3248668</v>
      </c>
      <c r="B383" s="1" t="s">
        <v>1212</v>
      </c>
      <c r="D383" s="4">
        <v>44898</v>
      </c>
      <c r="E383" s="4">
        <v>44919</v>
      </c>
      <c r="F383" s="7">
        <v>16419</v>
      </c>
      <c r="G383" s="1">
        <v>47</v>
      </c>
      <c r="H383" s="1">
        <v>11</v>
      </c>
      <c r="I383" s="1">
        <v>61</v>
      </c>
      <c r="J383" s="1">
        <v>11</v>
      </c>
      <c r="K383" s="1">
        <v>42</v>
      </c>
      <c r="L383" s="1">
        <v>21</v>
      </c>
      <c r="M383" s="1">
        <v>1.65</v>
      </c>
      <c r="O383" s="7">
        <v>16419</v>
      </c>
      <c r="P383" s="4">
        <v>44898</v>
      </c>
      <c r="Q383" s="4">
        <v>44919</v>
      </c>
      <c r="R383" s="1" t="s">
        <v>80</v>
      </c>
      <c r="AO383" s="7">
        <v>16419</v>
      </c>
      <c r="AP383" s="5">
        <v>9.5</v>
      </c>
      <c r="AQ383" s="5">
        <v>95</v>
      </c>
      <c r="AR383" s="5">
        <v>32</v>
      </c>
      <c r="AS383" s="5">
        <v>95.4</v>
      </c>
      <c r="AT383" s="5">
        <v>70</v>
      </c>
      <c r="AU383" s="5">
        <v>56</v>
      </c>
      <c r="AV383" s="5">
        <v>34.5</v>
      </c>
      <c r="AW383" s="5">
        <v>9.45</v>
      </c>
      <c r="AX383" s="5">
        <v>93</v>
      </c>
      <c r="AY383" s="5" t="s">
        <v>125</v>
      </c>
      <c r="AZ383" s="5">
        <v>9.9</v>
      </c>
      <c r="BA383" s="5">
        <v>3.61</v>
      </c>
      <c r="BB383" s="12" t="s">
        <v>76</v>
      </c>
      <c r="BC383" s="5">
        <v>4.52</v>
      </c>
      <c r="BD383" s="5">
        <v>95</v>
      </c>
      <c r="BE383" s="5">
        <v>0.87</v>
      </c>
      <c r="BF383" s="5">
        <v>2.53</v>
      </c>
      <c r="BG383" s="15">
        <v>37</v>
      </c>
      <c r="BH383" s="5" t="s">
        <v>76</v>
      </c>
      <c r="BI383" s="5">
        <v>91</v>
      </c>
      <c r="BJ383" s="5">
        <v>18</v>
      </c>
      <c r="BK383" s="5">
        <v>123</v>
      </c>
      <c r="BL383" s="5">
        <v>79</v>
      </c>
      <c r="BM383" s="5" t="s">
        <v>77</v>
      </c>
      <c r="BN383" s="5" t="s">
        <v>77</v>
      </c>
      <c r="BO383" s="5" t="e">
        <f t="shared" si="5"/>
        <v>#VALUE!</v>
      </c>
      <c r="BP383" s="5" t="s">
        <v>158</v>
      </c>
      <c r="BQ383" s="5" t="s">
        <v>76</v>
      </c>
      <c r="BR383" s="5">
        <v>3659.37</v>
      </c>
    </row>
    <row r="384" s="1" customFormat="1" spans="1:70">
      <c r="A384" s="1">
        <v>3331255</v>
      </c>
      <c r="B384" s="1" t="s">
        <v>1213</v>
      </c>
      <c r="D384" s="4">
        <v>45034</v>
      </c>
      <c r="E384" s="4">
        <v>45037</v>
      </c>
      <c r="F384" s="7">
        <v>16474</v>
      </c>
      <c r="G384" s="1">
        <v>59</v>
      </c>
      <c r="H384" s="1">
        <v>10</v>
      </c>
      <c r="I384" s="1">
        <v>45</v>
      </c>
      <c r="J384" s="1">
        <v>10</v>
      </c>
      <c r="K384" s="1">
        <v>64</v>
      </c>
      <c r="L384" s="1">
        <v>35</v>
      </c>
      <c r="N384" s="1">
        <v>8.4</v>
      </c>
      <c r="O384" s="7">
        <v>16474</v>
      </c>
      <c r="P384" s="4">
        <v>45034</v>
      </c>
      <c r="Q384" s="4">
        <v>45037</v>
      </c>
      <c r="R384" s="1" t="s">
        <v>80</v>
      </c>
      <c r="AO384" s="7">
        <v>16474</v>
      </c>
      <c r="AP384" s="5">
        <v>5.7</v>
      </c>
      <c r="AQ384" s="5">
        <v>158</v>
      </c>
      <c r="AR384" s="5">
        <v>48</v>
      </c>
      <c r="AS384" s="5">
        <v>3.4</v>
      </c>
      <c r="AT384" s="5">
        <v>16</v>
      </c>
      <c r="AU384" s="5">
        <v>8</v>
      </c>
      <c r="AV384" s="5">
        <v>39.8</v>
      </c>
      <c r="AW384" s="5">
        <v>3.85</v>
      </c>
      <c r="AX384" s="5">
        <v>67</v>
      </c>
      <c r="AY384" s="5">
        <v>105.78</v>
      </c>
      <c r="AZ384" s="5" t="s">
        <v>75</v>
      </c>
      <c r="BA384" s="5">
        <v>3.26</v>
      </c>
      <c r="BB384" s="12" t="s">
        <v>76</v>
      </c>
      <c r="BC384" s="5">
        <v>4.2</v>
      </c>
      <c r="BD384" s="5">
        <v>158</v>
      </c>
      <c r="BE384" s="5">
        <v>1.15</v>
      </c>
      <c r="BF384" s="5">
        <v>1.68</v>
      </c>
      <c r="BG384" s="15">
        <v>36.9</v>
      </c>
      <c r="BH384" s="5">
        <v>60</v>
      </c>
      <c r="BI384" s="5">
        <v>66</v>
      </c>
      <c r="BJ384" s="5">
        <v>18</v>
      </c>
      <c r="BK384" s="5">
        <v>147</v>
      </c>
      <c r="BL384" s="5">
        <v>97</v>
      </c>
      <c r="BM384" s="5">
        <v>77</v>
      </c>
      <c r="BN384" s="5">
        <v>170</v>
      </c>
      <c r="BO384" s="5">
        <f t="shared" si="5"/>
        <v>26.643598615917</v>
      </c>
      <c r="BP384" s="5" t="s">
        <v>161</v>
      </c>
      <c r="BQ384" s="5">
        <v>6.8</v>
      </c>
      <c r="BR384" s="5">
        <v>2519</v>
      </c>
    </row>
    <row r="385" s="1" customFormat="1" spans="1:70">
      <c r="A385" s="1">
        <v>3319835</v>
      </c>
      <c r="B385" s="1" t="s">
        <v>1214</v>
      </c>
      <c r="D385" s="4">
        <v>45018</v>
      </c>
      <c r="E385" s="4">
        <v>45022</v>
      </c>
      <c r="F385" s="7">
        <v>16478</v>
      </c>
      <c r="G385" s="1">
        <v>49</v>
      </c>
      <c r="H385" s="1">
        <v>10</v>
      </c>
      <c r="I385" s="1">
        <v>46</v>
      </c>
      <c r="J385" s="1">
        <v>9</v>
      </c>
      <c r="K385" s="1">
        <v>51</v>
      </c>
      <c r="L385" s="1">
        <v>26</v>
      </c>
      <c r="N385" s="1">
        <v>14.6</v>
      </c>
      <c r="O385" s="7">
        <v>16478</v>
      </c>
      <c r="P385" s="4">
        <v>45018</v>
      </c>
      <c r="Q385" s="4">
        <v>45022</v>
      </c>
      <c r="R385" s="1" t="s">
        <v>73</v>
      </c>
      <c r="AO385" s="7">
        <v>16478</v>
      </c>
      <c r="AP385" s="5">
        <v>5.5</v>
      </c>
      <c r="AQ385" s="5">
        <v>131</v>
      </c>
      <c r="AR385" s="5">
        <v>39.2</v>
      </c>
      <c r="AS385" s="5" t="s">
        <v>76</v>
      </c>
      <c r="AT385" s="5">
        <v>37</v>
      </c>
      <c r="AU385" s="5">
        <v>30</v>
      </c>
      <c r="AV385" s="5">
        <v>37.7</v>
      </c>
      <c r="AW385" s="5">
        <v>4.77</v>
      </c>
      <c r="AX385" s="5">
        <v>89</v>
      </c>
      <c r="AY385" s="5">
        <v>56.56</v>
      </c>
      <c r="AZ385" s="5">
        <v>4.51</v>
      </c>
      <c r="BA385" s="5">
        <v>2.81</v>
      </c>
      <c r="BB385" s="12" t="s">
        <v>76</v>
      </c>
      <c r="BC385" s="5">
        <v>4.7</v>
      </c>
      <c r="BD385" s="5">
        <v>131</v>
      </c>
      <c r="BE385" s="5">
        <v>0.83</v>
      </c>
      <c r="BF385" s="5">
        <v>1.42</v>
      </c>
      <c r="BG385" s="15">
        <v>36.4</v>
      </c>
      <c r="BH385" s="5">
        <v>70</v>
      </c>
      <c r="BI385" s="5">
        <v>84</v>
      </c>
      <c r="BJ385" s="5">
        <v>12</v>
      </c>
      <c r="BK385" s="5">
        <v>129</v>
      </c>
      <c r="BL385" s="5">
        <v>88</v>
      </c>
      <c r="BM385" s="5">
        <v>60</v>
      </c>
      <c r="BN385" s="5">
        <v>160</v>
      </c>
      <c r="BO385" s="5">
        <f t="shared" si="5"/>
        <v>23.4375</v>
      </c>
      <c r="BP385" s="5" t="s">
        <v>121</v>
      </c>
      <c r="BQ385" s="5">
        <v>5.6</v>
      </c>
      <c r="BR385" s="5">
        <v>1921</v>
      </c>
    </row>
    <row r="386" s="1" customFormat="1" spans="1:70">
      <c r="A386" s="1">
        <v>3288435</v>
      </c>
      <c r="B386" s="1" t="s">
        <v>1215</v>
      </c>
      <c r="D386" s="4">
        <v>44974</v>
      </c>
      <c r="E386" s="4">
        <v>44981</v>
      </c>
      <c r="F386" s="7">
        <v>16504</v>
      </c>
      <c r="G386" s="1">
        <v>36</v>
      </c>
      <c r="H386" s="1">
        <v>10</v>
      </c>
      <c r="I386" s="1">
        <v>50</v>
      </c>
      <c r="J386" s="1">
        <v>10</v>
      </c>
      <c r="K386" s="1">
        <v>43</v>
      </c>
      <c r="L386" s="1">
        <v>22</v>
      </c>
      <c r="M386" s="1">
        <v>0.85</v>
      </c>
      <c r="N386" s="1">
        <v>14.7</v>
      </c>
      <c r="O386" s="7">
        <v>16504</v>
      </c>
      <c r="P386" s="4">
        <v>44974</v>
      </c>
      <c r="Q386" s="4">
        <v>44981</v>
      </c>
      <c r="R386" s="1" t="s">
        <v>80</v>
      </c>
      <c r="AO386" s="7">
        <v>16504</v>
      </c>
      <c r="AP386" s="5">
        <v>6.9</v>
      </c>
      <c r="AQ386" s="5">
        <v>133</v>
      </c>
      <c r="AR386" s="5">
        <v>43.1</v>
      </c>
      <c r="AS386" s="5">
        <v>2.8</v>
      </c>
      <c r="AT386" s="5">
        <v>21</v>
      </c>
      <c r="AU386" s="5">
        <v>27</v>
      </c>
      <c r="AV386" s="5">
        <v>40.8</v>
      </c>
      <c r="AW386" s="5">
        <v>5.06</v>
      </c>
      <c r="AX386" s="5">
        <v>67</v>
      </c>
      <c r="AY386" s="5">
        <v>106.05</v>
      </c>
      <c r="AZ386" s="5">
        <v>5.76</v>
      </c>
      <c r="BA386" s="5">
        <v>4.49</v>
      </c>
      <c r="BB386" s="12" t="s">
        <v>76</v>
      </c>
      <c r="BC386" s="5">
        <v>4.26</v>
      </c>
      <c r="BD386" s="5">
        <v>133</v>
      </c>
      <c r="BE386" s="5">
        <v>0.9</v>
      </c>
      <c r="BF386" s="5">
        <v>2.86</v>
      </c>
      <c r="BG386" s="15">
        <v>36.3</v>
      </c>
      <c r="BH386" s="5">
        <v>96</v>
      </c>
      <c r="BI386" s="5" t="s">
        <v>76</v>
      </c>
      <c r="BJ386" s="5">
        <v>18</v>
      </c>
      <c r="BK386" s="5">
        <v>190</v>
      </c>
      <c r="BL386" s="5">
        <v>90</v>
      </c>
      <c r="BM386" s="5">
        <v>65</v>
      </c>
      <c r="BN386" s="5">
        <v>173</v>
      </c>
      <c r="BO386" s="5">
        <f t="shared" si="5"/>
        <v>21.7180660897457</v>
      </c>
      <c r="BP386" s="5" t="s">
        <v>83</v>
      </c>
      <c r="BQ386" s="5">
        <v>6.2</v>
      </c>
      <c r="BR386" s="5">
        <v>1854</v>
      </c>
    </row>
    <row r="387" s="1" customFormat="1" spans="1:70">
      <c r="A387" s="1" t="s">
        <v>1216</v>
      </c>
      <c r="B387" s="1" t="s">
        <v>1217</v>
      </c>
      <c r="C387" s="1" t="s">
        <v>273</v>
      </c>
      <c r="D387" s="4">
        <v>45282</v>
      </c>
      <c r="E387" s="4">
        <v>45286</v>
      </c>
      <c r="F387" s="7">
        <v>16512</v>
      </c>
      <c r="G387" s="1">
        <v>27</v>
      </c>
      <c r="H387" s="1">
        <v>8</v>
      </c>
      <c r="I387" s="1">
        <v>41</v>
      </c>
      <c r="J387" s="1">
        <v>8</v>
      </c>
      <c r="K387" s="1">
        <v>68</v>
      </c>
      <c r="L387" s="1">
        <v>38</v>
      </c>
      <c r="M387" s="1">
        <v>1.13</v>
      </c>
      <c r="N387" s="1">
        <v>16.2</v>
      </c>
      <c r="O387" s="7">
        <v>16512</v>
      </c>
      <c r="P387" s="4">
        <v>45282</v>
      </c>
      <c r="Q387" s="4">
        <v>45286</v>
      </c>
      <c r="R387" s="1" t="s">
        <v>73</v>
      </c>
      <c r="AO387" s="7">
        <v>16512</v>
      </c>
      <c r="AP387" s="5" t="s">
        <v>1203</v>
      </c>
      <c r="AQ387" s="5" t="s">
        <v>994</v>
      </c>
      <c r="AR387" s="5" t="s">
        <v>1218</v>
      </c>
      <c r="AS387" s="5" t="s">
        <v>1219</v>
      </c>
      <c r="AT387" s="5" t="s">
        <v>182</v>
      </c>
      <c r="AU387" s="5" t="s">
        <v>225</v>
      </c>
      <c r="AV387" s="5" t="s">
        <v>1220</v>
      </c>
      <c r="AW387" s="5" t="s">
        <v>645</v>
      </c>
      <c r="AX387" s="5" t="s">
        <v>384</v>
      </c>
      <c r="AY387" s="5" t="s">
        <v>125</v>
      </c>
      <c r="AZ387" s="5" t="s">
        <v>1221</v>
      </c>
      <c r="BA387" s="5" t="s">
        <v>76</v>
      </c>
      <c r="BB387" s="12" t="s">
        <v>76</v>
      </c>
      <c r="BC387" s="5" t="s">
        <v>1136</v>
      </c>
      <c r="BD387" s="5" t="s">
        <v>994</v>
      </c>
      <c r="BE387" s="5" t="s">
        <v>76</v>
      </c>
      <c r="BF387" s="5" t="s">
        <v>76</v>
      </c>
      <c r="BG387" s="15">
        <v>36.6</v>
      </c>
      <c r="BH387" s="5" t="s">
        <v>129</v>
      </c>
      <c r="BI387" s="5" t="s">
        <v>129</v>
      </c>
      <c r="BJ387" s="5" t="s">
        <v>293</v>
      </c>
      <c r="BK387" s="5" t="s">
        <v>1222</v>
      </c>
      <c r="BL387" s="5" t="s">
        <v>658</v>
      </c>
      <c r="BM387" s="5" t="s">
        <v>894</v>
      </c>
      <c r="BN387" s="5">
        <v>150</v>
      </c>
      <c r="BO387" s="5">
        <f t="shared" ref="BO387:BO450" si="6">BM387/(BN387/100)^2</f>
        <v>17.7777777777778</v>
      </c>
      <c r="BP387" s="5" t="s">
        <v>1223</v>
      </c>
      <c r="BQ387" s="5" t="s">
        <v>76</v>
      </c>
      <c r="BR387" s="5">
        <v>2327</v>
      </c>
    </row>
    <row r="388" s="1" customFormat="1" spans="1:70">
      <c r="A388" s="1">
        <v>3503560</v>
      </c>
      <c r="B388" s="1" t="s">
        <v>1224</v>
      </c>
      <c r="D388" s="4">
        <v>45271</v>
      </c>
      <c r="E388" s="4">
        <v>45282</v>
      </c>
      <c r="F388" s="7">
        <v>16532</v>
      </c>
      <c r="G388" s="1">
        <v>33</v>
      </c>
      <c r="H388" s="1">
        <v>8</v>
      </c>
      <c r="I388" s="1">
        <v>49</v>
      </c>
      <c r="J388" s="1">
        <v>8</v>
      </c>
      <c r="K388" s="1">
        <v>59</v>
      </c>
      <c r="L388" s="1">
        <v>31</v>
      </c>
      <c r="M388" s="9">
        <v>0.7</v>
      </c>
      <c r="O388" s="7">
        <v>16532</v>
      </c>
      <c r="P388" s="4">
        <v>45271</v>
      </c>
      <c r="Q388" s="4">
        <v>45282</v>
      </c>
      <c r="R388" s="1" t="s">
        <v>80</v>
      </c>
      <c r="AO388" s="7">
        <v>16532</v>
      </c>
      <c r="AP388" s="5">
        <v>6.4</v>
      </c>
      <c r="AQ388" s="5">
        <v>76</v>
      </c>
      <c r="AR388" s="5">
        <v>38.2</v>
      </c>
      <c r="AS388" s="5">
        <v>78.7</v>
      </c>
      <c r="AT388" s="5">
        <v>47</v>
      </c>
      <c r="AU388" s="5">
        <v>32</v>
      </c>
      <c r="AV388" s="5">
        <v>31</v>
      </c>
      <c r="AW388" s="5">
        <v>6.8</v>
      </c>
      <c r="AX388" s="5">
        <v>53</v>
      </c>
      <c r="AY388" s="5" t="s">
        <v>76</v>
      </c>
      <c r="AZ388" s="5" t="s">
        <v>75</v>
      </c>
      <c r="BA388" s="5" t="s">
        <v>76</v>
      </c>
      <c r="BB388" s="12" t="s">
        <v>76</v>
      </c>
      <c r="BC388" s="5">
        <v>4.14</v>
      </c>
      <c r="BD388" s="5">
        <v>76</v>
      </c>
      <c r="BE388" s="5" t="s">
        <v>76</v>
      </c>
      <c r="BF388" s="5" t="s">
        <v>76</v>
      </c>
      <c r="BG388" s="15">
        <v>36.8</v>
      </c>
      <c r="BH388" s="5">
        <v>110</v>
      </c>
      <c r="BI388" s="5" t="s">
        <v>76</v>
      </c>
      <c r="BJ388" s="5">
        <v>20</v>
      </c>
      <c r="BK388" s="5">
        <v>156</v>
      </c>
      <c r="BL388" s="5">
        <v>83</v>
      </c>
      <c r="BM388" s="5">
        <v>45</v>
      </c>
      <c r="BN388" s="5">
        <v>170</v>
      </c>
      <c r="BO388" s="5">
        <f t="shared" si="6"/>
        <v>15.5709342560554</v>
      </c>
      <c r="BP388" s="5" t="s">
        <v>394</v>
      </c>
      <c r="BQ388" s="5">
        <v>5.7</v>
      </c>
      <c r="BR388" s="5">
        <v>6496</v>
      </c>
    </row>
    <row r="389" s="1" customFormat="1" spans="1:70">
      <c r="A389" s="1">
        <v>3515220</v>
      </c>
      <c r="B389" s="1" t="s">
        <v>1225</v>
      </c>
      <c r="D389" s="4">
        <v>45287</v>
      </c>
      <c r="E389" s="4">
        <v>45295</v>
      </c>
      <c r="F389" s="7">
        <v>16539</v>
      </c>
      <c r="G389" s="1">
        <v>42</v>
      </c>
      <c r="H389" s="1">
        <v>9</v>
      </c>
      <c r="I389" s="1">
        <v>54</v>
      </c>
      <c r="J389" s="1">
        <v>9</v>
      </c>
      <c r="K389" s="1">
        <v>55</v>
      </c>
      <c r="L389" s="1">
        <v>29</v>
      </c>
      <c r="N389" s="1">
        <v>10.2</v>
      </c>
      <c r="O389" s="7">
        <v>16539</v>
      </c>
      <c r="P389" s="4">
        <v>45287</v>
      </c>
      <c r="Q389" s="4">
        <v>45295</v>
      </c>
      <c r="R389" s="1" t="s">
        <v>80</v>
      </c>
      <c r="AO389" s="7">
        <v>16539</v>
      </c>
      <c r="AP389" s="5">
        <v>8.1</v>
      </c>
      <c r="AQ389" s="5">
        <v>140</v>
      </c>
      <c r="AR389" s="5">
        <v>45.1</v>
      </c>
      <c r="AS389" s="5">
        <v>9.4</v>
      </c>
      <c r="AT389" s="5">
        <v>99</v>
      </c>
      <c r="AU389" s="5">
        <v>79</v>
      </c>
      <c r="AV389" s="5">
        <v>35</v>
      </c>
      <c r="AW389" s="5">
        <v>29.04</v>
      </c>
      <c r="AX389" s="5">
        <v>89</v>
      </c>
      <c r="AY389" s="5">
        <v>84.97</v>
      </c>
      <c r="AZ389" s="5">
        <v>8.62</v>
      </c>
      <c r="BA389" s="5">
        <v>4.27</v>
      </c>
      <c r="BB389" s="12" t="s">
        <v>76</v>
      </c>
      <c r="BC389" s="5">
        <v>4.64</v>
      </c>
      <c r="BD389" s="5">
        <v>140</v>
      </c>
      <c r="BE389" s="5">
        <v>1.5</v>
      </c>
      <c r="BF389" s="5">
        <v>1.95</v>
      </c>
      <c r="BG389" s="15">
        <v>36.5</v>
      </c>
      <c r="BH389" s="5">
        <v>89</v>
      </c>
      <c r="BI389" s="5">
        <v>168</v>
      </c>
      <c r="BJ389" s="5">
        <v>16</v>
      </c>
      <c r="BK389" s="5">
        <v>126</v>
      </c>
      <c r="BL389" s="5">
        <v>90</v>
      </c>
      <c r="BM389" s="5">
        <v>77</v>
      </c>
      <c r="BN389" s="5">
        <v>175</v>
      </c>
      <c r="BO389" s="5">
        <f t="shared" si="6"/>
        <v>25.1428571428571</v>
      </c>
      <c r="BP389" s="5" t="s">
        <v>107</v>
      </c>
      <c r="BQ389" s="5" t="s">
        <v>76</v>
      </c>
      <c r="BR389" s="5" t="s">
        <v>118</v>
      </c>
    </row>
    <row r="390" s="1" customFormat="1" spans="1:70">
      <c r="A390" s="1">
        <v>3306740</v>
      </c>
      <c r="B390" s="1" t="s">
        <v>775</v>
      </c>
      <c r="D390" s="4">
        <v>44999</v>
      </c>
      <c r="E390" s="4">
        <v>45005</v>
      </c>
      <c r="F390" s="7">
        <v>16569</v>
      </c>
      <c r="G390" s="1">
        <v>43</v>
      </c>
      <c r="H390" s="1">
        <v>13</v>
      </c>
      <c r="I390" s="1">
        <v>42</v>
      </c>
      <c r="J390" s="1">
        <v>12</v>
      </c>
      <c r="K390" s="1">
        <v>58</v>
      </c>
      <c r="L390" s="1">
        <v>31</v>
      </c>
      <c r="O390" s="7">
        <v>16569</v>
      </c>
      <c r="P390" s="4">
        <v>44999</v>
      </c>
      <c r="Q390" s="4">
        <v>45005</v>
      </c>
      <c r="R390" s="1" t="s">
        <v>73</v>
      </c>
      <c r="AO390" s="7">
        <v>16569</v>
      </c>
      <c r="AP390" s="5">
        <v>3.4</v>
      </c>
      <c r="AQ390" s="5">
        <v>107</v>
      </c>
      <c r="AR390" s="5">
        <v>34.5</v>
      </c>
      <c r="AS390" s="5">
        <v>1.1</v>
      </c>
      <c r="AT390" s="5">
        <v>22</v>
      </c>
      <c r="AU390" s="5">
        <v>12</v>
      </c>
      <c r="AV390" s="5">
        <v>34.6</v>
      </c>
      <c r="AW390" s="5">
        <v>5.36</v>
      </c>
      <c r="AX390" s="5">
        <v>46</v>
      </c>
      <c r="AY390" s="5" t="s">
        <v>125</v>
      </c>
      <c r="AZ390" s="5" t="s">
        <v>75</v>
      </c>
      <c r="BA390" s="5">
        <v>4.81</v>
      </c>
      <c r="BB390" s="12" t="s">
        <v>76</v>
      </c>
      <c r="BC390" s="5">
        <v>4.5</v>
      </c>
      <c r="BD390" s="5">
        <v>107</v>
      </c>
      <c r="BE390" s="5">
        <v>1.2</v>
      </c>
      <c r="BF390" s="5">
        <v>3.1</v>
      </c>
      <c r="BG390" s="15">
        <v>36.5</v>
      </c>
      <c r="BH390" s="5">
        <v>70</v>
      </c>
      <c r="BI390" s="5">
        <v>70</v>
      </c>
      <c r="BJ390" s="5">
        <v>16</v>
      </c>
      <c r="BK390" s="5">
        <v>119</v>
      </c>
      <c r="BL390" s="5">
        <v>65</v>
      </c>
      <c r="BM390" s="5">
        <v>55</v>
      </c>
      <c r="BN390" s="5">
        <v>150</v>
      </c>
      <c r="BO390" s="5">
        <f t="shared" si="6"/>
        <v>24.4444444444444</v>
      </c>
      <c r="BP390" s="5" t="s">
        <v>107</v>
      </c>
      <c r="BQ390" s="5">
        <v>5.3</v>
      </c>
      <c r="BR390" s="5">
        <v>3261</v>
      </c>
    </row>
    <row r="391" s="1" customFormat="1" spans="1:70">
      <c r="A391" s="1">
        <v>3277055</v>
      </c>
      <c r="B391" s="1" t="s">
        <v>1226</v>
      </c>
      <c r="D391" s="4">
        <v>44959</v>
      </c>
      <c r="E391" s="4">
        <v>44970</v>
      </c>
      <c r="F391" s="7">
        <v>16572</v>
      </c>
      <c r="G391" s="1">
        <v>46</v>
      </c>
      <c r="H391" s="1">
        <v>10</v>
      </c>
      <c r="I391" s="1">
        <v>59</v>
      </c>
      <c r="J391" s="1">
        <v>10</v>
      </c>
      <c r="K391" s="1">
        <v>33</v>
      </c>
      <c r="L391" s="1">
        <v>16</v>
      </c>
      <c r="N391" s="1">
        <v>16.2</v>
      </c>
      <c r="O391" s="7">
        <v>16572</v>
      </c>
      <c r="P391" s="4">
        <v>44959</v>
      </c>
      <c r="Q391" s="4">
        <v>44970</v>
      </c>
      <c r="R391" s="1" t="s">
        <v>80</v>
      </c>
      <c r="AO391" s="7">
        <v>16572</v>
      </c>
      <c r="AP391" s="5">
        <v>6.4</v>
      </c>
      <c r="AQ391" s="5">
        <v>141</v>
      </c>
      <c r="AR391" s="5">
        <v>47.4</v>
      </c>
      <c r="AS391" s="5" t="s">
        <v>81</v>
      </c>
      <c r="AT391" s="5">
        <v>30</v>
      </c>
      <c r="AU391" s="5">
        <v>24</v>
      </c>
      <c r="AV391" s="5">
        <v>45.4</v>
      </c>
      <c r="AW391" s="5">
        <v>8.65</v>
      </c>
      <c r="AX391" s="5">
        <v>81</v>
      </c>
      <c r="AY391" s="5">
        <v>90.32</v>
      </c>
      <c r="AZ391" s="5" t="s">
        <v>75</v>
      </c>
      <c r="BA391" s="5">
        <v>2.99</v>
      </c>
      <c r="BB391" s="12" t="s">
        <v>76</v>
      </c>
      <c r="BC391" s="5">
        <v>5.36</v>
      </c>
      <c r="BD391" s="5">
        <v>141</v>
      </c>
      <c r="BE391" s="5">
        <v>1</v>
      </c>
      <c r="BF391" s="5">
        <v>1.79</v>
      </c>
      <c r="BG391" s="15">
        <v>36.6</v>
      </c>
      <c r="BH391" s="5">
        <v>114</v>
      </c>
      <c r="BI391" s="5">
        <v>114</v>
      </c>
      <c r="BJ391" s="5">
        <v>17</v>
      </c>
      <c r="BK391" s="5">
        <v>123</v>
      </c>
      <c r="BL391" s="5">
        <v>78</v>
      </c>
      <c r="BM391" s="5">
        <v>68</v>
      </c>
      <c r="BN391" s="5">
        <v>160</v>
      </c>
      <c r="BO391" s="5">
        <f t="shared" si="6"/>
        <v>26.5625</v>
      </c>
      <c r="BP391" s="5" t="s">
        <v>78</v>
      </c>
      <c r="BQ391" s="5" t="s">
        <v>76</v>
      </c>
      <c r="BR391" s="5">
        <v>6931</v>
      </c>
    </row>
    <row r="392" s="1" customFormat="1" spans="1:70">
      <c r="A392" s="1">
        <v>3310905</v>
      </c>
      <c r="B392" s="1" t="s">
        <v>1226</v>
      </c>
      <c r="D392" s="4">
        <v>45005</v>
      </c>
      <c r="E392" s="4">
        <v>45013</v>
      </c>
      <c r="F392" s="7">
        <v>16572</v>
      </c>
      <c r="G392" s="1">
        <v>48</v>
      </c>
      <c r="H392" s="1">
        <v>9</v>
      </c>
      <c r="I392" s="1">
        <v>60</v>
      </c>
      <c r="J392" s="1">
        <v>9</v>
      </c>
      <c r="K392" s="1">
        <v>36</v>
      </c>
      <c r="L392" s="1">
        <v>18</v>
      </c>
      <c r="N392" s="1">
        <v>20.1</v>
      </c>
      <c r="O392" s="7">
        <v>16572</v>
      </c>
      <c r="P392" s="4">
        <v>45005</v>
      </c>
      <c r="Q392" s="4">
        <v>45013</v>
      </c>
      <c r="R392" s="1" t="s">
        <v>80</v>
      </c>
      <c r="AO392" s="7">
        <v>16572</v>
      </c>
      <c r="AP392" s="5">
        <v>7.3</v>
      </c>
      <c r="AQ392" s="5">
        <v>122</v>
      </c>
      <c r="AR392" s="5">
        <v>40.6</v>
      </c>
      <c r="AS392" s="5">
        <v>4.3</v>
      </c>
      <c r="AT392" s="5">
        <v>20</v>
      </c>
      <c r="AU392" s="5">
        <v>18</v>
      </c>
      <c r="AV392" s="5">
        <v>42.8</v>
      </c>
      <c r="AW392" s="5">
        <v>9.15</v>
      </c>
      <c r="AX392" s="5">
        <v>76</v>
      </c>
      <c r="AY392" s="5">
        <v>96.06</v>
      </c>
      <c r="AZ392" s="5">
        <v>6.99</v>
      </c>
      <c r="BA392" s="5">
        <v>2.47</v>
      </c>
      <c r="BB392" s="12" t="s">
        <v>76</v>
      </c>
      <c r="BC392" s="5">
        <v>4.61</v>
      </c>
      <c r="BD392" s="5">
        <v>122</v>
      </c>
      <c r="BE392" s="5">
        <v>0.98</v>
      </c>
      <c r="BF392" s="5">
        <v>1.13</v>
      </c>
      <c r="BG392" s="15">
        <v>36.4</v>
      </c>
      <c r="BH392" s="5">
        <v>74</v>
      </c>
      <c r="BI392" s="5">
        <v>81</v>
      </c>
      <c r="BJ392" s="5">
        <v>18</v>
      </c>
      <c r="BK392" s="5">
        <v>120</v>
      </c>
      <c r="BL392" s="5">
        <v>68</v>
      </c>
      <c r="BM392" s="5">
        <v>65</v>
      </c>
      <c r="BN392" s="5">
        <v>160</v>
      </c>
      <c r="BO392" s="5">
        <f t="shared" si="6"/>
        <v>25.390625</v>
      </c>
      <c r="BP392" s="5" t="s">
        <v>78</v>
      </c>
      <c r="BQ392" s="5" t="s">
        <v>76</v>
      </c>
      <c r="BR392" s="5">
        <v>9976</v>
      </c>
    </row>
    <row r="393" s="1" customFormat="1" spans="1:70">
      <c r="A393" s="1">
        <v>3311368</v>
      </c>
      <c r="B393" s="1" t="s">
        <v>1227</v>
      </c>
      <c r="D393" s="4">
        <v>45008</v>
      </c>
      <c r="E393" s="4">
        <v>45015</v>
      </c>
      <c r="F393" s="7">
        <v>16579</v>
      </c>
      <c r="G393" s="1">
        <v>41</v>
      </c>
      <c r="H393" s="1">
        <v>11</v>
      </c>
      <c r="I393" s="1">
        <v>42</v>
      </c>
      <c r="J393" s="1">
        <v>11</v>
      </c>
      <c r="K393" s="1">
        <v>59</v>
      </c>
      <c r="L393" s="1">
        <v>31</v>
      </c>
      <c r="M393" s="1">
        <v>1.49</v>
      </c>
      <c r="N393" s="1">
        <v>32</v>
      </c>
      <c r="O393" s="7">
        <v>16579</v>
      </c>
      <c r="P393" s="4">
        <v>45008</v>
      </c>
      <c r="Q393" s="4">
        <v>45015</v>
      </c>
      <c r="R393" s="1" t="s">
        <v>80</v>
      </c>
      <c r="S393" s="1">
        <v>77</v>
      </c>
      <c r="T393" s="1" t="s">
        <v>1228</v>
      </c>
      <c r="V393" s="1">
        <v>1</v>
      </c>
      <c r="Z393" s="1">
        <v>1</v>
      </c>
      <c r="AC393" s="1">
        <v>1</v>
      </c>
      <c r="AG393" s="1">
        <v>1</v>
      </c>
      <c r="AK393" s="1">
        <v>1</v>
      </c>
      <c r="AM393" s="1">
        <v>1</v>
      </c>
      <c r="AO393" s="7">
        <v>16579</v>
      </c>
      <c r="AP393" s="5">
        <v>6.3</v>
      </c>
      <c r="AQ393" s="5">
        <v>120</v>
      </c>
      <c r="AR393" s="5">
        <v>37.1</v>
      </c>
      <c r="AS393" s="5">
        <v>6.8</v>
      </c>
      <c r="AT393" s="5">
        <v>23</v>
      </c>
      <c r="AU393" s="5">
        <v>23</v>
      </c>
      <c r="AV393" s="5">
        <v>41.9</v>
      </c>
      <c r="AW393" s="5">
        <v>7.9</v>
      </c>
      <c r="AX393" s="5">
        <v>78</v>
      </c>
      <c r="AY393" s="5">
        <v>88.99</v>
      </c>
      <c r="AZ393" s="5">
        <v>4.96</v>
      </c>
      <c r="BA393" s="5">
        <v>2.96</v>
      </c>
      <c r="BB393" s="12" t="s">
        <v>76</v>
      </c>
      <c r="BC393" s="5">
        <v>4.29</v>
      </c>
      <c r="BD393" s="5">
        <v>120</v>
      </c>
      <c r="BE393" s="5">
        <v>1.33</v>
      </c>
      <c r="BF393" s="5">
        <v>1.45</v>
      </c>
      <c r="BG393" s="15">
        <v>36.5</v>
      </c>
      <c r="BH393" s="5">
        <v>92</v>
      </c>
      <c r="BI393" s="5">
        <v>92</v>
      </c>
      <c r="BJ393" s="5">
        <v>20</v>
      </c>
      <c r="BK393" s="5">
        <v>119</v>
      </c>
      <c r="BL393" s="5">
        <v>67</v>
      </c>
      <c r="BM393" s="5">
        <v>77</v>
      </c>
      <c r="BN393" s="5">
        <v>174</v>
      </c>
      <c r="BO393" s="5">
        <f t="shared" si="6"/>
        <v>25.4326859558726</v>
      </c>
      <c r="BP393" s="5" t="s">
        <v>156</v>
      </c>
      <c r="BQ393" s="5" t="s">
        <v>76</v>
      </c>
      <c r="BR393" s="5">
        <v>5544</v>
      </c>
    </row>
    <row r="394" s="1" customFormat="1" spans="1:70">
      <c r="A394" s="1" t="s">
        <v>1229</v>
      </c>
      <c r="B394" s="1" t="s">
        <v>1230</v>
      </c>
      <c r="D394" s="4">
        <v>44990</v>
      </c>
      <c r="E394" s="4">
        <v>45001</v>
      </c>
      <c r="F394" s="7">
        <v>16584</v>
      </c>
      <c r="G394" s="1">
        <v>37</v>
      </c>
      <c r="H394" s="1">
        <v>9</v>
      </c>
      <c r="I394" s="1">
        <v>46</v>
      </c>
      <c r="J394" s="1">
        <v>9</v>
      </c>
      <c r="K394" s="1">
        <v>67</v>
      </c>
      <c r="L394" s="1">
        <v>37</v>
      </c>
      <c r="M394" s="1">
        <v>0.85</v>
      </c>
      <c r="N394" s="1">
        <v>10.9</v>
      </c>
      <c r="O394" s="7">
        <v>16584</v>
      </c>
      <c r="P394" s="4">
        <v>44990</v>
      </c>
      <c r="Q394" s="4">
        <v>45001</v>
      </c>
      <c r="R394" s="1" t="s">
        <v>80</v>
      </c>
      <c r="AO394" s="7">
        <v>16584</v>
      </c>
      <c r="AP394" s="5" t="s">
        <v>1231</v>
      </c>
      <c r="AQ394" s="5" t="s">
        <v>942</v>
      </c>
      <c r="AR394" s="5" t="s">
        <v>1232</v>
      </c>
      <c r="AS394" s="5" t="s">
        <v>656</v>
      </c>
      <c r="AT394" s="5" t="s">
        <v>204</v>
      </c>
      <c r="AU394" s="5" t="s">
        <v>579</v>
      </c>
      <c r="AV394" s="5" t="s">
        <v>345</v>
      </c>
      <c r="AW394" s="5" t="s">
        <v>478</v>
      </c>
      <c r="AX394" s="5" t="s">
        <v>103</v>
      </c>
      <c r="AY394" s="5" t="s">
        <v>1233</v>
      </c>
      <c r="AZ394" s="5" t="s">
        <v>75</v>
      </c>
      <c r="BA394" s="5" t="s">
        <v>1234</v>
      </c>
      <c r="BB394" s="12" t="s">
        <v>76</v>
      </c>
      <c r="BC394" s="5" t="s">
        <v>893</v>
      </c>
      <c r="BD394" s="5" t="s">
        <v>942</v>
      </c>
      <c r="BE394" s="5" t="s">
        <v>1235</v>
      </c>
      <c r="BF394" s="5" t="s">
        <v>1236</v>
      </c>
      <c r="BG394" s="15">
        <v>36.6</v>
      </c>
      <c r="BH394" s="5" t="s">
        <v>140</v>
      </c>
      <c r="BI394" s="5" t="s">
        <v>140</v>
      </c>
      <c r="BJ394" s="5" t="s">
        <v>445</v>
      </c>
      <c r="BK394" s="5" t="s">
        <v>481</v>
      </c>
      <c r="BL394" s="5" t="s">
        <v>129</v>
      </c>
      <c r="BM394" s="5" t="s">
        <v>352</v>
      </c>
      <c r="BN394" s="5">
        <v>165</v>
      </c>
      <c r="BO394" s="5">
        <f t="shared" si="6"/>
        <v>20.2020202020202</v>
      </c>
      <c r="BP394" s="5" t="s">
        <v>1237</v>
      </c>
      <c r="BQ394" s="5" t="s">
        <v>76</v>
      </c>
      <c r="BR394" s="5">
        <v>10886</v>
      </c>
    </row>
    <row r="395" s="1" customFormat="1" spans="1:70">
      <c r="A395" s="1">
        <v>3295245</v>
      </c>
      <c r="B395" s="1" t="s">
        <v>1238</v>
      </c>
      <c r="D395" s="4">
        <v>44984</v>
      </c>
      <c r="E395" s="4">
        <v>44992</v>
      </c>
      <c r="F395" s="7">
        <v>16585</v>
      </c>
      <c r="G395" s="1">
        <v>35</v>
      </c>
      <c r="H395" s="1">
        <v>9</v>
      </c>
      <c r="I395" s="1">
        <v>46</v>
      </c>
      <c r="J395" s="1">
        <v>9</v>
      </c>
      <c r="K395" s="1">
        <v>60</v>
      </c>
      <c r="L395" s="1">
        <v>32</v>
      </c>
      <c r="M395" s="1">
        <v>0.59</v>
      </c>
      <c r="N395" s="1">
        <v>10.6</v>
      </c>
      <c r="O395" s="7">
        <v>16585</v>
      </c>
      <c r="P395" s="4">
        <v>44984</v>
      </c>
      <c r="Q395" s="4">
        <v>44992</v>
      </c>
      <c r="R395" s="1" t="s">
        <v>73</v>
      </c>
      <c r="AO395" s="7">
        <v>16585</v>
      </c>
      <c r="AP395" s="5">
        <v>4.3</v>
      </c>
      <c r="AQ395" s="5">
        <v>126</v>
      </c>
      <c r="AR395" s="5">
        <v>38.8</v>
      </c>
      <c r="AS395" s="5" t="s">
        <v>76</v>
      </c>
      <c r="AT395" s="5">
        <v>35</v>
      </c>
      <c r="AU395" s="5">
        <v>19</v>
      </c>
      <c r="AV395" s="5">
        <v>38.2</v>
      </c>
      <c r="AW395" s="5">
        <v>6.54</v>
      </c>
      <c r="AX395" s="5">
        <v>70</v>
      </c>
      <c r="AY395" s="5">
        <v>74.81</v>
      </c>
      <c r="AZ395" s="5" t="s">
        <v>75</v>
      </c>
      <c r="BA395" s="5">
        <v>3.92</v>
      </c>
      <c r="BB395" s="12" t="s">
        <v>76</v>
      </c>
      <c r="BC395" s="5">
        <v>4.41</v>
      </c>
      <c r="BD395" s="5">
        <v>126</v>
      </c>
      <c r="BE395" s="5" t="s">
        <v>76</v>
      </c>
      <c r="BF395" s="5" t="s">
        <v>76</v>
      </c>
      <c r="BG395" s="15">
        <v>36.6</v>
      </c>
      <c r="BH395" s="5">
        <v>64</v>
      </c>
      <c r="BI395" s="5" t="s">
        <v>76</v>
      </c>
      <c r="BJ395" s="5">
        <v>18</v>
      </c>
      <c r="BK395" s="5">
        <v>141</v>
      </c>
      <c r="BL395" s="5">
        <v>70</v>
      </c>
      <c r="BM395" s="5">
        <v>46</v>
      </c>
      <c r="BN395" s="5">
        <v>150</v>
      </c>
      <c r="BO395" s="5">
        <f t="shared" si="6"/>
        <v>20.4444444444444</v>
      </c>
      <c r="BP395" s="5" t="s">
        <v>107</v>
      </c>
      <c r="BQ395" s="5">
        <v>5.4</v>
      </c>
      <c r="BR395" s="5">
        <v>1982</v>
      </c>
    </row>
    <row r="396" s="1" customFormat="1" spans="1:70">
      <c r="A396" s="1">
        <v>3310829</v>
      </c>
      <c r="B396" s="1" t="s">
        <v>1239</v>
      </c>
      <c r="D396" s="4">
        <v>45005</v>
      </c>
      <c r="E396" s="4">
        <v>45014</v>
      </c>
      <c r="F396" s="7">
        <v>16594</v>
      </c>
      <c r="G396" s="1">
        <v>33</v>
      </c>
      <c r="H396" s="1">
        <v>9</v>
      </c>
      <c r="I396" s="1">
        <v>45</v>
      </c>
      <c r="J396" s="1">
        <v>9</v>
      </c>
      <c r="K396" s="1">
        <v>50</v>
      </c>
      <c r="L396" s="1">
        <v>25</v>
      </c>
      <c r="M396" s="1">
        <v>0.59</v>
      </c>
      <c r="N396" s="1">
        <v>14.5</v>
      </c>
      <c r="O396" s="7">
        <v>16594</v>
      </c>
      <c r="P396" s="4">
        <v>45005</v>
      </c>
      <c r="Q396" s="4">
        <v>45014</v>
      </c>
      <c r="R396" s="1" t="s">
        <v>73</v>
      </c>
      <c r="AO396" s="7">
        <v>16594</v>
      </c>
      <c r="AP396" s="5">
        <v>6.8</v>
      </c>
      <c r="AQ396" s="5">
        <v>118</v>
      </c>
      <c r="AR396" s="5">
        <v>37</v>
      </c>
      <c r="AS396" s="5" t="s">
        <v>76</v>
      </c>
      <c r="AT396" s="5">
        <v>23</v>
      </c>
      <c r="AU396" s="5">
        <v>15</v>
      </c>
      <c r="AV396" s="5">
        <v>39.7</v>
      </c>
      <c r="AW396" s="5">
        <v>7.86</v>
      </c>
      <c r="AX396" s="5">
        <v>70</v>
      </c>
      <c r="AY396" s="5">
        <v>86.06</v>
      </c>
      <c r="AZ396" s="5" t="s">
        <v>75</v>
      </c>
      <c r="BA396" s="5" t="s">
        <v>76</v>
      </c>
      <c r="BB396" s="12" t="s">
        <v>76</v>
      </c>
      <c r="BC396" s="5">
        <v>4.65</v>
      </c>
      <c r="BD396" s="5">
        <v>118</v>
      </c>
      <c r="BE396" s="5" t="s">
        <v>76</v>
      </c>
      <c r="BF396" s="5" t="s">
        <v>76</v>
      </c>
      <c r="BG396" s="15">
        <v>36.3</v>
      </c>
      <c r="BH396" s="5">
        <v>102</v>
      </c>
      <c r="BI396" s="5">
        <v>102</v>
      </c>
      <c r="BJ396" s="5">
        <v>20</v>
      </c>
      <c r="BK396" s="5">
        <v>150</v>
      </c>
      <c r="BL396" s="5">
        <v>80</v>
      </c>
      <c r="BM396" s="5">
        <v>57.5</v>
      </c>
      <c r="BN396" s="5">
        <v>150</v>
      </c>
      <c r="BO396" s="5">
        <f t="shared" si="6"/>
        <v>25.5555555555556</v>
      </c>
      <c r="BP396" s="5" t="s">
        <v>78</v>
      </c>
      <c r="BQ396" s="5" t="s">
        <v>76</v>
      </c>
      <c r="BR396" s="5">
        <v>4670</v>
      </c>
    </row>
    <row r="397" s="1" customFormat="1" spans="1:70">
      <c r="A397" s="1" t="s">
        <v>1240</v>
      </c>
      <c r="B397" s="1" t="s">
        <v>1241</v>
      </c>
      <c r="D397" s="4">
        <v>44934</v>
      </c>
      <c r="E397" s="4">
        <v>44936</v>
      </c>
      <c r="F397" s="7">
        <v>16597</v>
      </c>
      <c r="G397" s="1">
        <v>37</v>
      </c>
      <c r="H397" s="1">
        <v>9</v>
      </c>
      <c r="I397" s="1">
        <v>49</v>
      </c>
      <c r="J397" s="1">
        <v>9</v>
      </c>
      <c r="K397" s="1">
        <v>64</v>
      </c>
      <c r="L397" s="1">
        <v>35</v>
      </c>
      <c r="M397" s="1">
        <v>0.61</v>
      </c>
      <c r="N397" s="1">
        <v>15.4</v>
      </c>
      <c r="O397" s="7">
        <v>16597</v>
      </c>
      <c r="P397" s="4">
        <v>44934</v>
      </c>
      <c r="Q397" s="4">
        <v>44936</v>
      </c>
      <c r="R397" s="1" t="s">
        <v>80</v>
      </c>
      <c r="AO397" s="7">
        <v>16597</v>
      </c>
      <c r="AP397" s="5" t="s">
        <v>76</v>
      </c>
      <c r="AQ397" s="5" t="s">
        <v>76</v>
      </c>
      <c r="AR397" s="5" t="s">
        <v>76</v>
      </c>
      <c r="AS397" s="5" t="s">
        <v>76</v>
      </c>
      <c r="AT397" s="5" t="s">
        <v>525</v>
      </c>
      <c r="AU397" s="5" t="s">
        <v>475</v>
      </c>
      <c r="AV397" s="5" t="s">
        <v>420</v>
      </c>
      <c r="AW397" s="5" t="s">
        <v>1242</v>
      </c>
      <c r="AX397" s="5" t="s">
        <v>243</v>
      </c>
      <c r="AY397" s="5" t="s">
        <v>1243</v>
      </c>
      <c r="AZ397" s="5" t="s">
        <v>333</v>
      </c>
      <c r="BA397" s="5" t="s">
        <v>76</v>
      </c>
      <c r="BB397" s="12" t="s">
        <v>76</v>
      </c>
      <c r="BC397" s="5" t="s">
        <v>610</v>
      </c>
      <c r="BD397" s="5" t="s">
        <v>76</v>
      </c>
      <c r="BE397" s="5" t="s">
        <v>76</v>
      </c>
      <c r="BF397" s="5" t="s">
        <v>76</v>
      </c>
      <c r="BG397" s="15">
        <v>37.2</v>
      </c>
      <c r="BH397" s="5" t="s">
        <v>232</v>
      </c>
      <c r="BI397" s="5" t="s">
        <v>232</v>
      </c>
      <c r="BJ397" s="5" t="s">
        <v>293</v>
      </c>
      <c r="BK397" s="5" t="s">
        <v>759</v>
      </c>
      <c r="BL397" s="5" t="s">
        <v>772</v>
      </c>
      <c r="BM397" s="5" t="s">
        <v>192</v>
      </c>
      <c r="BN397" s="5">
        <v>166</v>
      </c>
      <c r="BO397" s="5">
        <f t="shared" si="6"/>
        <v>28.3059950645957</v>
      </c>
      <c r="BP397" s="5" t="s">
        <v>573</v>
      </c>
      <c r="BQ397" s="5" t="s">
        <v>76</v>
      </c>
      <c r="BR397" s="5">
        <v>2459</v>
      </c>
    </row>
    <row r="398" s="1" customFormat="1" spans="1:70">
      <c r="A398" s="1">
        <v>3497827</v>
      </c>
      <c r="B398" s="1" t="s">
        <v>1244</v>
      </c>
      <c r="D398" s="4">
        <v>45264</v>
      </c>
      <c r="E398" s="4">
        <v>45268</v>
      </c>
      <c r="F398" s="7">
        <v>16599</v>
      </c>
      <c r="G398" s="1">
        <v>47</v>
      </c>
      <c r="H398" s="1">
        <v>11</v>
      </c>
      <c r="I398" s="1">
        <v>67</v>
      </c>
      <c r="J398" s="1">
        <v>12</v>
      </c>
      <c r="K398" s="1">
        <v>45</v>
      </c>
      <c r="L398" s="1">
        <v>23</v>
      </c>
      <c r="M398" s="1">
        <v>1.48</v>
      </c>
      <c r="N398" s="1">
        <v>24.2</v>
      </c>
      <c r="O398" s="7">
        <v>16599</v>
      </c>
      <c r="P398" s="4">
        <v>45264</v>
      </c>
      <c r="Q398" s="4">
        <v>45268</v>
      </c>
      <c r="R398" s="1" t="s">
        <v>80</v>
      </c>
      <c r="AO398" s="7">
        <v>16599</v>
      </c>
      <c r="AP398" s="5">
        <v>4.5</v>
      </c>
      <c r="AQ398" s="5">
        <v>114</v>
      </c>
      <c r="AR398" s="5">
        <v>33.9</v>
      </c>
      <c r="AS398" s="5">
        <v>2.8</v>
      </c>
      <c r="AT398" s="5">
        <v>19</v>
      </c>
      <c r="AU398" s="5">
        <v>16</v>
      </c>
      <c r="AV398" s="5">
        <v>29.4</v>
      </c>
      <c r="AW398" s="5">
        <v>14.44</v>
      </c>
      <c r="AX398" s="5">
        <v>222</v>
      </c>
      <c r="AY398" s="5">
        <v>26.55</v>
      </c>
      <c r="AZ398" s="5" t="s">
        <v>804</v>
      </c>
      <c r="BA398" s="5">
        <v>4.51</v>
      </c>
      <c r="BB398" s="12" t="s">
        <v>76</v>
      </c>
      <c r="BC398" s="5">
        <v>4.17</v>
      </c>
      <c r="BD398" s="5">
        <v>114</v>
      </c>
      <c r="BE398" s="5">
        <v>0.87</v>
      </c>
      <c r="BF398" s="5">
        <v>2.34</v>
      </c>
      <c r="BG398" s="15">
        <v>36.2</v>
      </c>
      <c r="BH398" s="5">
        <v>104</v>
      </c>
      <c r="BI398" s="5">
        <v>104</v>
      </c>
      <c r="BJ398" s="5">
        <v>15</v>
      </c>
      <c r="BK398" s="5">
        <v>134</v>
      </c>
      <c r="BL398" s="5">
        <v>81</v>
      </c>
      <c r="BM398" s="5">
        <v>88.5</v>
      </c>
      <c r="BN398" s="5">
        <v>175</v>
      </c>
      <c r="BO398" s="5">
        <f t="shared" si="6"/>
        <v>28.8979591836735</v>
      </c>
      <c r="BP398" s="5" t="s">
        <v>258</v>
      </c>
      <c r="BQ398" s="5">
        <v>5.7</v>
      </c>
      <c r="BR398" s="5">
        <v>10291</v>
      </c>
    </row>
    <row r="399" s="1" customFormat="1" spans="1:70">
      <c r="A399" s="1">
        <v>3262051</v>
      </c>
      <c r="B399" s="1" t="s">
        <v>1245</v>
      </c>
      <c r="D399" s="4">
        <v>44931</v>
      </c>
      <c r="E399" s="4">
        <v>44940</v>
      </c>
      <c r="F399" s="7">
        <v>16606</v>
      </c>
      <c r="G399" s="1">
        <v>48</v>
      </c>
      <c r="H399" s="1">
        <v>9</v>
      </c>
      <c r="I399" s="1">
        <v>49</v>
      </c>
      <c r="J399" s="1">
        <v>9</v>
      </c>
      <c r="K399" s="1">
        <v>67</v>
      </c>
      <c r="L399" s="1">
        <v>37</v>
      </c>
      <c r="N399" s="1">
        <v>17.4</v>
      </c>
      <c r="O399" s="7">
        <v>16606</v>
      </c>
      <c r="P399" s="4">
        <v>44931</v>
      </c>
      <c r="Q399" s="4">
        <v>44940</v>
      </c>
      <c r="R399" s="1" t="s">
        <v>73</v>
      </c>
      <c r="AO399" s="7">
        <v>16606</v>
      </c>
      <c r="AP399" s="5">
        <v>3.2</v>
      </c>
      <c r="AQ399" s="5">
        <v>81</v>
      </c>
      <c r="AR399" s="5">
        <v>27.7</v>
      </c>
      <c r="AS399" s="5">
        <v>15.3</v>
      </c>
      <c r="AT399" s="5">
        <v>23</v>
      </c>
      <c r="AU399" s="5">
        <v>7</v>
      </c>
      <c r="AV399" s="5">
        <v>34.9</v>
      </c>
      <c r="AW399" s="5">
        <v>13.18</v>
      </c>
      <c r="AX399" s="5">
        <v>156</v>
      </c>
      <c r="AY399" s="5">
        <v>29.67</v>
      </c>
      <c r="AZ399" s="5" t="s">
        <v>75</v>
      </c>
      <c r="BA399" s="5">
        <v>5.42</v>
      </c>
      <c r="BB399" s="12" t="s">
        <v>76</v>
      </c>
      <c r="BC399" s="5">
        <v>4.32</v>
      </c>
      <c r="BD399" s="5">
        <v>81</v>
      </c>
      <c r="BE399" s="5">
        <v>0.81</v>
      </c>
      <c r="BF399" s="5">
        <v>3.68</v>
      </c>
      <c r="BG399" s="15">
        <v>36.5</v>
      </c>
      <c r="BH399" s="5">
        <v>57</v>
      </c>
      <c r="BI399" s="5">
        <v>57</v>
      </c>
      <c r="BJ399" s="5">
        <v>28</v>
      </c>
      <c r="BK399" s="5">
        <v>128</v>
      </c>
      <c r="BL399" s="5">
        <v>82</v>
      </c>
      <c r="BM399" s="5">
        <v>50</v>
      </c>
      <c r="BN399" s="5">
        <v>162</v>
      </c>
      <c r="BO399" s="5">
        <f t="shared" si="6"/>
        <v>19.0519737844841</v>
      </c>
      <c r="BP399" s="5" t="s">
        <v>121</v>
      </c>
      <c r="BQ399" s="5">
        <v>5.4</v>
      </c>
      <c r="BR399" s="5">
        <v>8601</v>
      </c>
    </row>
    <row r="400" s="1" customFormat="1" spans="1:70">
      <c r="A400" s="1" t="s">
        <v>1246</v>
      </c>
      <c r="B400" s="1" t="s">
        <v>1247</v>
      </c>
      <c r="D400" s="4">
        <v>44955</v>
      </c>
      <c r="E400" s="4">
        <v>44960</v>
      </c>
      <c r="F400" s="7">
        <v>16613</v>
      </c>
      <c r="G400" s="1">
        <v>36</v>
      </c>
      <c r="H400" s="1">
        <v>9</v>
      </c>
      <c r="I400" s="1">
        <v>61</v>
      </c>
      <c r="J400" s="1">
        <v>9</v>
      </c>
      <c r="K400" s="1">
        <v>53</v>
      </c>
      <c r="L400" s="1">
        <v>28</v>
      </c>
      <c r="M400" s="1">
        <v>0.75</v>
      </c>
      <c r="N400" s="1">
        <v>13.5</v>
      </c>
      <c r="O400" s="7">
        <v>16613</v>
      </c>
      <c r="P400" s="4">
        <v>44955</v>
      </c>
      <c r="Q400" s="4">
        <v>44960</v>
      </c>
      <c r="R400" s="1" t="s">
        <v>73</v>
      </c>
      <c r="AO400" s="7">
        <v>16613</v>
      </c>
      <c r="AP400" s="5" t="s">
        <v>1060</v>
      </c>
      <c r="AQ400" s="5" t="s">
        <v>658</v>
      </c>
      <c r="AR400" s="5" t="s">
        <v>1248</v>
      </c>
      <c r="AS400" s="5" t="s">
        <v>76</v>
      </c>
      <c r="AT400" s="5" t="s">
        <v>511</v>
      </c>
      <c r="AU400" s="5" t="s">
        <v>1249</v>
      </c>
      <c r="AV400" s="5" t="s">
        <v>526</v>
      </c>
      <c r="AW400" s="5" t="s">
        <v>1250</v>
      </c>
      <c r="AX400" s="5" t="s">
        <v>331</v>
      </c>
      <c r="AY400" s="5" t="s">
        <v>1251</v>
      </c>
      <c r="AZ400" s="5" t="s">
        <v>75</v>
      </c>
      <c r="BA400" s="5" t="s">
        <v>76</v>
      </c>
      <c r="BB400" s="12" t="s">
        <v>76</v>
      </c>
      <c r="BC400" s="5" t="s">
        <v>1252</v>
      </c>
      <c r="BD400" s="5" t="s">
        <v>658</v>
      </c>
      <c r="BE400" s="5" t="s">
        <v>76</v>
      </c>
      <c r="BF400" s="5" t="s">
        <v>76</v>
      </c>
      <c r="BG400" s="15">
        <v>36.6</v>
      </c>
      <c r="BH400" s="5" t="s">
        <v>994</v>
      </c>
      <c r="BI400" s="5" t="s">
        <v>994</v>
      </c>
      <c r="BJ400" s="5" t="s">
        <v>293</v>
      </c>
      <c r="BK400" s="5" t="s">
        <v>327</v>
      </c>
      <c r="BL400" s="5" t="s">
        <v>96</v>
      </c>
      <c r="BM400" s="5" t="s">
        <v>483</v>
      </c>
      <c r="BN400" s="5">
        <v>160</v>
      </c>
      <c r="BO400" s="5">
        <f t="shared" si="6"/>
        <v>24.21875</v>
      </c>
      <c r="BP400" s="5" t="s">
        <v>1253</v>
      </c>
      <c r="BQ400" s="5" t="s">
        <v>76</v>
      </c>
      <c r="BR400" s="5">
        <v>4004</v>
      </c>
    </row>
    <row r="401" s="1" customFormat="1" spans="1:70">
      <c r="A401" s="1" t="s">
        <v>1254</v>
      </c>
      <c r="B401" s="1" t="s">
        <v>1255</v>
      </c>
      <c r="D401" s="4">
        <v>45281</v>
      </c>
      <c r="E401" s="4">
        <v>45294</v>
      </c>
      <c r="F401" s="7">
        <v>16613</v>
      </c>
      <c r="G401" s="1">
        <v>42</v>
      </c>
      <c r="H401" s="1">
        <v>9</v>
      </c>
      <c r="I401" s="1">
        <v>46</v>
      </c>
      <c r="J401" s="1">
        <v>9</v>
      </c>
      <c r="K401" s="1">
        <v>54</v>
      </c>
      <c r="L401" s="1">
        <v>29</v>
      </c>
      <c r="M401" s="1">
        <v>54</v>
      </c>
      <c r="N401" s="1">
        <v>14.4</v>
      </c>
      <c r="O401" s="7">
        <v>16613</v>
      </c>
      <c r="P401" s="4">
        <v>45281</v>
      </c>
      <c r="Q401" s="4">
        <v>45294</v>
      </c>
      <c r="R401" s="1" t="s">
        <v>73</v>
      </c>
      <c r="AO401" s="7">
        <v>16613</v>
      </c>
      <c r="AP401" s="5" t="s">
        <v>221</v>
      </c>
      <c r="AQ401" s="5" t="s">
        <v>103</v>
      </c>
      <c r="AR401" s="5" t="s">
        <v>1256</v>
      </c>
      <c r="AS401" s="5" t="s">
        <v>76</v>
      </c>
      <c r="AT401" s="5" t="s">
        <v>193</v>
      </c>
      <c r="AU401" s="5" t="s">
        <v>1257</v>
      </c>
      <c r="AV401" s="5" t="s">
        <v>1258</v>
      </c>
      <c r="AW401" s="5" t="s">
        <v>1119</v>
      </c>
      <c r="AX401" s="5" t="s">
        <v>614</v>
      </c>
      <c r="AY401" s="5" t="s">
        <v>76</v>
      </c>
      <c r="AZ401" s="5" t="s">
        <v>1259</v>
      </c>
      <c r="BA401" s="5" t="s">
        <v>1260</v>
      </c>
      <c r="BB401" s="12" t="s">
        <v>76</v>
      </c>
      <c r="BC401" s="5" t="s">
        <v>571</v>
      </c>
      <c r="BD401" s="5" t="s">
        <v>103</v>
      </c>
      <c r="BE401" s="5" t="s">
        <v>76</v>
      </c>
      <c r="BF401" s="5" t="s">
        <v>76</v>
      </c>
      <c r="BG401" s="15">
        <v>36.6</v>
      </c>
      <c r="BH401" s="5" t="s">
        <v>243</v>
      </c>
      <c r="BI401" s="5" t="s">
        <v>243</v>
      </c>
      <c r="BJ401" s="5" t="s">
        <v>246</v>
      </c>
      <c r="BK401" s="5" t="s">
        <v>683</v>
      </c>
      <c r="BL401" s="5" t="s">
        <v>204</v>
      </c>
      <c r="BM401" s="5" t="s">
        <v>248</v>
      </c>
      <c r="BN401" s="5">
        <v>160</v>
      </c>
      <c r="BO401" s="5">
        <f t="shared" si="6"/>
        <v>20.703125</v>
      </c>
      <c r="BP401" s="5" t="s">
        <v>684</v>
      </c>
      <c r="BQ401" s="5" t="s">
        <v>76</v>
      </c>
      <c r="BR401" s="5">
        <v>2982</v>
      </c>
    </row>
    <row r="402" s="1" customFormat="1" spans="1:70">
      <c r="A402" s="1">
        <v>3498778</v>
      </c>
      <c r="B402" s="1" t="s">
        <v>1261</v>
      </c>
      <c r="D402" s="4">
        <v>45265</v>
      </c>
      <c r="E402" s="4">
        <v>45280</v>
      </c>
      <c r="F402" s="7">
        <v>16622</v>
      </c>
      <c r="G402" s="1">
        <v>41</v>
      </c>
      <c r="H402" s="1">
        <v>8</v>
      </c>
      <c r="I402" s="1">
        <v>50</v>
      </c>
      <c r="J402" s="1">
        <v>8</v>
      </c>
      <c r="K402" s="1">
        <v>45</v>
      </c>
      <c r="L402" s="1">
        <v>23</v>
      </c>
      <c r="M402" s="1">
        <v>1.17</v>
      </c>
      <c r="N402" s="1">
        <v>15.6</v>
      </c>
      <c r="O402" s="7">
        <v>16622</v>
      </c>
      <c r="P402" s="4">
        <v>45265</v>
      </c>
      <c r="Q402" s="4">
        <v>45280</v>
      </c>
      <c r="R402" s="1" t="s">
        <v>80</v>
      </c>
      <c r="AO402" s="7">
        <v>16622</v>
      </c>
      <c r="AP402" s="5">
        <v>8.4</v>
      </c>
      <c r="AQ402" s="5">
        <v>138</v>
      </c>
      <c r="AR402" s="5">
        <v>45</v>
      </c>
      <c r="AS402" s="5">
        <v>80.6</v>
      </c>
      <c r="AT402" s="5">
        <v>66</v>
      </c>
      <c r="AU402" s="5">
        <v>48</v>
      </c>
      <c r="AV402" s="5">
        <v>38.7</v>
      </c>
      <c r="AW402" s="5">
        <v>9.28</v>
      </c>
      <c r="AX402" s="5">
        <v>96</v>
      </c>
      <c r="AY402" s="5">
        <v>90.09</v>
      </c>
      <c r="AZ402" s="5">
        <v>8.25</v>
      </c>
      <c r="BA402" s="5">
        <v>4.04</v>
      </c>
      <c r="BB402" s="12" t="s">
        <v>76</v>
      </c>
      <c r="BC402" s="5">
        <v>4.41</v>
      </c>
      <c r="BD402" s="5">
        <v>138</v>
      </c>
      <c r="BE402" s="5" t="s">
        <v>76</v>
      </c>
      <c r="BF402" s="5" t="s">
        <v>76</v>
      </c>
      <c r="BG402" s="15">
        <v>36.2</v>
      </c>
      <c r="BH402" s="5">
        <v>90</v>
      </c>
      <c r="BI402" s="5">
        <v>90</v>
      </c>
      <c r="BJ402" s="5">
        <v>16</v>
      </c>
      <c r="BK402" s="5">
        <v>126</v>
      </c>
      <c r="BL402" s="5">
        <v>68</v>
      </c>
      <c r="BM402" s="5">
        <v>63</v>
      </c>
      <c r="BN402" s="5">
        <v>168</v>
      </c>
      <c r="BO402" s="5">
        <f t="shared" si="6"/>
        <v>22.3214285714286</v>
      </c>
      <c r="BP402" s="5" t="s">
        <v>323</v>
      </c>
      <c r="BQ402" s="5">
        <v>8.3</v>
      </c>
      <c r="BR402" s="5">
        <v>9476</v>
      </c>
    </row>
    <row r="403" s="1" customFormat="1" spans="1:70">
      <c r="A403" s="1" t="s">
        <v>1262</v>
      </c>
      <c r="B403" s="1" t="s">
        <v>1263</v>
      </c>
      <c r="D403" s="4">
        <v>45261</v>
      </c>
      <c r="E403" s="4">
        <v>45271</v>
      </c>
      <c r="F403" s="7">
        <v>16630</v>
      </c>
      <c r="G403" s="1">
        <v>47</v>
      </c>
      <c r="H403" s="1">
        <v>9</v>
      </c>
      <c r="I403" s="1">
        <v>48</v>
      </c>
      <c r="J403" s="1">
        <v>9</v>
      </c>
      <c r="K403" s="1">
        <v>43</v>
      </c>
      <c r="L403" s="1">
        <v>21</v>
      </c>
      <c r="N403" s="1">
        <v>15.1</v>
      </c>
      <c r="O403" s="7">
        <v>16630</v>
      </c>
      <c r="P403" s="4">
        <v>45261</v>
      </c>
      <c r="Q403" s="4">
        <v>45271</v>
      </c>
      <c r="R403" s="1" t="s">
        <v>80</v>
      </c>
      <c r="AO403" s="7">
        <v>16630</v>
      </c>
      <c r="AP403" s="5" t="s">
        <v>807</v>
      </c>
      <c r="AQ403" s="5" t="s">
        <v>89</v>
      </c>
      <c r="AR403" s="5" t="s">
        <v>345</v>
      </c>
      <c r="AS403" s="5" t="s">
        <v>1264</v>
      </c>
      <c r="AT403" s="5" t="s">
        <v>225</v>
      </c>
      <c r="AU403" s="5" t="s">
        <v>93</v>
      </c>
      <c r="AV403" s="5" t="s">
        <v>288</v>
      </c>
      <c r="AW403" s="5" t="s">
        <v>650</v>
      </c>
      <c r="AX403" s="5" t="s">
        <v>468</v>
      </c>
      <c r="AY403" s="5" t="s">
        <v>76</v>
      </c>
      <c r="AZ403" s="5" t="s">
        <v>75</v>
      </c>
      <c r="BA403" s="5" t="s">
        <v>1265</v>
      </c>
      <c r="BB403" s="12" t="s">
        <v>76</v>
      </c>
      <c r="BC403" s="5" t="s">
        <v>1266</v>
      </c>
      <c r="BD403" s="5" t="s">
        <v>89</v>
      </c>
      <c r="BE403" s="5" t="s">
        <v>76</v>
      </c>
      <c r="BF403" s="5" t="s">
        <v>76</v>
      </c>
      <c r="BG403" s="15">
        <v>36.5</v>
      </c>
      <c r="BH403" s="5" t="s">
        <v>972</v>
      </c>
      <c r="BI403" s="5" t="s">
        <v>972</v>
      </c>
      <c r="BJ403" s="5" t="s">
        <v>594</v>
      </c>
      <c r="BK403" s="5" t="s">
        <v>1267</v>
      </c>
      <c r="BL403" s="5" t="s">
        <v>658</v>
      </c>
      <c r="BM403" s="5" t="s">
        <v>215</v>
      </c>
      <c r="BN403" s="5">
        <v>165</v>
      </c>
      <c r="BO403" s="5">
        <f t="shared" si="6"/>
        <v>22.038567493113</v>
      </c>
      <c r="BP403" s="5" t="s">
        <v>1268</v>
      </c>
      <c r="BQ403" s="5" t="s">
        <v>76</v>
      </c>
      <c r="BR403" s="5">
        <v>7919</v>
      </c>
    </row>
    <row r="404" s="1" customFormat="1" spans="1:70">
      <c r="A404" s="1">
        <v>3269355</v>
      </c>
      <c r="B404" s="1" t="s">
        <v>1269</v>
      </c>
      <c r="D404" s="4">
        <v>44949</v>
      </c>
      <c r="E404" s="4">
        <v>44956</v>
      </c>
      <c r="F404" s="7">
        <v>16655</v>
      </c>
      <c r="G404" s="1">
        <v>34</v>
      </c>
      <c r="H404" s="1">
        <v>9</v>
      </c>
      <c r="I404" s="1">
        <v>45</v>
      </c>
      <c r="J404" s="1">
        <v>9</v>
      </c>
      <c r="K404" s="1">
        <v>57</v>
      </c>
      <c r="L404" s="1">
        <v>30</v>
      </c>
      <c r="M404" s="1">
        <v>0.84</v>
      </c>
      <c r="N404" s="1">
        <v>9.4</v>
      </c>
      <c r="O404" s="7">
        <v>16655</v>
      </c>
      <c r="P404" s="4">
        <v>44949</v>
      </c>
      <c r="Q404" s="4">
        <v>44956</v>
      </c>
      <c r="R404" s="1" t="s">
        <v>73</v>
      </c>
      <c r="AO404" s="7">
        <v>16655</v>
      </c>
      <c r="AP404" s="5">
        <v>8.7</v>
      </c>
      <c r="AQ404" s="5">
        <v>134</v>
      </c>
      <c r="AR404" s="5">
        <v>42.6</v>
      </c>
      <c r="AS404" s="5">
        <v>18.5</v>
      </c>
      <c r="AT404" s="5">
        <v>73</v>
      </c>
      <c r="AU404" s="5">
        <v>29</v>
      </c>
      <c r="AV404" s="5">
        <v>38.8</v>
      </c>
      <c r="AW404" s="5">
        <v>3.38</v>
      </c>
      <c r="AX404" s="5">
        <v>38</v>
      </c>
      <c r="AY404" s="5" t="s">
        <v>125</v>
      </c>
      <c r="AZ404" s="5" t="s">
        <v>75</v>
      </c>
      <c r="BA404" s="5">
        <v>3.48</v>
      </c>
      <c r="BB404" s="12" t="s">
        <v>76</v>
      </c>
      <c r="BC404" s="5">
        <v>3.87</v>
      </c>
      <c r="BD404" s="5">
        <v>134</v>
      </c>
      <c r="BE404" s="5">
        <v>1.16</v>
      </c>
      <c r="BF404" s="5">
        <v>1.94</v>
      </c>
      <c r="BG404" s="15">
        <v>36.4</v>
      </c>
      <c r="BH404" s="5">
        <v>72</v>
      </c>
      <c r="BI404" s="5">
        <v>72</v>
      </c>
      <c r="BJ404" s="5">
        <v>18</v>
      </c>
      <c r="BK404" s="5">
        <v>158</v>
      </c>
      <c r="BL404" s="5">
        <v>88</v>
      </c>
      <c r="BM404" s="5">
        <v>44</v>
      </c>
      <c r="BN404" s="5">
        <v>158</v>
      </c>
      <c r="BO404" s="5">
        <f t="shared" si="6"/>
        <v>17.6253805479891</v>
      </c>
      <c r="BP404" s="5" t="s">
        <v>121</v>
      </c>
      <c r="BQ404" s="5">
        <v>5.6</v>
      </c>
      <c r="BR404" s="5">
        <v>1907</v>
      </c>
    </row>
    <row r="405" s="1" customFormat="1" spans="1:70">
      <c r="A405" s="1">
        <v>3295442</v>
      </c>
      <c r="B405" s="1" t="s">
        <v>1270</v>
      </c>
      <c r="D405" s="4">
        <v>44985</v>
      </c>
      <c r="E405" s="4">
        <v>44990</v>
      </c>
      <c r="F405" s="7">
        <v>16669</v>
      </c>
      <c r="G405" s="1">
        <v>43</v>
      </c>
      <c r="H405" s="1">
        <v>10</v>
      </c>
      <c r="I405" s="1">
        <v>46</v>
      </c>
      <c r="J405" s="1">
        <v>10</v>
      </c>
      <c r="K405" s="1">
        <v>46</v>
      </c>
      <c r="L405" s="1">
        <v>23</v>
      </c>
      <c r="M405" s="1">
        <v>0.69</v>
      </c>
      <c r="N405" s="1">
        <v>15.4</v>
      </c>
      <c r="O405" s="7">
        <v>16669</v>
      </c>
      <c r="P405" s="4">
        <v>44985</v>
      </c>
      <c r="Q405" s="4">
        <v>44990</v>
      </c>
      <c r="R405" s="1" t="s">
        <v>80</v>
      </c>
      <c r="AO405" s="7">
        <v>16669</v>
      </c>
      <c r="AP405" s="5">
        <v>7.3</v>
      </c>
      <c r="AQ405" s="5">
        <v>133</v>
      </c>
      <c r="AR405" s="5">
        <v>40.3</v>
      </c>
      <c r="AS405" s="5">
        <v>23.9</v>
      </c>
      <c r="AT405" s="5">
        <v>54</v>
      </c>
      <c r="AU405" s="5">
        <v>36</v>
      </c>
      <c r="AV405" s="5">
        <v>35.4</v>
      </c>
      <c r="AW405" s="5">
        <v>6.15</v>
      </c>
      <c r="AX405" s="5">
        <v>85</v>
      </c>
      <c r="AY405" s="5">
        <v>90.32</v>
      </c>
      <c r="AZ405" s="5" t="s">
        <v>75</v>
      </c>
      <c r="BA405" s="5">
        <v>3.08</v>
      </c>
      <c r="BB405" s="12" t="s">
        <v>76</v>
      </c>
      <c r="BC405" s="5">
        <v>4.28</v>
      </c>
      <c r="BD405" s="5">
        <v>133</v>
      </c>
      <c r="BE405" s="5">
        <v>0.87</v>
      </c>
      <c r="BF405" s="5">
        <v>1.79</v>
      </c>
      <c r="BG405" s="15">
        <v>36.6</v>
      </c>
      <c r="BH405" s="5">
        <v>79</v>
      </c>
      <c r="BI405" s="5">
        <v>79</v>
      </c>
      <c r="BJ405" s="5">
        <v>20</v>
      </c>
      <c r="BK405" s="5">
        <v>128</v>
      </c>
      <c r="BL405" s="5">
        <v>73</v>
      </c>
      <c r="BM405" s="5">
        <v>83</v>
      </c>
      <c r="BN405" s="5">
        <v>170</v>
      </c>
      <c r="BO405" s="5">
        <f t="shared" si="6"/>
        <v>28.719723183391</v>
      </c>
      <c r="BP405" s="5" t="s">
        <v>323</v>
      </c>
      <c r="BQ405" s="5">
        <v>5.3</v>
      </c>
      <c r="BR405" s="5">
        <v>2607</v>
      </c>
    </row>
    <row r="406" s="1" customFormat="1" spans="1:70">
      <c r="A406" s="1">
        <v>3266251</v>
      </c>
      <c r="B406" s="1" t="s">
        <v>1271</v>
      </c>
      <c r="D406" s="4">
        <v>44939</v>
      </c>
      <c r="E406" s="4">
        <v>44944</v>
      </c>
      <c r="F406" s="7">
        <v>16673</v>
      </c>
      <c r="G406" s="1">
        <v>31</v>
      </c>
      <c r="H406" s="1">
        <v>9</v>
      </c>
      <c r="I406" s="1">
        <v>48</v>
      </c>
      <c r="J406" s="1">
        <v>9</v>
      </c>
      <c r="K406" s="1">
        <v>46</v>
      </c>
      <c r="L406" s="1">
        <v>23</v>
      </c>
      <c r="M406" s="1">
        <v>0.57</v>
      </c>
      <c r="N406" s="1">
        <v>9.5</v>
      </c>
      <c r="O406" s="7">
        <v>16673</v>
      </c>
      <c r="P406" s="4">
        <v>44939</v>
      </c>
      <c r="Q406" s="4">
        <v>44944</v>
      </c>
      <c r="R406" s="1" t="s">
        <v>80</v>
      </c>
      <c r="AO406" s="7">
        <v>16673</v>
      </c>
      <c r="AP406" s="5">
        <v>8.3</v>
      </c>
      <c r="AQ406" s="5">
        <v>160</v>
      </c>
      <c r="AR406" s="5">
        <v>48.4</v>
      </c>
      <c r="AS406" s="5">
        <v>13</v>
      </c>
      <c r="AT406" s="5">
        <v>76</v>
      </c>
      <c r="AU406" s="5">
        <v>23</v>
      </c>
      <c r="AV406" s="5">
        <v>37.9</v>
      </c>
      <c r="AW406" s="5">
        <v>3.89</v>
      </c>
      <c r="AX406" s="5">
        <v>70</v>
      </c>
      <c r="AY406" s="5">
        <v>111.81</v>
      </c>
      <c r="AZ406" s="5" t="s">
        <v>75</v>
      </c>
      <c r="BA406" s="5">
        <v>5.09</v>
      </c>
      <c r="BB406" s="12" t="s">
        <v>76</v>
      </c>
      <c r="BC406" s="5">
        <v>4.05</v>
      </c>
      <c r="BD406" s="5">
        <v>160</v>
      </c>
      <c r="BE406" s="5">
        <v>0.91</v>
      </c>
      <c r="BF406" s="5">
        <v>3.88</v>
      </c>
      <c r="BG406" s="15">
        <v>36.6</v>
      </c>
      <c r="BH406" s="5">
        <v>80</v>
      </c>
      <c r="BI406" s="5">
        <v>80</v>
      </c>
      <c r="BJ406" s="5">
        <v>20</v>
      </c>
      <c r="BK406" s="5">
        <v>113</v>
      </c>
      <c r="BL406" s="5">
        <v>68</v>
      </c>
      <c r="BM406" s="5">
        <v>65</v>
      </c>
      <c r="BN406" s="5">
        <v>165</v>
      </c>
      <c r="BO406" s="5">
        <f t="shared" si="6"/>
        <v>23.8751147842057</v>
      </c>
      <c r="BP406" s="5" t="s">
        <v>323</v>
      </c>
      <c r="BQ406" s="5">
        <v>5.8</v>
      </c>
      <c r="BR406" s="5">
        <v>4255</v>
      </c>
    </row>
    <row r="407" s="1" customFormat="1" spans="1:70">
      <c r="A407" s="1">
        <v>3259340</v>
      </c>
      <c r="B407" s="1" t="s">
        <v>1272</v>
      </c>
      <c r="D407" s="4">
        <v>44927</v>
      </c>
      <c r="E407" s="4">
        <v>44935</v>
      </c>
      <c r="F407" s="7">
        <v>16711</v>
      </c>
      <c r="G407" s="1">
        <v>41</v>
      </c>
      <c r="H407" s="1">
        <v>10</v>
      </c>
      <c r="I407" s="1">
        <v>51</v>
      </c>
      <c r="J407" s="1">
        <v>10</v>
      </c>
      <c r="K407" s="1">
        <v>52</v>
      </c>
      <c r="L407" s="1">
        <v>27</v>
      </c>
      <c r="M407" s="1">
        <v>0.72</v>
      </c>
      <c r="N407" s="1">
        <v>13.9</v>
      </c>
      <c r="O407" s="7">
        <v>16711</v>
      </c>
      <c r="P407" s="4">
        <v>44927</v>
      </c>
      <c r="Q407" s="4">
        <v>44935</v>
      </c>
      <c r="R407" s="1" t="s">
        <v>80</v>
      </c>
      <c r="AO407" s="7">
        <v>16711</v>
      </c>
      <c r="AP407" s="5">
        <v>9.8</v>
      </c>
      <c r="AQ407" s="5">
        <v>99</v>
      </c>
      <c r="AR407" s="5">
        <v>37.5</v>
      </c>
      <c r="AS407" s="5">
        <v>51.2</v>
      </c>
      <c r="AT407" s="5">
        <v>73</v>
      </c>
      <c r="AU407" s="5">
        <v>54</v>
      </c>
      <c r="AV407" s="5">
        <v>40.7</v>
      </c>
      <c r="AW407" s="5">
        <v>6.59</v>
      </c>
      <c r="AX407" s="5">
        <v>90</v>
      </c>
      <c r="AY407" s="5">
        <v>93.11</v>
      </c>
      <c r="AZ407" s="5">
        <v>6.78</v>
      </c>
      <c r="BA407" s="5">
        <v>5.33</v>
      </c>
      <c r="BB407" s="12" t="s">
        <v>76</v>
      </c>
      <c r="BC407" s="5">
        <v>3.83</v>
      </c>
      <c r="BD407" s="5">
        <v>99</v>
      </c>
      <c r="BE407" s="5">
        <v>0.88</v>
      </c>
      <c r="BF407" s="5">
        <v>3.77</v>
      </c>
      <c r="BG407" s="15">
        <v>36.3</v>
      </c>
      <c r="BH407" s="5">
        <v>99</v>
      </c>
      <c r="BI407" s="5">
        <v>99</v>
      </c>
      <c r="BJ407" s="5">
        <v>20</v>
      </c>
      <c r="BK407" s="5">
        <v>167</v>
      </c>
      <c r="BL407" s="5">
        <v>87</v>
      </c>
      <c r="BM407" s="5">
        <v>75</v>
      </c>
      <c r="BN407" s="5">
        <v>175</v>
      </c>
      <c r="BO407" s="5">
        <f t="shared" si="6"/>
        <v>24.4897959183673</v>
      </c>
      <c r="BP407" s="5" t="s">
        <v>323</v>
      </c>
      <c r="BQ407" s="5" t="s">
        <v>76</v>
      </c>
      <c r="BR407" s="5">
        <v>2067</v>
      </c>
    </row>
    <row r="408" s="1" customFormat="1" spans="1:70">
      <c r="A408" s="1">
        <v>3273016</v>
      </c>
      <c r="B408" s="1" t="s">
        <v>1273</v>
      </c>
      <c r="D408" s="4">
        <v>44955</v>
      </c>
      <c r="E408" s="4">
        <v>44963</v>
      </c>
      <c r="F408" s="7">
        <v>16723</v>
      </c>
      <c r="G408" s="1">
        <v>46</v>
      </c>
      <c r="H408" s="1">
        <v>10</v>
      </c>
      <c r="I408" s="1">
        <v>61</v>
      </c>
      <c r="J408" s="1">
        <v>10</v>
      </c>
      <c r="K408" s="1">
        <v>44</v>
      </c>
      <c r="L408" s="1">
        <v>22</v>
      </c>
      <c r="N408" s="1">
        <v>11.5</v>
      </c>
      <c r="O408" s="7">
        <v>16723</v>
      </c>
      <c r="P408" s="4">
        <v>44955</v>
      </c>
      <c r="Q408" s="4">
        <v>44963</v>
      </c>
      <c r="R408" s="1" t="s">
        <v>80</v>
      </c>
      <c r="AO408" s="7">
        <v>16723</v>
      </c>
      <c r="AP408" s="5">
        <v>5.1</v>
      </c>
      <c r="AQ408" s="5">
        <v>150</v>
      </c>
      <c r="AR408" s="5">
        <v>48.2</v>
      </c>
      <c r="AS408" s="5" t="s">
        <v>881</v>
      </c>
      <c r="AT408" s="5">
        <v>20</v>
      </c>
      <c r="AU408" s="5">
        <v>27</v>
      </c>
      <c r="AV408" s="5">
        <v>38.4</v>
      </c>
      <c r="AW408" s="5">
        <v>7.97</v>
      </c>
      <c r="AX408" s="5">
        <v>81</v>
      </c>
      <c r="AY408" s="5">
        <v>85.2</v>
      </c>
      <c r="AZ408" s="5">
        <v>4.47</v>
      </c>
      <c r="BA408" s="5">
        <v>2.19</v>
      </c>
      <c r="BB408" s="12" t="s">
        <v>76</v>
      </c>
      <c r="BC408" s="5">
        <v>4.72</v>
      </c>
      <c r="BD408" s="5">
        <v>150</v>
      </c>
      <c r="BE408" s="5">
        <v>0.73</v>
      </c>
      <c r="BF408" s="5">
        <v>1.12</v>
      </c>
      <c r="BG408" s="15">
        <v>36.5</v>
      </c>
      <c r="BH408" s="5">
        <v>49</v>
      </c>
      <c r="BI408" s="5">
        <v>52</v>
      </c>
      <c r="BJ408" s="5">
        <v>18</v>
      </c>
      <c r="BK408" s="5">
        <v>104</v>
      </c>
      <c r="BL408" s="5">
        <v>78</v>
      </c>
      <c r="BM408" s="5">
        <v>70</v>
      </c>
      <c r="BN408" s="5">
        <v>171</v>
      </c>
      <c r="BO408" s="5">
        <f t="shared" si="6"/>
        <v>23.9389897746315</v>
      </c>
      <c r="BP408" s="5" t="s">
        <v>78</v>
      </c>
      <c r="BQ408" s="5">
        <v>6</v>
      </c>
      <c r="BR408" s="5">
        <v>2482</v>
      </c>
    </row>
    <row r="409" s="1" customFormat="1" spans="1:70">
      <c r="A409" s="1">
        <v>3308603</v>
      </c>
      <c r="B409" s="1" t="s">
        <v>1274</v>
      </c>
      <c r="D409" s="4">
        <v>45001</v>
      </c>
      <c r="E409" s="4">
        <v>45028</v>
      </c>
      <c r="F409" s="7">
        <v>16746</v>
      </c>
      <c r="G409" s="1">
        <v>27</v>
      </c>
      <c r="H409" s="1">
        <v>9</v>
      </c>
      <c r="I409" s="1">
        <v>42</v>
      </c>
      <c r="J409" s="1">
        <v>9</v>
      </c>
      <c r="K409" s="1">
        <v>67</v>
      </c>
      <c r="L409" s="1">
        <v>37</v>
      </c>
      <c r="M409" s="1">
        <v>0.55</v>
      </c>
      <c r="N409" s="1">
        <v>6.7</v>
      </c>
      <c r="O409" s="7">
        <v>16746</v>
      </c>
      <c r="P409" s="4">
        <v>45001</v>
      </c>
      <c r="Q409" s="4">
        <v>45028</v>
      </c>
      <c r="R409" s="1" t="s">
        <v>73</v>
      </c>
      <c r="AO409" s="7">
        <v>16746</v>
      </c>
      <c r="AP409" s="5">
        <v>9.8</v>
      </c>
      <c r="AQ409" s="5">
        <v>95</v>
      </c>
      <c r="AR409" s="5">
        <v>40.49</v>
      </c>
      <c r="AS409" s="5">
        <v>64.8</v>
      </c>
      <c r="AT409" s="5">
        <v>60</v>
      </c>
      <c r="AU409" s="5">
        <v>9</v>
      </c>
      <c r="AV409" s="5">
        <v>36.8</v>
      </c>
      <c r="AW409" s="5">
        <v>6.08</v>
      </c>
      <c r="AX409" s="5">
        <v>57</v>
      </c>
      <c r="AY409" s="5" t="s">
        <v>125</v>
      </c>
      <c r="AZ409" s="5" t="s">
        <v>75</v>
      </c>
      <c r="BA409" s="5">
        <v>1.85</v>
      </c>
      <c r="BB409" s="12" t="s">
        <v>76</v>
      </c>
      <c r="BC409" s="5">
        <v>4.33</v>
      </c>
      <c r="BD409" s="5">
        <v>95</v>
      </c>
      <c r="BE409" s="5" t="s">
        <v>76</v>
      </c>
      <c r="BF409" s="5" t="s">
        <v>76</v>
      </c>
      <c r="BG409" s="15">
        <v>36.8</v>
      </c>
      <c r="BH409" s="5">
        <v>69</v>
      </c>
      <c r="BI409" s="5">
        <v>69</v>
      </c>
      <c r="BJ409" s="5">
        <v>19</v>
      </c>
      <c r="BK409" s="5">
        <v>112</v>
      </c>
      <c r="BL409" s="5">
        <v>69</v>
      </c>
      <c r="BM409" s="5">
        <v>55</v>
      </c>
      <c r="BN409" s="5">
        <v>160</v>
      </c>
      <c r="BO409" s="5">
        <f t="shared" si="6"/>
        <v>21.484375</v>
      </c>
      <c r="BP409" s="5" t="s">
        <v>85</v>
      </c>
      <c r="BQ409" s="5">
        <v>5.5</v>
      </c>
      <c r="BR409" s="5">
        <v>3986</v>
      </c>
    </row>
    <row r="410" s="1" customFormat="1" spans="1:70">
      <c r="A410" s="1">
        <v>3494764</v>
      </c>
      <c r="B410" s="1" t="s">
        <v>1275</v>
      </c>
      <c r="D410" s="4">
        <v>45260</v>
      </c>
      <c r="E410" s="4">
        <v>45266</v>
      </c>
      <c r="F410" s="7">
        <v>16747</v>
      </c>
      <c r="G410" s="1">
        <v>35</v>
      </c>
      <c r="H410" s="1">
        <v>10</v>
      </c>
      <c r="I410" s="1">
        <v>47</v>
      </c>
      <c r="J410" s="1">
        <v>10</v>
      </c>
      <c r="K410" s="1">
        <v>62</v>
      </c>
      <c r="L410" s="1">
        <v>33</v>
      </c>
      <c r="M410" s="1">
        <v>0.49</v>
      </c>
      <c r="N410" s="1">
        <v>11.4</v>
      </c>
      <c r="O410" s="7">
        <v>16747</v>
      </c>
      <c r="P410" s="4">
        <v>45260</v>
      </c>
      <c r="Q410" s="4">
        <v>45266</v>
      </c>
      <c r="R410" s="1" t="s">
        <v>80</v>
      </c>
      <c r="AO410" s="7">
        <v>16747</v>
      </c>
      <c r="AP410" s="5">
        <v>5.9</v>
      </c>
      <c r="AQ410" s="5">
        <v>144</v>
      </c>
      <c r="AR410" s="5">
        <v>43.4</v>
      </c>
      <c r="AS410" s="5" t="s">
        <v>76</v>
      </c>
      <c r="AT410" s="5">
        <v>40</v>
      </c>
      <c r="AU410" s="5">
        <v>5</v>
      </c>
      <c r="AV410" s="5">
        <v>35</v>
      </c>
      <c r="AW410" s="5">
        <v>10.63</v>
      </c>
      <c r="AX410" s="5">
        <v>130</v>
      </c>
      <c r="AY410" s="5">
        <v>49.23</v>
      </c>
      <c r="AZ410" s="5">
        <v>6.08</v>
      </c>
      <c r="BA410" s="5">
        <v>2.56</v>
      </c>
      <c r="BB410" s="12" t="s">
        <v>76</v>
      </c>
      <c r="BC410" s="5">
        <v>3.39</v>
      </c>
      <c r="BD410" s="5">
        <v>144</v>
      </c>
      <c r="BE410" s="5">
        <v>0.72</v>
      </c>
      <c r="BF410" s="5">
        <v>1.06</v>
      </c>
      <c r="BG410" s="15">
        <v>36.8</v>
      </c>
      <c r="BH410" s="5">
        <v>80</v>
      </c>
      <c r="BI410" s="5">
        <v>80</v>
      </c>
      <c r="BJ410" s="5">
        <v>17</v>
      </c>
      <c r="BK410" s="5">
        <v>140</v>
      </c>
      <c r="BL410" s="5">
        <v>85</v>
      </c>
      <c r="BM410" s="5">
        <v>55</v>
      </c>
      <c r="BN410" s="5">
        <v>171</v>
      </c>
      <c r="BO410" s="5">
        <f t="shared" si="6"/>
        <v>18.8092062514962</v>
      </c>
      <c r="BP410" s="5" t="s">
        <v>121</v>
      </c>
      <c r="BQ410" s="5" t="s">
        <v>76</v>
      </c>
      <c r="BR410" s="5">
        <v>3977</v>
      </c>
    </row>
    <row r="411" s="1" customFormat="1" spans="1:70">
      <c r="A411" s="1">
        <v>3334086</v>
      </c>
      <c r="B411" s="1" t="s">
        <v>1276</v>
      </c>
      <c r="D411" s="4">
        <v>45037</v>
      </c>
      <c r="E411" s="4">
        <v>45042</v>
      </c>
      <c r="F411" s="7">
        <v>16749</v>
      </c>
      <c r="G411" s="1">
        <v>48</v>
      </c>
      <c r="H411" s="1">
        <v>10</v>
      </c>
      <c r="I411" s="1">
        <v>64</v>
      </c>
      <c r="J411" s="1">
        <v>9</v>
      </c>
      <c r="K411" s="1">
        <v>34</v>
      </c>
      <c r="L411" s="1">
        <v>17</v>
      </c>
      <c r="M411" s="1">
        <v>1.79</v>
      </c>
      <c r="N411" s="1">
        <v>15.9</v>
      </c>
      <c r="O411" s="7">
        <v>16749</v>
      </c>
      <c r="P411" s="4">
        <v>45037</v>
      </c>
      <c r="Q411" s="4">
        <v>45042</v>
      </c>
      <c r="R411" s="1" t="s">
        <v>73</v>
      </c>
      <c r="AO411" s="7">
        <v>16749</v>
      </c>
      <c r="AP411" s="5">
        <v>4.6</v>
      </c>
      <c r="AQ411" s="5">
        <v>132</v>
      </c>
      <c r="AR411" s="5">
        <v>44.3</v>
      </c>
      <c r="AS411" s="5" t="s">
        <v>81</v>
      </c>
      <c r="AT411" s="5">
        <v>27</v>
      </c>
      <c r="AU411" s="5">
        <v>23</v>
      </c>
      <c r="AV411" s="5">
        <v>47</v>
      </c>
      <c r="AW411" s="5">
        <v>7.45</v>
      </c>
      <c r="AX411" s="5">
        <v>60</v>
      </c>
      <c r="AY411" s="5">
        <v>94.83</v>
      </c>
      <c r="AZ411" s="5" t="s">
        <v>75</v>
      </c>
      <c r="BA411" s="5">
        <v>5.33</v>
      </c>
      <c r="BB411" s="12" t="s">
        <v>76</v>
      </c>
      <c r="BC411" s="5">
        <v>3.9</v>
      </c>
      <c r="BD411" s="5">
        <v>132</v>
      </c>
      <c r="BE411" s="5" t="s">
        <v>76</v>
      </c>
      <c r="BF411" s="5" t="s">
        <v>76</v>
      </c>
      <c r="BG411" s="15">
        <v>36.5</v>
      </c>
      <c r="BH411" s="5">
        <v>70</v>
      </c>
      <c r="BI411" s="5">
        <v>80</v>
      </c>
      <c r="BJ411" s="5">
        <v>16</v>
      </c>
      <c r="BK411" s="5">
        <v>132</v>
      </c>
      <c r="BL411" s="5">
        <v>88</v>
      </c>
      <c r="BM411" s="5">
        <v>52</v>
      </c>
      <c r="BN411" s="5">
        <v>158</v>
      </c>
      <c r="BO411" s="5">
        <f t="shared" si="6"/>
        <v>20.829995193078</v>
      </c>
      <c r="BP411" s="5" t="s">
        <v>107</v>
      </c>
      <c r="BQ411" s="5">
        <v>6</v>
      </c>
      <c r="BR411" s="5">
        <v>9878</v>
      </c>
    </row>
    <row r="412" s="1" customFormat="1" spans="1:70">
      <c r="A412" s="1" t="s">
        <v>1277</v>
      </c>
      <c r="B412" s="1" t="s">
        <v>1278</v>
      </c>
      <c r="D412" s="4">
        <v>45281</v>
      </c>
      <c r="E412" s="4">
        <v>45289</v>
      </c>
      <c r="F412" s="7">
        <v>16750</v>
      </c>
      <c r="G412" s="1">
        <v>39</v>
      </c>
      <c r="H412" s="1">
        <v>10</v>
      </c>
      <c r="I412" s="1">
        <v>47</v>
      </c>
      <c r="J412" s="1">
        <v>9</v>
      </c>
      <c r="K412" s="1">
        <v>58</v>
      </c>
      <c r="L412" s="1">
        <v>31</v>
      </c>
      <c r="M412" s="1">
        <v>0.81</v>
      </c>
      <c r="N412" s="1">
        <v>10.6</v>
      </c>
      <c r="O412" s="7">
        <v>16750</v>
      </c>
      <c r="P412" s="4">
        <v>45281</v>
      </c>
      <c r="Q412" s="4">
        <v>45289</v>
      </c>
      <c r="R412" s="1" t="s">
        <v>73</v>
      </c>
      <c r="AO412" s="7">
        <v>16750</v>
      </c>
      <c r="AP412" s="5" t="s">
        <v>807</v>
      </c>
      <c r="AQ412" s="5" t="s">
        <v>407</v>
      </c>
      <c r="AR412" s="5" t="s">
        <v>703</v>
      </c>
      <c r="AS412" s="5" t="s">
        <v>1279</v>
      </c>
      <c r="AT412" s="5" t="s">
        <v>352</v>
      </c>
      <c r="AU412" s="5" t="s">
        <v>243</v>
      </c>
      <c r="AV412" s="5" t="s">
        <v>888</v>
      </c>
      <c r="AW412" s="5" t="s">
        <v>607</v>
      </c>
      <c r="AX412" s="5" t="s">
        <v>419</v>
      </c>
      <c r="AY412" s="5" t="s">
        <v>1280</v>
      </c>
      <c r="AZ412" s="5" t="s">
        <v>75</v>
      </c>
      <c r="BA412" s="5" t="s">
        <v>76</v>
      </c>
      <c r="BB412" s="12" t="s">
        <v>76</v>
      </c>
      <c r="BC412" s="5" t="s">
        <v>1281</v>
      </c>
      <c r="BD412" s="5" t="s">
        <v>407</v>
      </c>
      <c r="BE412" s="5" t="s">
        <v>76</v>
      </c>
      <c r="BF412" s="5" t="s">
        <v>76</v>
      </c>
      <c r="BG412" s="15">
        <v>36.7</v>
      </c>
      <c r="BH412" s="5" t="s">
        <v>192</v>
      </c>
      <c r="BI412" s="5" t="s">
        <v>192</v>
      </c>
      <c r="BJ412" s="5" t="s">
        <v>246</v>
      </c>
      <c r="BK412" s="5" t="s">
        <v>284</v>
      </c>
      <c r="BL412" s="5" t="s">
        <v>425</v>
      </c>
      <c r="BM412" s="5" t="s">
        <v>352</v>
      </c>
      <c r="BN412" s="5">
        <v>150</v>
      </c>
      <c r="BO412" s="5">
        <f t="shared" si="6"/>
        <v>24.4444444444444</v>
      </c>
      <c r="BP412" s="5" t="s">
        <v>542</v>
      </c>
      <c r="BQ412" s="5" t="s">
        <v>76</v>
      </c>
      <c r="BR412" s="5">
        <v>3772</v>
      </c>
    </row>
    <row r="413" s="1" customFormat="1" spans="1:70">
      <c r="A413" s="1">
        <v>3491035</v>
      </c>
      <c r="B413" s="1" t="s">
        <v>1282</v>
      </c>
      <c r="D413" s="4">
        <v>45254</v>
      </c>
      <c r="E413" s="4">
        <v>45264</v>
      </c>
      <c r="F413" s="7">
        <v>16773</v>
      </c>
      <c r="G413" s="1">
        <v>56</v>
      </c>
      <c r="H413" s="1">
        <v>9</v>
      </c>
      <c r="I413" s="1">
        <v>64</v>
      </c>
      <c r="J413" s="1">
        <v>9</v>
      </c>
      <c r="K413" s="1">
        <v>29</v>
      </c>
      <c r="L413" s="1">
        <v>14</v>
      </c>
      <c r="N413" s="1">
        <v>20.4</v>
      </c>
      <c r="O413" s="7">
        <v>16773</v>
      </c>
      <c r="P413" s="4">
        <v>45254</v>
      </c>
      <c r="Q413" s="4">
        <v>45264</v>
      </c>
      <c r="R413" s="1" t="s">
        <v>80</v>
      </c>
      <c r="AO413" s="7">
        <v>16773</v>
      </c>
      <c r="AP413" s="5">
        <v>7.6</v>
      </c>
      <c r="AQ413" s="5">
        <v>139</v>
      </c>
      <c r="AR413" s="5">
        <v>43.4</v>
      </c>
      <c r="AS413" s="5">
        <v>1.9</v>
      </c>
      <c r="AT413" s="5">
        <v>25</v>
      </c>
      <c r="AU413" s="5">
        <v>8</v>
      </c>
      <c r="AV413" s="5">
        <v>45.3</v>
      </c>
      <c r="AW413" s="5">
        <v>15.55</v>
      </c>
      <c r="AX413" s="5">
        <v>184</v>
      </c>
      <c r="AY413" s="5">
        <v>43.05</v>
      </c>
      <c r="AZ413" s="5">
        <v>6.05</v>
      </c>
      <c r="BA413" s="5">
        <v>5.66</v>
      </c>
      <c r="BB413" s="12" t="s">
        <v>76</v>
      </c>
      <c r="BC413" s="5">
        <v>4.68</v>
      </c>
      <c r="BD413" s="5">
        <v>139</v>
      </c>
      <c r="BE413" s="5">
        <v>0.72</v>
      </c>
      <c r="BF413" s="5">
        <v>2.14</v>
      </c>
      <c r="BG413" s="15">
        <v>36.6</v>
      </c>
      <c r="BH413" s="5">
        <v>82</v>
      </c>
      <c r="BI413" s="5">
        <v>90</v>
      </c>
      <c r="BJ413" s="5">
        <v>18</v>
      </c>
      <c r="BK413" s="5">
        <v>90</v>
      </c>
      <c r="BL413" s="5">
        <v>66</v>
      </c>
      <c r="BM413" s="5">
        <v>75</v>
      </c>
      <c r="BN413" s="5">
        <v>162</v>
      </c>
      <c r="BO413" s="5">
        <f t="shared" si="6"/>
        <v>28.5779606767261</v>
      </c>
      <c r="BP413" s="5" t="s">
        <v>78</v>
      </c>
      <c r="BQ413" s="5">
        <v>5.8</v>
      </c>
      <c r="BR413" s="5">
        <v>7941</v>
      </c>
    </row>
    <row r="414" s="1" customFormat="1" spans="1:70">
      <c r="A414" s="1">
        <v>3325975</v>
      </c>
      <c r="B414" s="1" t="s">
        <v>1283</v>
      </c>
      <c r="D414" s="4">
        <v>45026</v>
      </c>
      <c r="E414" s="4">
        <v>45039</v>
      </c>
      <c r="F414" s="7">
        <v>16791</v>
      </c>
      <c r="G414" s="1">
        <v>37</v>
      </c>
      <c r="H414" s="1">
        <v>8</v>
      </c>
      <c r="I414" s="1">
        <v>57</v>
      </c>
      <c r="J414" s="1">
        <v>8</v>
      </c>
      <c r="K414" s="1">
        <v>37</v>
      </c>
      <c r="M414" s="1">
        <v>0.53</v>
      </c>
      <c r="N414" s="1">
        <v>9.7</v>
      </c>
      <c r="O414" s="7">
        <v>16791</v>
      </c>
      <c r="P414" s="4">
        <v>45026</v>
      </c>
      <c r="Q414" s="4">
        <v>45039</v>
      </c>
      <c r="R414" s="1" t="s">
        <v>80</v>
      </c>
      <c r="AO414" s="7">
        <v>16791</v>
      </c>
      <c r="AP414" s="5">
        <v>9.5</v>
      </c>
      <c r="AQ414" s="5">
        <v>145</v>
      </c>
      <c r="AR414" s="5">
        <v>46</v>
      </c>
      <c r="AS414" s="5">
        <v>9.3</v>
      </c>
      <c r="AT414" s="5">
        <v>72</v>
      </c>
      <c r="AU414" s="5">
        <v>65</v>
      </c>
      <c r="AV414" s="5">
        <v>43.1</v>
      </c>
      <c r="AW414" s="5">
        <v>15.6</v>
      </c>
      <c r="AX414" s="5">
        <v>95</v>
      </c>
      <c r="AY414" s="5" t="s">
        <v>76</v>
      </c>
      <c r="AZ414" s="5" t="s">
        <v>375</v>
      </c>
      <c r="BA414" s="5">
        <v>6.29</v>
      </c>
      <c r="BB414" s="12" t="s">
        <v>76</v>
      </c>
      <c r="BC414" s="5">
        <v>4.76</v>
      </c>
      <c r="BD414" s="5">
        <v>145</v>
      </c>
      <c r="BE414" s="5">
        <v>1.24</v>
      </c>
      <c r="BF414" s="5">
        <v>3.63</v>
      </c>
      <c r="BG414" s="15">
        <v>36.4</v>
      </c>
      <c r="BH414" s="5">
        <v>97</v>
      </c>
      <c r="BI414" s="5">
        <v>97</v>
      </c>
      <c r="BJ414" s="5">
        <v>34</v>
      </c>
      <c r="BK414" s="5">
        <v>137</v>
      </c>
      <c r="BL414" s="5">
        <v>86</v>
      </c>
      <c r="BM414" s="5">
        <v>70</v>
      </c>
      <c r="BN414" s="5">
        <v>161</v>
      </c>
      <c r="BO414" s="5">
        <f t="shared" si="6"/>
        <v>27.0051309748852</v>
      </c>
      <c r="BP414" s="5" t="s">
        <v>156</v>
      </c>
      <c r="BQ414" s="5">
        <v>8.5</v>
      </c>
      <c r="BR414" s="5">
        <v>5537</v>
      </c>
    </row>
    <row r="415" s="1" customFormat="1" spans="1:70">
      <c r="A415" s="1" t="s">
        <v>1284</v>
      </c>
      <c r="B415" s="1" t="s">
        <v>1285</v>
      </c>
      <c r="D415" s="4">
        <v>44917</v>
      </c>
      <c r="E415" s="4">
        <v>45033</v>
      </c>
      <c r="F415" s="7">
        <v>16805</v>
      </c>
      <c r="G415" s="1">
        <v>43</v>
      </c>
      <c r="H415" s="1">
        <v>9</v>
      </c>
      <c r="I415" s="1">
        <v>61</v>
      </c>
      <c r="J415" s="1">
        <v>9</v>
      </c>
      <c r="K415" s="1">
        <v>34</v>
      </c>
      <c r="L415" s="1">
        <v>16</v>
      </c>
      <c r="M415" s="1">
        <v>1.22</v>
      </c>
      <c r="N415" s="1">
        <v>20.2</v>
      </c>
      <c r="O415" s="7">
        <v>16805</v>
      </c>
      <c r="P415" s="4">
        <v>44917</v>
      </c>
      <c r="Q415" s="4">
        <v>45033</v>
      </c>
      <c r="R415" s="1" t="s">
        <v>80</v>
      </c>
      <c r="AO415" s="7">
        <v>16805</v>
      </c>
      <c r="AP415" s="5" t="s">
        <v>381</v>
      </c>
      <c r="AQ415" s="5" t="s">
        <v>243</v>
      </c>
      <c r="AR415" s="5" t="s">
        <v>385</v>
      </c>
      <c r="AS415" s="5" t="s">
        <v>591</v>
      </c>
      <c r="AT415" s="5" t="s">
        <v>101</v>
      </c>
      <c r="AU415" s="5" t="s">
        <v>225</v>
      </c>
      <c r="AV415" s="5" t="s">
        <v>1286</v>
      </c>
      <c r="AW415" s="5" t="s">
        <v>1287</v>
      </c>
      <c r="AX415" s="5" t="s">
        <v>1288</v>
      </c>
      <c r="AY415" s="5" t="s">
        <v>1289</v>
      </c>
      <c r="AZ415" s="5" t="s">
        <v>1290</v>
      </c>
      <c r="BA415" s="5" t="s">
        <v>1291</v>
      </c>
      <c r="BB415" s="12" t="s">
        <v>76</v>
      </c>
      <c r="BC415" s="5" t="s">
        <v>1292</v>
      </c>
      <c r="BD415" s="5" t="s">
        <v>243</v>
      </c>
      <c r="BE415" s="5" t="s">
        <v>1293</v>
      </c>
      <c r="BF415" s="5" t="s">
        <v>1294</v>
      </c>
      <c r="BG415" s="15">
        <v>36.5</v>
      </c>
      <c r="BH415" s="5" t="s">
        <v>245</v>
      </c>
      <c r="BI415" s="5" t="s">
        <v>245</v>
      </c>
      <c r="BJ415" s="5" t="s">
        <v>101</v>
      </c>
      <c r="BK415" s="5" t="s">
        <v>1295</v>
      </c>
      <c r="BL415" s="5" t="s">
        <v>212</v>
      </c>
      <c r="BM415" s="5" t="s">
        <v>228</v>
      </c>
      <c r="BN415" s="5">
        <v>160</v>
      </c>
      <c r="BO415" s="5">
        <f t="shared" si="6"/>
        <v>21.875</v>
      </c>
      <c r="BP415" s="5" t="s">
        <v>105</v>
      </c>
      <c r="BQ415" s="5" t="s">
        <v>76</v>
      </c>
      <c r="BR415" s="5" t="s">
        <v>118</v>
      </c>
    </row>
    <row r="416" s="1" customFormat="1" spans="1:70">
      <c r="A416" s="1">
        <v>3246149</v>
      </c>
      <c r="B416" s="1" t="s">
        <v>1296</v>
      </c>
      <c r="D416" s="4">
        <v>44893</v>
      </c>
      <c r="E416" s="4">
        <v>44899</v>
      </c>
      <c r="F416" s="7">
        <v>16812</v>
      </c>
      <c r="G416" s="1">
        <v>45</v>
      </c>
      <c r="H416" s="1">
        <v>8</v>
      </c>
      <c r="I416" s="1">
        <v>61</v>
      </c>
      <c r="J416" s="1">
        <v>8</v>
      </c>
      <c r="K416" s="1">
        <v>33</v>
      </c>
      <c r="M416" s="1">
        <v>1.67</v>
      </c>
      <c r="N416" s="1">
        <v>11.1</v>
      </c>
      <c r="O416" s="7">
        <v>16812</v>
      </c>
      <c r="P416" s="4">
        <v>44893</v>
      </c>
      <c r="Q416" s="4">
        <v>44899</v>
      </c>
      <c r="R416" s="1" t="s">
        <v>80</v>
      </c>
      <c r="AO416" s="7">
        <v>16812</v>
      </c>
      <c r="AP416" s="5">
        <v>8.8</v>
      </c>
      <c r="AQ416" s="5">
        <v>164</v>
      </c>
      <c r="AR416" s="5">
        <v>54.8</v>
      </c>
      <c r="AS416" s="5">
        <v>88.1</v>
      </c>
      <c r="AT416" s="5">
        <v>87</v>
      </c>
      <c r="AU416" s="5">
        <v>86</v>
      </c>
      <c r="AV416" s="5">
        <v>36.4</v>
      </c>
      <c r="AW416" s="5">
        <v>5.04</v>
      </c>
      <c r="AX416" s="5">
        <v>98</v>
      </c>
      <c r="AY416" s="5">
        <v>68.56</v>
      </c>
      <c r="AZ416" s="5">
        <v>9.2</v>
      </c>
      <c r="BA416" s="5">
        <v>3.56</v>
      </c>
      <c r="BB416" s="12" t="s">
        <v>76</v>
      </c>
      <c r="BC416" s="5">
        <v>4.1</v>
      </c>
      <c r="BD416" s="5">
        <v>164</v>
      </c>
      <c r="BE416" s="5">
        <v>0.95</v>
      </c>
      <c r="BF416" s="5">
        <v>2.1</v>
      </c>
      <c r="BG416" s="15">
        <v>36.3</v>
      </c>
      <c r="BH416" s="5">
        <v>100</v>
      </c>
      <c r="BI416" s="5">
        <v>100</v>
      </c>
      <c r="BJ416" s="5">
        <v>19</v>
      </c>
      <c r="BK416" s="5">
        <v>115</v>
      </c>
      <c r="BL416" s="5">
        <v>60</v>
      </c>
      <c r="BM416" s="5">
        <v>80</v>
      </c>
      <c r="BN416" s="5">
        <v>170</v>
      </c>
      <c r="BO416" s="5">
        <f t="shared" si="6"/>
        <v>27.681660899654</v>
      </c>
      <c r="BP416" s="5" t="s">
        <v>117</v>
      </c>
      <c r="BQ416" s="5" t="s">
        <v>76</v>
      </c>
      <c r="BR416" s="5">
        <v>5386</v>
      </c>
    </row>
    <row r="417" s="1" customFormat="1" spans="1:70">
      <c r="A417" s="1">
        <v>3258862</v>
      </c>
      <c r="B417" s="1" t="s">
        <v>1297</v>
      </c>
      <c r="D417" s="4">
        <v>44926</v>
      </c>
      <c r="E417" s="4">
        <v>44935</v>
      </c>
      <c r="F417" s="7">
        <v>16814</v>
      </c>
      <c r="G417" s="1">
        <v>33</v>
      </c>
      <c r="H417" s="1">
        <v>9</v>
      </c>
      <c r="I417" s="1">
        <v>45</v>
      </c>
      <c r="J417" s="1">
        <v>9</v>
      </c>
      <c r="K417" s="1">
        <v>61</v>
      </c>
      <c r="L417" s="1">
        <v>33</v>
      </c>
      <c r="M417" s="1">
        <v>0.67</v>
      </c>
      <c r="N417" s="1">
        <v>12.8</v>
      </c>
      <c r="O417" s="7">
        <v>16814</v>
      </c>
      <c r="P417" s="4">
        <v>44926</v>
      </c>
      <c r="Q417" s="4">
        <v>44935</v>
      </c>
      <c r="R417" s="1" t="s">
        <v>80</v>
      </c>
      <c r="AO417" s="7">
        <v>16814</v>
      </c>
      <c r="AP417" s="5">
        <v>4.2</v>
      </c>
      <c r="AQ417" s="5">
        <v>126</v>
      </c>
      <c r="AR417" s="5">
        <v>43</v>
      </c>
      <c r="AS417" s="5">
        <v>11.1</v>
      </c>
      <c r="AT417" s="5">
        <v>18</v>
      </c>
      <c r="AU417" s="5">
        <v>9</v>
      </c>
      <c r="AV417" s="5">
        <v>38.9</v>
      </c>
      <c r="AW417" s="5">
        <v>2.75</v>
      </c>
      <c r="AX417" s="5">
        <v>40</v>
      </c>
      <c r="AY417" s="5" t="s">
        <v>125</v>
      </c>
      <c r="AZ417" s="5" t="s">
        <v>75</v>
      </c>
      <c r="BA417" s="5">
        <v>5.16</v>
      </c>
      <c r="BB417" s="12" t="s">
        <v>76</v>
      </c>
      <c r="BC417" s="5">
        <v>5.15</v>
      </c>
      <c r="BD417" s="5">
        <v>126</v>
      </c>
      <c r="BE417" s="5">
        <v>1.15</v>
      </c>
      <c r="BF417" s="5">
        <v>3.76</v>
      </c>
      <c r="BG417" s="15">
        <v>36.6</v>
      </c>
      <c r="BH417" s="5">
        <v>89</v>
      </c>
      <c r="BI417" s="5" t="s">
        <v>76</v>
      </c>
      <c r="BJ417" s="5">
        <v>18</v>
      </c>
      <c r="BK417" s="5">
        <v>170</v>
      </c>
      <c r="BL417" s="5">
        <v>90</v>
      </c>
      <c r="BM417" s="5">
        <v>50</v>
      </c>
      <c r="BN417" s="5">
        <v>170</v>
      </c>
      <c r="BO417" s="5">
        <f t="shared" si="6"/>
        <v>17.3010380622837</v>
      </c>
      <c r="BP417" s="5" t="s">
        <v>83</v>
      </c>
      <c r="BQ417" s="5">
        <v>6.4</v>
      </c>
      <c r="BR417" s="5">
        <v>2296</v>
      </c>
    </row>
    <row r="418" s="1" customFormat="1" spans="1:70">
      <c r="A418" s="1" t="s">
        <v>1298</v>
      </c>
      <c r="B418" s="1" t="s">
        <v>1299</v>
      </c>
      <c r="D418" s="4">
        <v>44908</v>
      </c>
      <c r="E418" s="4">
        <v>44921</v>
      </c>
      <c r="F418" s="7">
        <v>16816</v>
      </c>
      <c r="G418" s="1">
        <v>39</v>
      </c>
      <c r="H418" s="1">
        <v>9</v>
      </c>
      <c r="I418" s="1">
        <v>49</v>
      </c>
      <c r="J418" s="1">
        <v>9</v>
      </c>
      <c r="K418" s="1">
        <v>68</v>
      </c>
      <c r="L418" s="1">
        <v>38</v>
      </c>
      <c r="M418" s="1">
        <v>0.58</v>
      </c>
      <c r="N418" s="1">
        <v>10</v>
      </c>
      <c r="O418" s="7">
        <v>16816</v>
      </c>
      <c r="P418" s="4">
        <v>44908</v>
      </c>
      <c r="Q418" s="4">
        <v>44921</v>
      </c>
      <c r="R418" s="1" t="s">
        <v>80</v>
      </c>
      <c r="S418" s="1">
        <v>76</v>
      </c>
      <c r="T418" s="1">
        <v>15952229404</v>
      </c>
      <c r="V418" s="1">
        <v>1</v>
      </c>
      <c r="AC418" s="1">
        <v>1</v>
      </c>
      <c r="AO418" s="7">
        <v>16816</v>
      </c>
      <c r="AP418" s="5" t="s">
        <v>1300</v>
      </c>
      <c r="AQ418" s="5" t="s">
        <v>500</v>
      </c>
      <c r="AR418" s="5" t="s">
        <v>241</v>
      </c>
      <c r="AS418" s="5" t="s">
        <v>1301</v>
      </c>
      <c r="AT418" s="5" t="s">
        <v>760</v>
      </c>
      <c r="AU418" s="5" t="s">
        <v>228</v>
      </c>
      <c r="AV418" s="5" t="s">
        <v>1302</v>
      </c>
      <c r="AW418" s="5" t="s">
        <v>1303</v>
      </c>
      <c r="AX418" s="5" t="s">
        <v>598</v>
      </c>
      <c r="AY418" s="5" t="s">
        <v>76</v>
      </c>
      <c r="AZ418" s="5" t="s">
        <v>1304</v>
      </c>
      <c r="BA418" s="5" t="s">
        <v>76</v>
      </c>
      <c r="BB418" s="12" t="s">
        <v>76</v>
      </c>
      <c r="BC418" s="5" t="s">
        <v>786</v>
      </c>
      <c r="BD418" s="5" t="s">
        <v>500</v>
      </c>
      <c r="BE418" s="5" t="s">
        <v>76</v>
      </c>
      <c r="BF418" s="5" t="s">
        <v>76</v>
      </c>
      <c r="BG418" s="15">
        <v>36.6</v>
      </c>
      <c r="BH418" s="5" t="s">
        <v>245</v>
      </c>
      <c r="BI418" s="5" t="s">
        <v>245</v>
      </c>
      <c r="BJ418" s="5" t="s">
        <v>101</v>
      </c>
      <c r="BK418" s="5" t="s">
        <v>194</v>
      </c>
      <c r="BL418" s="5" t="s">
        <v>336</v>
      </c>
      <c r="BM418" s="5" t="s">
        <v>214</v>
      </c>
      <c r="BN418" s="5">
        <v>160</v>
      </c>
      <c r="BO418" s="5">
        <f t="shared" si="6"/>
        <v>27.734375</v>
      </c>
      <c r="BP418" s="5" t="s">
        <v>573</v>
      </c>
      <c r="BQ418" s="5" t="s">
        <v>76</v>
      </c>
      <c r="BR418" s="5">
        <v>2037</v>
      </c>
    </row>
    <row r="419" s="1" customFormat="1" spans="1:70">
      <c r="A419" s="1">
        <v>3489559</v>
      </c>
      <c r="B419" s="1" t="s">
        <v>1305</v>
      </c>
      <c r="D419" s="4">
        <v>45252</v>
      </c>
      <c r="E419" s="4">
        <v>45261</v>
      </c>
      <c r="F419" s="7">
        <v>16821</v>
      </c>
      <c r="G419" s="1">
        <v>38</v>
      </c>
      <c r="H419" s="1">
        <v>9</v>
      </c>
      <c r="I419" s="1">
        <v>46</v>
      </c>
      <c r="J419" s="1">
        <v>8</v>
      </c>
      <c r="K419" s="1">
        <v>59</v>
      </c>
      <c r="L419" s="1">
        <v>31</v>
      </c>
      <c r="M419" s="1">
        <v>1.38</v>
      </c>
      <c r="N419" s="1">
        <v>19.4</v>
      </c>
      <c r="O419" s="7">
        <v>16821</v>
      </c>
      <c r="P419" s="4">
        <v>45252</v>
      </c>
      <c r="Q419" s="4">
        <v>45261</v>
      </c>
      <c r="R419" s="1" t="s">
        <v>73</v>
      </c>
      <c r="AO419" s="7">
        <v>16821</v>
      </c>
      <c r="AP419" s="5">
        <v>3.2</v>
      </c>
      <c r="AQ419" s="5">
        <v>80</v>
      </c>
      <c r="AR419" s="5">
        <v>27.7</v>
      </c>
      <c r="AS419" s="5">
        <v>1.9</v>
      </c>
      <c r="AT419" s="5">
        <v>12</v>
      </c>
      <c r="AU419" s="5">
        <v>9</v>
      </c>
      <c r="AV419" s="5">
        <v>37.7</v>
      </c>
      <c r="AW419" s="5">
        <v>7.6</v>
      </c>
      <c r="AX419" s="5">
        <v>243</v>
      </c>
      <c r="AY419" s="5" t="s">
        <v>76</v>
      </c>
      <c r="AZ419" s="5">
        <v>4.91</v>
      </c>
      <c r="BA419" s="5">
        <v>4.65</v>
      </c>
      <c r="BB419" s="12" t="s">
        <v>76</v>
      </c>
      <c r="BC419" s="5">
        <v>3.66</v>
      </c>
      <c r="BD419" s="5">
        <v>80</v>
      </c>
      <c r="BE419" s="5">
        <v>1.2</v>
      </c>
      <c r="BF419" s="5">
        <v>2.73</v>
      </c>
      <c r="BG419" s="15">
        <v>36.7</v>
      </c>
      <c r="BH419" s="5">
        <v>86</v>
      </c>
      <c r="BI419" s="5">
        <v>86</v>
      </c>
      <c r="BJ419" s="5">
        <v>20</v>
      </c>
      <c r="BK419" s="5">
        <v>140</v>
      </c>
      <c r="BL419" s="5">
        <v>90</v>
      </c>
      <c r="BM419" s="5">
        <v>53</v>
      </c>
      <c r="BN419" s="5">
        <v>160</v>
      </c>
      <c r="BO419" s="5">
        <f t="shared" si="6"/>
        <v>20.703125</v>
      </c>
      <c r="BP419" s="5" t="s">
        <v>415</v>
      </c>
      <c r="BQ419" s="5">
        <v>5.4</v>
      </c>
      <c r="BR419" s="5">
        <v>6841</v>
      </c>
    </row>
    <row r="420" s="1" customFormat="1" spans="1:70">
      <c r="A420" s="1">
        <v>3502630</v>
      </c>
      <c r="B420" s="1" t="s">
        <v>1306</v>
      </c>
      <c r="D420" s="4">
        <v>45271</v>
      </c>
      <c r="E420" s="4">
        <v>45278</v>
      </c>
      <c r="F420" s="7">
        <v>16848</v>
      </c>
      <c r="G420" s="1">
        <v>44</v>
      </c>
      <c r="H420" s="1">
        <v>11</v>
      </c>
      <c r="I420" s="1">
        <v>47</v>
      </c>
      <c r="J420" s="1">
        <v>10</v>
      </c>
      <c r="K420" s="1">
        <v>56</v>
      </c>
      <c r="L420" s="1">
        <v>30</v>
      </c>
      <c r="M420" s="1">
        <v>1.52</v>
      </c>
      <c r="N420" s="1">
        <v>19.8</v>
      </c>
      <c r="O420" s="7">
        <v>16848</v>
      </c>
      <c r="P420" s="4">
        <v>45271</v>
      </c>
      <c r="Q420" s="4">
        <v>45278</v>
      </c>
      <c r="R420" s="1" t="s">
        <v>73</v>
      </c>
      <c r="S420" s="1">
        <v>77</v>
      </c>
      <c r="T420" s="1" t="s">
        <v>1307</v>
      </c>
      <c r="X420" s="1">
        <v>1</v>
      </c>
      <c r="Z420" s="1">
        <v>1</v>
      </c>
      <c r="AC420" s="1">
        <v>1</v>
      </c>
      <c r="AG420" s="1">
        <v>1</v>
      </c>
      <c r="AH420" s="1">
        <v>1</v>
      </c>
      <c r="AO420" s="7">
        <v>16848</v>
      </c>
      <c r="AP420" s="5">
        <v>6.1</v>
      </c>
      <c r="AQ420" s="5">
        <v>146</v>
      </c>
      <c r="AR420" s="5">
        <v>44.2</v>
      </c>
      <c r="AS420" s="5" t="s">
        <v>374</v>
      </c>
      <c r="AT420" s="5">
        <v>41</v>
      </c>
      <c r="AU420" s="5">
        <v>12</v>
      </c>
      <c r="AV420" s="5">
        <v>42</v>
      </c>
      <c r="AW420" s="5">
        <v>5.41</v>
      </c>
      <c r="AX420" s="5">
        <v>44</v>
      </c>
      <c r="AY420" s="5" t="s">
        <v>125</v>
      </c>
      <c r="AZ420" s="5" t="s">
        <v>75</v>
      </c>
      <c r="BA420" s="5">
        <v>3.19</v>
      </c>
      <c r="BB420" s="12" t="s">
        <v>76</v>
      </c>
      <c r="BC420" s="5">
        <v>5.98</v>
      </c>
      <c r="BD420" s="5">
        <v>146</v>
      </c>
      <c r="BE420" s="5">
        <v>0.96</v>
      </c>
      <c r="BF420" s="5">
        <v>1.48</v>
      </c>
      <c r="BG420" s="15">
        <v>36.4</v>
      </c>
      <c r="BH420" s="5">
        <v>70</v>
      </c>
      <c r="BI420" s="5">
        <v>70</v>
      </c>
      <c r="BJ420" s="5">
        <v>18</v>
      </c>
      <c r="BK420" s="5">
        <v>151</v>
      </c>
      <c r="BL420" s="5">
        <v>105</v>
      </c>
      <c r="BM420" s="5">
        <v>80</v>
      </c>
      <c r="BN420" s="5">
        <v>155</v>
      </c>
      <c r="BO420" s="5">
        <f t="shared" si="6"/>
        <v>33.2986472424558</v>
      </c>
      <c r="BP420" s="5" t="s">
        <v>78</v>
      </c>
      <c r="BQ420" s="5">
        <v>6.9</v>
      </c>
      <c r="BR420" s="5">
        <v>1852</v>
      </c>
    </row>
    <row r="421" s="1" customFormat="1" spans="1:70">
      <c r="A421" s="1">
        <v>3265720</v>
      </c>
      <c r="B421" s="1" t="s">
        <v>1308</v>
      </c>
      <c r="C421" s="1">
        <v>1</v>
      </c>
      <c r="D421" s="4">
        <v>44938</v>
      </c>
      <c r="E421" s="4">
        <v>44949</v>
      </c>
      <c r="F421" s="7">
        <v>16867</v>
      </c>
      <c r="G421" s="1">
        <v>34</v>
      </c>
      <c r="H421" s="1">
        <v>9</v>
      </c>
      <c r="I421" s="1">
        <v>49</v>
      </c>
      <c r="J421" s="1">
        <v>9</v>
      </c>
      <c r="K421" s="1">
        <v>32</v>
      </c>
      <c r="L421" s="1">
        <v>15</v>
      </c>
      <c r="M421" s="1">
        <v>0.39</v>
      </c>
      <c r="N421" s="1">
        <v>4.7</v>
      </c>
      <c r="O421" s="7">
        <v>16867</v>
      </c>
      <c r="P421" s="4">
        <v>44938</v>
      </c>
      <c r="Q421" s="4">
        <v>44949</v>
      </c>
      <c r="R421" s="1" t="s">
        <v>80</v>
      </c>
      <c r="AO421" s="7">
        <v>16867</v>
      </c>
      <c r="AP421" s="5">
        <v>9.4</v>
      </c>
      <c r="AQ421" s="5">
        <v>159</v>
      </c>
      <c r="AR421" s="5">
        <v>47.1</v>
      </c>
      <c r="AS421" s="5">
        <v>95.9</v>
      </c>
      <c r="AT421" s="5">
        <v>94</v>
      </c>
      <c r="AU421" s="5">
        <v>61</v>
      </c>
      <c r="AV421" s="5">
        <v>45.3</v>
      </c>
      <c r="AW421" s="5">
        <v>9.39</v>
      </c>
      <c r="AX421" s="5">
        <v>98</v>
      </c>
      <c r="AY421" s="5" t="s">
        <v>125</v>
      </c>
      <c r="AZ421" s="5">
        <v>5.67</v>
      </c>
      <c r="BA421" s="5">
        <v>4.46</v>
      </c>
      <c r="BB421" s="12" t="s">
        <v>76</v>
      </c>
      <c r="BC421" s="5">
        <v>4.92</v>
      </c>
      <c r="BD421" s="5">
        <v>159</v>
      </c>
      <c r="BE421" s="5">
        <v>0.84</v>
      </c>
      <c r="BF421" s="5">
        <v>3.22</v>
      </c>
      <c r="BG421" s="15">
        <v>36.6</v>
      </c>
      <c r="BH421" s="5">
        <v>81</v>
      </c>
      <c r="BI421" s="5">
        <v>81</v>
      </c>
      <c r="BJ421" s="5">
        <v>20</v>
      </c>
      <c r="BK421" s="5">
        <v>117</v>
      </c>
      <c r="BL421" s="5">
        <v>70</v>
      </c>
      <c r="BM421" s="5">
        <v>53</v>
      </c>
      <c r="BN421" s="5">
        <v>158</v>
      </c>
      <c r="BO421" s="5">
        <f t="shared" si="6"/>
        <v>21.2305720237141</v>
      </c>
      <c r="BP421" s="5" t="s">
        <v>323</v>
      </c>
      <c r="BQ421" s="5">
        <v>10.6</v>
      </c>
      <c r="BR421" s="5">
        <v>7771</v>
      </c>
    </row>
    <row r="422" s="1" customFormat="1" spans="1:70">
      <c r="A422" s="1">
        <v>3500170</v>
      </c>
      <c r="B422" s="1" t="s">
        <v>1309</v>
      </c>
      <c r="D422" s="4">
        <v>45266</v>
      </c>
      <c r="E422" s="4">
        <v>45285</v>
      </c>
      <c r="F422" s="7">
        <v>16869</v>
      </c>
      <c r="G422" s="1">
        <v>53</v>
      </c>
      <c r="H422" s="1">
        <v>9</v>
      </c>
      <c r="I422" s="1">
        <v>52</v>
      </c>
      <c r="J422" s="1">
        <v>9</v>
      </c>
      <c r="K422" s="1">
        <v>61</v>
      </c>
      <c r="L422" s="1">
        <v>33</v>
      </c>
      <c r="N422" s="1">
        <v>11.1</v>
      </c>
      <c r="O422" s="7">
        <v>16869</v>
      </c>
      <c r="P422" s="4">
        <v>45266</v>
      </c>
      <c r="Q422" s="4">
        <v>45285</v>
      </c>
      <c r="R422" s="1" t="s">
        <v>80</v>
      </c>
      <c r="AO422" s="7">
        <v>16869</v>
      </c>
      <c r="AP422" s="5">
        <v>8.4</v>
      </c>
      <c r="AQ422" s="5">
        <v>137</v>
      </c>
      <c r="AR422" s="5">
        <v>44.82</v>
      </c>
      <c r="AS422" s="5">
        <v>75.2</v>
      </c>
      <c r="AT422" s="5">
        <v>37</v>
      </c>
      <c r="AU422" s="5">
        <v>29</v>
      </c>
      <c r="AV422" s="5">
        <v>37.4</v>
      </c>
      <c r="AW422" s="5">
        <v>8.95</v>
      </c>
      <c r="AX422" s="5">
        <v>80</v>
      </c>
      <c r="AY422" s="5">
        <v>87.69</v>
      </c>
      <c r="AZ422" s="5" t="s">
        <v>75</v>
      </c>
      <c r="BA422" s="5">
        <v>3.99</v>
      </c>
      <c r="BB422" s="12" t="s">
        <v>76</v>
      </c>
      <c r="BC422" s="5">
        <v>4.05</v>
      </c>
      <c r="BD422" s="5">
        <v>137</v>
      </c>
      <c r="BE422" s="5">
        <v>1</v>
      </c>
      <c r="BF422" s="5">
        <v>2.13</v>
      </c>
      <c r="BG422" s="5" t="s">
        <v>76</v>
      </c>
      <c r="BH422" s="5" t="s">
        <v>76</v>
      </c>
      <c r="BI422" s="5" t="s">
        <v>76</v>
      </c>
      <c r="BJ422" s="5" t="s">
        <v>76</v>
      </c>
      <c r="BK422" s="5" t="s">
        <v>76</v>
      </c>
      <c r="BL422" s="5" t="s">
        <v>76</v>
      </c>
      <c r="BM422" s="5" t="s">
        <v>76</v>
      </c>
      <c r="BN422" s="5" t="s">
        <v>76</v>
      </c>
      <c r="BO422" s="5" t="e">
        <f t="shared" si="6"/>
        <v>#VALUE!</v>
      </c>
      <c r="BP422" s="5" t="s">
        <v>161</v>
      </c>
      <c r="BQ422" s="5">
        <v>6.1</v>
      </c>
      <c r="BR422" s="5">
        <v>4948</v>
      </c>
    </row>
    <row r="423" s="1" customFormat="1" spans="1:70">
      <c r="A423" s="1">
        <v>3258761</v>
      </c>
      <c r="B423" s="1" t="s">
        <v>1310</v>
      </c>
      <c r="D423" s="4">
        <v>44926</v>
      </c>
      <c r="E423" s="4">
        <v>44936</v>
      </c>
      <c r="F423" s="7">
        <v>16881</v>
      </c>
      <c r="G423" s="1">
        <v>32</v>
      </c>
      <c r="H423" s="1">
        <v>10</v>
      </c>
      <c r="I423" s="1">
        <v>45</v>
      </c>
      <c r="J423" s="1">
        <v>10</v>
      </c>
      <c r="K423" s="1">
        <v>63</v>
      </c>
      <c r="L423" s="1">
        <v>34</v>
      </c>
      <c r="M423" s="1">
        <v>0.71</v>
      </c>
      <c r="N423" s="1">
        <v>8.3</v>
      </c>
      <c r="O423" s="7">
        <v>16881</v>
      </c>
      <c r="P423" s="4">
        <v>44926</v>
      </c>
      <c r="Q423" s="4">
        <v>44936</v>
      </c>
      <c r="R423" s="1" t="s">
        <v>80</v>
      </c>
      <c r="AO423" s="7">
        <v>16881</v>
      </c>
      <c r="AP423" s="5">
        <v>4</v>
      </c>
      <c r="AQ423" s="5">
        <v>147</v>
      </c>
      <c r="AR423" s="5">
        <v>51</v>
      </c>
      <c r="AS423" s="5">
        <v>45.3</v>
      </c>
      <c r="AT423" s="5">
        <v>29</v>
      </c>
      <c r="AU423" s="5">
        <v>33</v>
      </c>
      <c r="AV423" s="5">
        <v>31.1</v>
      </c>
      <c r="AW423" s="5">
        <v>24.62</v>
      </c>
      <c r="AX423" s="5">
        <v>318</v>
      </c>
      <c r="AY423" s="5">
        <v>26.01</v>
      </c>
      <c r="AZ423" s="5" t="s">
        <v>75</v>
      </c>
      <c r="BA423" s="5" t="s">
        <v>76</v>
      </c>
      <c r="BB423" s="12" t="s">
        <v>76</v>
      </c>
      <c r="BC423" s="5" t="s">
        <v>4</v>
      </c>
      <c r="BD423" s="5">
        <v>147</v>
      </c>
      <c r="BE423" s="5" t="s">
        <v>76</v>
      </c>
      <c r="BF423" s="5" t="s">
        <v>76</v>
      </c>
      <c r="BG423" s="15">
        <v>36.5</v>
      </c>
      <c r="BH423" s="5" t="s">
        <v>76</v>
      </c>
      <c r="BI423" s="5">
        <v>82</v>
      </c>
      <c r="BJ423" s="5">
        <v>22</v>
      </c>
      <c r="BK423" s="5">
        <v>155</v>
      </c>
      <c r="BL423" s="5">
        <v>88</v>
      </c>
      <c r="BM423" s="5">
        <v>75</v>
      </c>
      <c r="BN423" s="5">
        <v>167</v>
      </c>
      <c r="BO423" s="5">
        <f t="shared" si="6"/>
        <v>26.8923231381548</v>
      </c>
      <c r="BP423" s="5" t="s">
        <v>168</v>
      </c>
      <c r="BQ423" s="5" t="s">
        <v>76</v>
      </c>
      <c r="BR423" s="5">
        <v>7764</v>
      </c>
    </row>
    <row r="424" s="1" customFormat="1" spans="1:70">
      <c r="A424" s="1">
        <v>3269061</v>
      </c>
      <c r="B424" s="1" t="s">
        <v>1311</v>
      </c>
      <c r="D424" s="4">
        <v>44946</v>
      </c>
      <c r="E424" s="4">
        <v>44960</v>
      </c>
      <c r="F424" s="7">
        <v>16885</v>
      </c>
      <c r="G424" s="1">
        <v>41</v>
      </c>
      <c r="H424" s="1">
        <v>9</v>
      </c>
      <c r="I424" s="1">
        <v>50</v>
      </c>
      <c r="J424" s="1">
        <v>9</v>
      </c>
      <c r="K424" s="1">
        <v>52</v>
      </c>
      <c r="L424" s="1">
        <v>27</v>
      </c>
      <c r="M424" s="1">
        <v>1.41</v>
      </c>
      <c r="N424" s="1">
        <v>8</v>
      </c>
      <c r="O424" s="7">
        <v>16885</v>
      </c>
      <c r="P424" s="4">
        <v>44946</v>
      </c>
      <c r="Q424" s="4">
        <v>44960</v>
      </c>
      <c r="R424" s="1" t="s">
        <v>80</v>
      </c>
      <c r="AO424" s="7">
        <v>16885</v>
      </c>
      <c r="AP424" s="5">
        <v>9.7</v>
      </c>
      <c r="AQ424" s="5">
        <v>135</v>
      </c>
      <c r="AR424" s="5">
        <v>40.9</v>
      </c>
      <c r="AS424" s="5">
        <v>74.9</v>
      </c>
      <c r="AT424" s="5">
        <v>89</v>
      </c>
      <c r="AU424" s="5">
        <v>67</v>
      </c>
      <c r="AV424" s="5">
        <v>38</v>
      </c>
      <c r="AW424" s="5">
        <v>9.69</v>
      </c>
      <c r="AX424" s="5">
        <v>174</v>
      </c>
      <c r="AY424" s="5">
        <v>56.44</v>
      </c>
      <c r="AZ424" s="5" t="s">
        <v>75</v>
      </c>
      <c r="BA424" s="5">
        <v>3.62</v>
      </c>
      <c r="BB424" s="12" t="s">
        <v>76</v>
      </c>
      <c r="BC424" s="5">
        <v>4.79</v>
      </c>
      <c r="BD424" s="5">
        <v>135</v>
      </c>
      <c r="BE424" s="5">
        <v>0.69</v>
      </c>
      <c r="BF424" s="5">
        <v>2.59</v>
      </c>
      <c r="BG424" s="15">
        <v>37.1</v>
      </c>
      <c r="BH424" s="5">
        <v>52</v>
      </c>
      <c r="BI424" s="5">
        <v>82</v>
      </c>
      <c r="BJ424" s="5">
        <v>18</v>
      </c>
      <c r="BK424" s="5">
        <v>143</v>
      </c>
      <c r="BL424" s="5">
        <v>81</v>
      </c>
      <c r="BM424" s="5">
        <v>83</v>
      </c>
      <c r="BN424" s="5">
        <v>159</v>
      </c>
      <c r="BO424" s="5">
        <f t="shared" si="6"/>
        <v>32.830979787192</v>
      </c>
      <c r="BP424" s="5" t="s">
        <v>78</v>
      </c>
      <c r="BQ424" s="5">
        <v>7.9</v>
      </c>
      <c r="BR424" s="5">
        <v>9846</v>
      </c>
    </row>
    <row r="425" s="1" customFormat="1" spans="1:70">
      <c r="A425" s="1">
        <v>3311736</v>
      </c>
      <c r="B425" s="1" t="s">
        <v>1312</v>
      </c>
      <c r="D425" s="4">
        <v>45006</v>
      </c>
      <c r="E425" s="4">
        <v>45016</v>
      </c>
      <c r="F425" s="7">
        <v>16923</v>
      </c>
      <c r="G425" s="1">
        <v>44</v>
      </c>
      <c r="H425" s="1">
        <v>9</v>
      </c>
      <c r="I425" s="1">
        <v>49</v>
      </c>
      <c r="J425" s="1">
        <v>9</v>
      </c>
      <c r="K425" s="1">
        <v>67</v>
      </c>
      <c r="L425" s="1">
        <v>37</v>
      </c>
      <c r="N425" s="1">
        <v>13.7</v>
      </c>
      <c r="O425" s="7">
        <v>16923</v>
      </c>
      <c r="P425" s="4">
        <v>45006</v>
      </c>
      <c r="Q425" s="4">
        <v>45016</v>
      </c>
      <c r="R425" s="1" t="s">
        <v>73</v>
      </c>
      <c r="AO425" s="7">
        <v>16923</v>
      </c>
      <c r="AP425" s="5">
        <v>8.1</v>
      </c>
      <c r="AQ425" s="5">
        <v>116</v>
      </c>
      <c r="AR425" s="5">
        <v>35.9</v>
      </c>
      <c r="AS425" s="5">
        <v>13.9</v>
      </c>
      <c r="AT425" s="5">
        <v>27</v>
      </c>
      <c r="AU425" s="5">
        <v>34</v>
      </c>
      <c r="AV425" s="5">
        <v>30.9</v>
      </c>
      <c r="AW425" s="5">
        <v>4.6</v>
      </c>
      <c r="AX425" s="5">
        <v>60</v>
      </c>
      <c r="AY425" s="5">
        <v>89.62</v>
      </c>
      <c r="AZ425" s="5" t="s">
        <v>75</v>
      </c>
      <c r="BA425" s="5">
        <v>5.75</v>
      </c>
      <c r="BB425" s="12" t="s">
        <v>76</v>
      </c>
      <c r="BC425" s="5">
        <v>4.17</v>
      </c>
      <c r="BD425" s="5">
        <v>116</v>
      </c>
      <c r="BE425" s="5">
        <v>0.96</v>
      </c>
      <c r="BF425" s="5">
        <v>3.68</v>
      </c>
      <c r="BG425" s="15">
        <v>36.5</v>
      </c>
      <c r="BH425" s="5">
        <v>62</v>
      </c>
      <c r="BI425" s="5">
        <v>62</v>
      </c>
      <c r="BJ425" s="5">
        <v>20</v>
      </c>
      <c r="BK425" s="5">
        <v>102</v>
      </c>
      <c r="BL425" s="5">
        <v>68</v>
      </c>
      <c r="BM425" s="5">
        <v>40</v>
      </c>
      <c r="BN425" s="5">
        <v>158</v>
      </c>
      <c r="BO425" s="5">
        <f t="shared" si="6"/>
        <v>16.0230732254446</v>
      </c>
      <c r="BP425" s="5" t="s">
        <v>357</v>
      </c>
      <c r="BQ425" s="5">
        <v>6.1</v>
      </c>
      <c r="BR425" s="5">
        <v>3776</v>
      </c>
    </row>
    <row r="426" s="1" customFormat="1" spans="1:70">
      <c r="A426" s="1">
        <v>3498400</v>
      </c>
      <c r="B426" s="1" t="s">
        <v>1313</v>
      </c>
      <c r="D426" s="4">
        <v>45264</v>
      </c>
      <c r="E426" s="4">
        <v>45272</v>
      </c>
      <c r="F426" s="7">
        <v>16976</v>
      </c>
      <c r="G426" s="1">
        <v>32</v>
      </c>
      <c r="H426" s="1">
        <v>10</v>
      </c>
      <c r="I426" s="1">
        <v>46</v>
      </c>
      <c r="J426" s="1">
        <v>10</v>
      </c>
      <c r="K426" s="1">
        <v>62</v>
      </c>
      <c r="L426" s="1">
        <v>33</v>
      </c>
      <c r="M426" s="1">
        <v>0.61</v>
      </c>
      <c r="N426" s="1">
        <v>8.7</v>
      </c>
      <c r="O426" s="7">
        <v>16976</v>
      </c>
      <c r="P426" s="4">
        <v>45264</v>
      </c>
      <c r="Q426" s="4">
        <v>45272</v>
      </c>
      <c r="R426" s="1" t="s">
        <v>73</v>
      </c>
      <c r="AO426" s="7">
        <v>16976</v>
      </c>
      <c r="AP426" s="5">
        <v>2883.2</v>
      </c>
      <c r="AQ426" s="5">
        <v>98</v>
      </c>
      <c r="AR426" s="5">
        <v>37.3</v>
      </c>
      <c r="AS426" s="5" t="s">
        <v>76</v>
      </c>
      <c r="AT426" s="5">
        <v>35</v>
      </c>
      <c r="AU426" s="5" t="s">
        <v>171</v>
      </c>
      <c r="AV426" s="5">
        <v>36.5</v>
      </c>
      <c r="AW426" s="5">
        <v>34.82</v>
      </c>
      <c r="AX426" s="5">
        <v>90</v>
      </c>
      <c r="AY426" s="5">
        <v>55.98</v>
      </c>
      <c r="AZ426" s="5">
        <v>9.8</v>
      </c>
      <c r="BA426" s="5" t="s">
        <v>76</v>
      </c>
      <c r="BB426" s="12" t="s">
        <v>76</v>
      </c>
      <c r="BC426" s="5">
        <v>4.7</v>
      </c>
      <c r="BD426" s="5">
        <v>98</v>
      </c>
      <c r="BE426" s="5" t="s">
        <v>76</v>
      </c>
      <c r="BF426" s="5" t="s">
        <v>76</v>
      </c>
      <c r="BG426" s="5" t="s">
        <v>76</v>
      </c>
      <c r="BH426" s="5" t="s">
        <v>76</v>
      </c>
      <c r="BI426" s="5" t="s">
        <v>76</v>
      </c>
      <c r="BJ426" s="5" t="s">
        <v>76</v>
      </c>
      <c r="BK426" s="5" t="s">
        <v>76</v>
      </c>
      <c r="BL426" s="5" t="s">
        <v>76</v>
      </c>
      <c r="BM426" s="5" t="s">
        <v>76</v>
      </c>
      <c r="BN426" s="5" t="s">
        <v>76</v>
      </c>
      <c r="BO426" s="5" t="e">
        <f t="shared" si="6"/>
        <v>#VALUE!</v>
      </c>
      <c r="BP426" s="5" t="s">
        <v>85</v>
      </c>
      <c r="BQ426" s="5" t="s">
        <v>76</v>
      </c>
      <c r="BR426" s="5">
        <v>4498</v>
      </c>
    </row>
    <row r="427" s="1" customFormat="1" spans="1:70">
      <c r="A427" s="1">
        <v>3314501</v>
      </c>
      <c r="B427" s="1" t="s">
        <v>1314</v>
      </c>
      <c r="D427" s="4">
        <v>45010</v>
      </c>
      <c r="E427" s="4">
        <v>45016</v>
      </c>
      <c r="F427" s="7">
        <v>16988</v>
      </c>
      <c r="G427" s="1">
        <v>44</v>
      </c>
      <c r="H427" s="1">
        <v>10</v>
      </c>
      <c r="I427" s="1">
        <v>72</v>
      </c>
      <c r="J427" s="1">
        <v>10</v>
      </c>
      <c r="K427" s="1">
        <v>25</v>
      </c>
      <c r="L427" s="1">
        <v>12</v>
      </c>
      <c r="M427" s="1">
        <v>1.68</v>
      </c>
      <c r="N427" s="1">
        <v>17.2</v>
      </c>
      <c r="O427" s="7">
        <v>16988</v>
      </c>
      <c r="P427" s="4">
        <v>45010</v>
      </c>
      <c r="Q427" s="4">
        <v>45016</v>
      </c>
      <c r="R427" s="1" t="s">
        <v>80</v>
      </c>
      <c r="AO427" s="7">
        <v>16988</v>
      </c>
      <c r="AP427" s="5">
        <v>9.5</v>
      </c>
      <c r="AQ427" s="5">
        <v>168</v>
      </c>
      <c r="AR427" s="5">
        <v>54.3</v>
      </c>
      <c r="AS427" s="5" t="s">
        <v>76</v>
      </c>
      <c r="AT427" s="5">
        <v>454</v>
      </c>
      <c r="AU427" s="5">
        <v>596</v>
      </c>
      <c r="AV427" s="5">
        <v>43.7</v>
      </c>
      <c r="AW427" s="5">
        <v>17.23</v>
      </c>
      <c r="AX427" s="5">
        <v>90</v>
      </c>
      <c r="AY427" s="5">
        <v>89.23</v>
      </c>
      <c r="AZ427" s="5" t="s">
        <v>75</v>
      </c>
      <c r="BA427" s="5">
        <v>2.42</v>
      </c>
      <c r="BB427" s="12" t="s">
        <v>76</v>
      </c>
      <c r="BC427" s="5">
        <v>4.08</v>
      </c>
      <c r="BD427" s="5">
        <v>168</v>
      </c>
      <c r="BE427" s="5" t="s">
        <v>76</v>
      </c>
      <c r="BF427" s="5" t="s">
        <v>76</v>
      </c>
      <c r="BG427" s="15">
        <v>37.5</v>
      </c>
      <c r="BH427" s="5">
        <v>133</v>
      </c>
      <c r="BI427" s="5">
        <v>133</v>
      </c>
      <c r="BJ427" s="5">
        <v>35</v>
      </c>
      <c r="BK427" s="5">
        <v>117</v>
      </c>
      <c r="BL427" s="5">
        <v>65</v>
      </c>
      <c r="BM427" s="5">
        <v>70</v>
      </c>
      <c r="BN427" s="5">
        <v>170</v>
      </c>
      <c r="BO427" s="5">
        <f t="shared" si="6"/>
        <v>24.2214532871972</v>
      </c>
      <c r="BP427" s="5" t="s">
        <v>85</v>
      </c>
      <c r="BQ427" s="5" t="s">
        <v>76</v>
      </c>
      <c r="BR427" s="5">
        <v>9501</v>
      </c>
    </row>
    <row r="428" s="1" customFormat="1" spans="1:70">
      <c r="A428" s="1">
        <v>3241912</v>
      </c>
      <c r="B428" s="1" t="s">
        <v>1315</v>
      </c>
      <c r="D428" s="4">
        <v>44886</v>
      </c>
      <c r="E428" s="4">
        <v>44900</v>
      </c>
      <c r="F428" s="7">
        <v>16991</v>
      </c>
      <c r="G428" s="1">
        <v>40</v>
      </c>
      <c r="H428" s="1">
        <v>11</v>
      </c>
      <c r="I428" s="1">
        <v>55</v>
      </c>
      <c r="J428" s="1">
        <v>10</v>
      </c>
      <c r="K428" s="1">
        <v>51</v>
      </c>
      <c r="L428" s="1">
        <v>26</v>
      </c>
      <c r="M428" s="1">
        <v>0.68</v>
      </c>
      <c r="N428" s="1">
        <v>15.4</v>
      </c>
      <c r="O428" s="7">
        <v>16991</v>
      </c>
      <c r="P428" s="4">
        <v>44886</v>
      </c>
      <c r="Q428" s="4">
        <v>44900</v>
      </c>
      <c r="R428" s="1" t="s">
        <v>80</v>
      </c>
      <c r="AO428" s="7">
        <v>16991</v>
      </c>
      <c r="AP428" s="5">
        <v>6.2</v>
      </c>
      <c r="AQ428" s="5">
        <v>98</v>
      </c>
      <c r="AR428" s="5">
        <v>36.6</v>
      </c>
      <c r="AS428" s="5">
        <v>35.7</v>
      </c>
      <c r="AT428" s="5">
        <v>58</v>
      </c>
      <c r="AU428" s="5">
        <v>99</v>
      </c>
      <c r="AV428" s="5">
        <v>33.3</v>
      </c>
      <c r="AW428" s="5">
        <v>32.24</v>
      </c>
      <c r="AX428" s="5">
        <v>456</v>
      </c>
      <c r="AY428" s="5">
        <v>19.07</v>
      </c>
      <c r="AZ428" s="5">
        <v>6.95</v>
      </c>
      <c r="BA428" s="5">
        <v>5.66</v>
      </c>
      <c r="BB428" s="12" t="s">
        <v>76</v>
      </c>
      <c r="BC428" s="5" t="s">
        <v>4</v>
      </c>
      <c r="BD428" s="5">
        <v>98</v>
      </c>
      <c r="BE428" s="5" t="s">
        <v>76</v>
      </c>
      <c r="BF428" s="5" t="s">
        <v>76</v>
      </c>
      <c r="BG428" s="15">
        <v>36.5</v>
      </c>
      <c r="BH428" s="5" t="s">
        <v>76</v>
      </c>
      <c r="BI428" s="5">
        <v>143</v>
      </c>
      <c r="BJ428" s="5">
        <v>30</v>
      </c>
      <c r="BK428" s="5">
        <v>134</v>
      </c>
      <c r="BL428" s="5">
        <v>96</v>
      </c>
      <c r="BM428" s="5">
        <v>60</v>
      </c>
      <c r="BN428" s="5">
        <v>168</v>
      </c>
      <c r="BO428" s="5">
        <f t="shared" si="6"/>
        <v>21.2585034013605</v>
      </c>
      <c r="BP428" s="5" t="s">
        <v>300</v>
      </c>
      <c r="BQ428" s="5" t="s">
        <v>76</v>
      </c>
      <c r="BR428" s="5" t="s">
        <v>118</v>
      </c>
    </row>
    <row r="429" s="1" customFormat="1" spans="1:70">
      <c r="A429" s="1">
        <v>3307245</v>
      </c>
      <c r="B429" s="1" t="s">
        <v>1316</v>
      </c>
      <c r="D429" s="4">
        <v>45000</v>
      </c>
      <c r="E429" s="4">
        <v>45007</v>
      </c>
      <c r="F429" s="7">
        <v>17008</v>
      </c>
      <c r="G429" s="1">
        <v>49</v>
      </c>
      <c r="H429" s="1">
        <v>9</v>
      </c>
      <c r="I429" s="1">
        <v>50</v>
      </c>
      <c r="J429" s="1">
        <v>9</v>
      </c>
      <c r="K429" s="1">
        <v>63</v>
      </c>
      <c r="L429" s="1">
        <v>34</v>
      </c>
      <c r="N429" s="1">
        <v>8.9</v>
      </c>
      <c r="O429" s="7">
        <v>17008</v>
      </c>
      <c r="P429" s="4">
        <v>45000</v>
      </c>
      <c r="Q429" s="4">
        <v>45007</v>
      </c>
      <c r="R429" s="1" t="s">
        <v>73</v>
      </c>
      <c r="AO429" s="7">
        <v>17008</v>
      </c>
      <c r="AP429" s="5">
        <v>4.3</v>
      </c>
      <c r="AQ429" s="5">
        <v>105</v>
      </c>
      <c r="AR429" s="5">
        <v>33.1</v>
      </c>
      <c r="AS429" s="5" t="s">
        <v>76</v>
      </c>
      <c r="AT429" s="5">
        <v>41</v>
      </c>
      <c r="AU429" s="5">
        <v>23</v>
      </c>
      <c r="AV429" s="5">
        <v>35.8</v>
      </c>
      <c r="AW429" s="5">
        <v>6.74</v>
      </c>
      <c r="AX429" s="5">
        <v>80</v>
      </c>
      <c r="AY429" s="5">
        <v>73.79</v>
      </c>
      <c r="AZ429" s="5" t="s">
        <v>75</v>
      </c>
      <c r="BA429" s="5">
        <v>3.69</v>
      </c>
      <c r="BB429" s="12" t="s">
        <v>76</v>
      </c>
      <c r="BC429" s="5">
        <v>3.88</v>
      </c>
      <c r="BD429" s="5">
        <v>105</v>
      </c>
      <c r="BE429" s="5" t="s">
        <v>76</v>
      </c>
      <c r="BF429" s="5" t="s">
        <v>76</v>
      </c>
      <c r="BG429" s="15">
        <v>36.5</v>
      </c>
      <c r="BH429" s="5">
        <v>62</v>
      </c>
      <c r="BI429" s="5">
        <v>62</v>
      </c>
      <c r="BJ429" s="5">
        <v>18</v>
      </c>
      <c r="BK429" s="5">
        <v>100</v>
      </c>
      <c r="BL429" s="5">
        <v>60</v>
      </c>
      <c r="BM429" s="5">
        <v>65</v>
      </c>
      <c r="BN429" s="5">
        <v>158</v>
      </c>
      <c r="BO429" s="5">
        <f t="shared" si="6"/>
        <v>26.0374939913475</v>
      </c>
      <c r="BP429" s="5" t="s">
        <v>107</v>
      </c>
      <c r="BQ429" s="5">
        <v>6.4</v>
      </c>
      <c r="BR429" s="5">
        <v>4009</v>
      </c>
    </row>
    <row r="430" s="1" customFormat="1" spans="1:70">
      <c r="A430" s="1">
        <v>3326913</v>
      </c>
      <c r="B430" s="1" t="s">
        <v>1317</v>
      </c>
      <c r="D430" s="4">
        <v>45027</v>
      </c>
      <c r="E430" s="4">
        <v>45029</v>
      </c>
      <c r="F430" s="7">
        <v>17015</v>
      </c>
      <c r="G430" s="1">
        <v>40</v>
      </c>
      <c r="H430" s="1">
        <v>9</v>
      </c>
      <c r="I430" s="1">
        <v>53</v>
      </c>
      <c r="J430" s="1">
        <v>9</v>
      </c>
      <c r="K430" s="1">
        <v>47</v>
      </c>
      <c r="M430" s="1">
        <v>0.85</v>
      </c>
      <c r="O430" s="7">
        <v>17015</v>
      </c>
      <c r="P430" s="4">
        <v>45027</v>
      </c>
      <c r="Q430" s="4">
        <v>45029</v>
      </c>
      <c r="R430" s="1" t="s">
        <v>80</v>
      </c>
      <c r="AO430" s="7">
        <v>17015</v>
      </c>
      <c r="AP430" s="5">
        <v>2.2</v>
      </c>
      <c r="AQ430" s="5">
        <v>180</v>
      </c>
      <c r="AR430" s="5">
        <v>54.1</v>
      </c>
      <c r="AS430" s="5">
        <v>114.7</v>
      </c>
      <c r="AT430" s="5">
        <v>547</v>
      </c>
      <c r="AU430" s="5">
        <v>173</v>
      </c>
      <c r="AV430" s="5">
        <v>37.8</v>
      </c>
      <c r="AW430" s="5">
        <v>8.07</v>
      </c>
      <c r="AX430" s="5">
        <v>82</v>
      </c>
      <c r="AY430" s="5">
        <v>91.94</v>
      </c>
      <c r="AZ430" s="5" t="s">
        <v>75</v>
      </c>
      <c r="BA430" s="5">
        <v>4.22</v>
      </c>
      <c r="BB430" s="12" t="s">
        <v>76</v>
      </c>
      <c r="BC430" s="5">
        <v>4.21</v>
      </c>
      <c r="BD430" s="5">
        <v>180</v>
      </c>
      <c r="BE430" s="5">
        <v>2.03</v>
      </c>
      <c r="BF430" s="5">
        <v>1.77</v>
      </c>
      <c r="BG430" s="15">
        <v>36.4</v>
      </c>
      <c r="BH430" s="5">
        <v>92</v>
      </c>
      <c r="BI430" s="5">
        <v>92</v>
      </c>
      <c r="BJ430" s="5">
        <v>20</v>
      </c>
      <c r="BK430" s="5">
        <v>123</v>
      </c>
      <c r="BL430" s="5">
        <v>79</v>
      </c>
      <c r="BM430" s="5">
        <v>62</v>
      </c>
      <c r="BN430" s="5">
        <v>165</v>
      </c>
      <c r="BO430" s="5">
        <f t="shared" si="6"/>
        <v>22.77318640955</v>
      </c>
      <c r="BP430" s="5" t="s">
        <v>323</v>
      </c>
      <c r="BQ430" s="5" t="s">
        <v>76</v>
      </c>
      <c r="BR430" s="5">
        <v>3816</v>
      </c>
    </row>
    <row r="431" s="1" customFormat="1" spans="1:70">
      <c r="A431" s="1">
        <v>3324532</v>
      </c>
      <c r="B431" s="1" t="s">
        <v>1318</v>
      </c>
      <c r="D431" s="4">
        <v>45026</v>
      </c>
      <c r="E431" s="4">
        <v>45034</v>
      </c>
      <c r="F431" s="7">
        <v>17029</v>
      </c>
      <c r="G431" s="1">
        <v>47</v>
      </c>
      <c r="H431" s="1">
        <v>10</v>
      </c>
      <c r="I431" s="1">
        <v>50</v>
      </c>
      <c r="J431" s="1">
        <v>10</v>
      </c>
      <c r="K431" s="1">
        <v>44</v>
      </c>
      <c r="L431" s="1">
        <v>22</v>
      </c>
      <c r="N431" s="1">
        <v>19.9</v>
      </c>
      <c r="O431" s="7">
        <v>17029</v>
      </c>
      <c r="P431" s="4">
        <v>45026</v>
      </c>
      <c r="Q431" s="4">
        <v>45034</v>
      </c>
      <c r="R431" s="1" t="s">
        <v>73</v>
      </c>
      <c r="AO431" s="7">
        <v>17029</v>
      </c>
      <c r="AP431" s="5">
        <v>6.4</v>
      </c>
      <c r="AQ431" s="5">
        <v>131</v>
      </c>
      <c r="AR431" s="5">
        <v>40.3</v>
      </c>
      <c r="AS431" s="5">
        <v>14.6</v>
      </c>
      <c r="AT431" s="5">
        <v>20</v>
      </c>
      <c r="AU431" s="5" t="s">
        <v>76</v>
      </c>
      <c r="AV431" s="5" t="s">
        <v>76</v>
      </c>
      <c r="AW431" s="5" t="s">
        <v>76</v>
      </c>
      <c r="AX431" s="5" t="s">
        <v>76</v>
      </c>
      <c r="AY431" s="5" t="s">
        <v>76</v>
      </c>
      <c r="AZ431" s="5" t="s">
        <v>76</v>
      </c>
      <c r="BA431" s="5">
        <v>3.4</v>
      </c>
      <c r="BB431" s="12" t="s">
        <v>76</v>
      </c>
      <c r="BC431" s="5">
        <v>4.28</v>
      </c>
      <c r="BD431" s="5">
        <v>131</v>
      </c>
      <c r="BE431" s="5">
        <v>1.34</v>
      </c>
      <c r="BF431" s="5">
        <v>1.38</v>
      </c>
      <c r="BG431" s="15">
        <v>36.3</v>
      </c>
      <c r="BH431" s="5">
        <v>70</v>
      </c>
      <c r="BI431" s="5">
        <v>70</v>
      </c>
      <c r="BJ431" s="5">
        <v>17</v>
      </c>
      <c r="BK431" s="5">
        <v>110</v>
      </c>
      <c r="BL431" s="5">
        <v>75</v>
      </c>
      <c r="BM431" s="5">
        <v>50</v>
      </c>
      <c r="BN431" s="5">
        <v>155</v>
      </c>
      <c r="BO431" s="5">
        <f t="shared" si="6"/>
        <v>20.8116545265349</v>
      </c>
      <c r="BP431" s="5" t="s">
        <v>158</v>
      </c>
      <c r="BQ431" s="5" t="s">
        <v>76</v>
      </c>
      <c r="BR431" s="5">
        <v>9071</v>
      </c>
    </row>
    <row r="432" s="1" customFormat="1" spans="1:70">
      <c r="A432" s="1" t="s">
        <v>1319</v>
      </c>
      <c r="B432" s="1" t="s">
        <v>1320</v>
      </c>
      <c r="C432" s="1">
        <v>1</v>
      </c>
      <c r="D432" s="4">
        <v>44875</v>
      </c>
      <c r="E432" s="4">
        <v>44903</v>
      </c>
      <c r="F432" s="7">
        <v>17042</v>
      </c>
      <c r="G432" s="1">
        <v>45</v>
      </c>
      <c r="H432" s="1">
        <v>8</v>
      </c>
      <c r="I432" s="1">
        <v>51</v>
      </c>
      <c r="J432" s="1">
        <v>8</v>
      </c>
      <c r="K432" s="1">
        <v>64</v>
      </c>
      <c r="L432" s="1">
        <v>34</v>
      </c>
      <c r="M432" s="1">
        <v>1.31</v>
      </c>
      <c r="N432" s="1">
        <v>24.8</v>
      </c>
      <c r="O432" s="7">
        <v>17042</v>
      </c>
      <c r="P432" s="4">
        <v>44875</v>
      </c>
      <c r="Q432" s="4">
        <v>44903</v>
      </c>
      <c r="R432" s="1" t="s">
        <v>73</v>
      </c>
      <c r="S432" s="1">
        <v>76</v>
      </c>
      <c r="T432" s="1">
        <v>13852121299</v>
      </c>
      <c r="V432" s="1">
        <v>1</v>
      </c>
      <c r="Z432" s="1">
        <v>1</v>
      </c>
      <c r="AH432" s="1">
        <v>1</v>
      </c>
      <c r="AI432" s="1">
        <v>1</v>
      </c>
      <c r="AM432" s="1">
        <v>1</v>
      </c>
      <c r="AN432" s="1">
        <v>1</v>
      </c>
      <c r="AO432" s="7">
        <v>17042</v>
      </c>
      <c r="AP432" s="5" t="s">
        <v>591</v>
      </c>
      <c r="AQ432" s="5" t="s">
        <v>137</v>
      </c>
      <c r="AR432" s="5" t="s">
        <v>1248</v>
      </c>
      <c r="AS432" s="5" t="s">
        <v>1321</v>
      </c>
      <c r="AT432" s="5" t="s">
        <v>287</v>
      </c>
      <c r="AU432" s="5" t="s">
        <v>93</v>
      </c>
      <c r="AV432" s="5" t="s">
        <v>1322</v>
      </c>
      <c r="AW432" s="5" t="s">
        <v>1117</v>
      </c>
      <c r="AX432" s="5" t="s">
        <v>243</v>
      </c>
      <c r="AY432" s="5" t="s">
        <v>1323</v>
      </c>
      <c r="AZ432" s="5" t="s">
        <v>75</v>
      </c>
      <c r="BA432" s="5" t="s">
        <v>76</v>
      </c>
      <c r="BB432" s="12" t="s">
        <v>76</v>
      </c>
      <c r="BC432" s="5" t="s">
        <v>1324</v>
      </c>
      <c r="BD432" s="5" t="s">
        <v>137</v>
      </c>
      <c r="BE432" s="5" t="s">
        <v>76</v>
      </c>
      <c r="BF432" s="5" t="s">
        <v>76</v>
      </c>
      <c r="BG432" s="15">
        <v>36.3</v>
      </c>
      <c r="BH432" s="5" t="s">
        <v>658</v>
      </c>
      <c r="BI432" s="5" t="s">
        <v>76</v>
      </c>
      <c r="BJ432" s="5" t="s">
        <v>101</v>
      </c>
      <c r="BK432" s="5" t="s">
        <v>1100</v>
      </c>
      <c r="BL432" s="5" t="s">
        <v>207</v>
      </c>
      <c r="BM432" s="5" t="s">
        <v>468</v>
      </c>
      <c r="BN432" s="5">
        <v>155</v>
      </c>
      <c r="BO432" s="5">
        <f t="shared" si="6"/>
        <v>27.0551508844953</v>
      </c>
      <c r="BP432" s="5" t="s">
        <v>412</v>
      </c>
      <c r="BQ432" s="5" t="s">
        <v>76</v>
      </c>
      <c r="BR432" s="5" t="s">
        <v>118</v>
      </c>
    </row>
    <row r="433" s="1" customFormat="1" spans="1:70">
      <c r="A433" s="1">
        <v>3505251</v>
      </c>
      <c r="B433" s="1" t="s">
        <v>1325</v>
      </c>
      <c r="D433" s="4">
        <v>45273</v>
      </c>
      <c r="E433" s="4">
        <v>45282</v>
      </c>
      <c r="F433" s="7">
        <v>17053</v>
      </c>
      <c r="G433" s="1">
        <v>44</v>
      </c>
      <c r="H433" s="1">
        <v>9</v>
      </c>
      <c r="I433" s="1">
        <v>62</v>
      </c>
      <c r="J433" s="1">
        <v>9</v>
      </c>
      <c r="K433" s="1">
        <v>28</v>
      </c>
      <c r="L433" s="1">
        <v>14</v>
      </c>
      <c r="M433" s="1">
        <v>2.21</v>
      </c>
      <c r="N433" s="1">
        <v>18.7</v>
      </c>
      <c r="O433" s="7">
        <v>17053</v>
      </c>
      <c r="P433" s="4">
        <v>45273</v>
      </c>
      <c r="Q433" s="4">
        <v>45282</v>
      </c>
      <c r="R433" s="1" t="s">
        <v>80</v>
      </c>
      <c r="AO433" s="7">
        <v>17053</v>
      </c>
      <c r="AP433" s="5">
        <v>7.4</v>
      </c>
      <c r="AQ433" s="5">
        <v>154</v>
      </c>
      <c r="AR433" s="5">
        <v>46.4</v>
      </c>
      <c r="AS433" s="5">
        <v>6.4</v>
      </c>
      <c r="AT433" s="5">
        <v>15</v>
      </c>
      <c r="AU433" s="5">
        <v>12</v>
      </c>
      <c r="AV433" s="5">
        <v>42.2</v>
      </c>
      <c r="AW433" s="5">
        <v>7.9</v>
      </c>
      <c r="AX433" s="5">
        <v>85</v>
      </c>
      <c r="AY433" s="5">
        <v>99.19</v>
      </c>
      <c r="AZ433" s="5" t="s">
        <v>75</v>
      </c>
      <c r="BA433" s="5">
        <v>3.1</v>
      </c>
      <c r="BB433" s="12" t="s">
        <v>76</v>
      </c>
      <c r="BC433" s="5">
        <v>4.47</v>
      </c>
      <c r="BD433" s="5">
        <v>154</v>
      </c>
      <c r="BE433" s="5">
        <v>0.61</v>
      </c>
      <c r="BF433" s="5">
        <v>1.89</v>
      </c>
      <c r="BG433" s="15">
        <v>36.6</v>
      </c>
      <c r="BH433" s="5">
        <v>82</v>
      </c>
      <c r="BI433" s="5">
        <v>82</v>
      </c>
      <c r="BJ433" s="5">
        <v>18</v>
      </c>
      <c r="BK433" s="5">
        <v>115</v>
      </c>
      <c r="BL433" s="5">
        <v>73</v>
      </c>
      <c r="BM433" s="5">
        <v>78</v>
      </c>
      <c r="BN433" s="5">
        <v>175</v>
      </c>
      <c r="BO433" s="5">
        <f t="shared" si="6"/>
        <v>25.469387755102</v>
      </c>
      <c r="BP433" s="5" t="s">
        <v>156</v>
      </c>
      <c r="BQ433" s="5">
        <v>5.2</v>
      </c>
      <c r="BR433" s="5">
        <v>6087</v>
      </c>
    </row>
    <row r="434" s="1" customFormat="1" spans="1:70">
      <c r="A434" s="1">
        <v>3312185</v>
      </c>
      <c r="B434" s="1" t="s">
        <v>1326</v>
      </c>
      <c r="D434" s="4">
        <v>45007</v>
      </c>
      <c r="E434" s="4">
        <v>45027</v>
      </c>
      <c r="F434" s="7">
        <v>17054</v>
      </c>
      <c r="G434" s="1">
        <v>36</v>
      </c>
      <c r="H434" s="1">
        <v>10</v>
      </c>
      <c r="I434" s="1">
        <v>43</v>
      </c>
      <c r="J434" s="1">
        <v>10</v>
      </c>
      <c r="K434" s="1">
        <v>63</v>
      </c>
      <c r="L434" s="1">
        <v>35</v>
      </c>
      <c r="M434" s="1">
        <v>0.56</v>
      </c>
      <c r="N434" s="1">
        <v>7.8</v>
      </c>
      <c r="O434" s="7">
        <v>17054</v>
      </c>
      <c r="P434" s="4">
        <v>45007</v>
      </c>
      <c r="Q434" s="4">
        <v>45027</v>
      </c>
      <c r="R434" s="1" t="s">
        <v>80</v>
      </c>
      <c r="AO434" s="7">
        <v>17054</v>
      </c>
      <c r="AP434" s="5">
        <v>9.7</v>
      </c>
      <c r="AQ434" s="5">
        <v>99</v>
      </c>
      <c r="AR434" s="5">
        <v>37.6</v>
      </c>
      <c r="AS434" s="5" t="s">
        <v>76</v>
      </c>
      <c r="AT434" s="5">
        <v>9</v>
      </c>
      <c r="AU434" s="5" t="s">
        <v>171</v>
      </c>
      <c r="AV434" s="5">
        <v>32.9</v>
      </c>
      <c r="AW434" s="5" t="s">
        <v>1327</v>
      </c>
      <c r="AX434" s="5">
        <v>263</v>
      </c>
      <c r="AY434" s="5">
        <v>48.62</v>
      </c>
      <c r="AZ434" s="5" t="s">
        <v>75</v>
      </c>
      <c r="BA434" s="5" t="s">
        <v>76</v>
      </c>
      <c r="BB434" s="12" t="s">
        <v>76</v>
      </c>
      <c r="BC434" s="5">
        <v>5.2</v>
      </c>
      <c r="BD434" s="5">
        <v>99</v>
      </c>
      <c r="BE434" s="5" t="s">
        <v>76</v>
      </c>
      <c r="BF434" s="5" t="s">
        <v>76</v>
      </c>
      <c r="BG434" s="15">
        <v>37.1</v>
      </c>
      <c r="BH434" s="5">
        <v>120</v>
      </c>
      <c r="BI434" s="5">
        <v>120</v>
      </c>
      <c r="BJ434" s="5">
        <v>18</v>
      </c>
      <c r="BK434" s="5">
        <v>105</v>
      </c>
      <c r="BL434" s="5">
        <v>72</v>
      </c>
      <c r="BM434" s="5">
        <v>55</v>
      </c>
      <c r="BN434" s="5">
        <v>173</v>
      </c>
      <c r="BO434" s="5">
        <f t="shared" si="6"/>
        <v>18.3768251528618</v>
      </c>
      <c r="BP434" s="5" t="s">
        <v>85</v>
      </c>
      <c r="BQ434" s="5">
        <v>5.7</v>
      </c>
      <c r="BR434" s="5" t="s">
        <v>118</v>
      </c>
    </row>
    <row r="435" s="1" customFormat="1" spans="1:70">
      <c r="A435" s="1">
        <v>3303981</v>
      </c>
      <c r="B435" s="1" t="s">
        <v>1328</v>
      </c>
      <c r="D435" s="4">
        <v>44995</v>
      </c>
      <c r="E435" s="4">
        <v>45002</v>
      </c>
      <c r="F435" s="7">
        <v>17065</v>
      </c>
      <c r="G435" s="1">
        <v>40</v>
      </c>
      <c r="H435" s="1">
        <v>8</v>
      </c>
      <c r="I435" s="1">
        <v>43</v>
      </c>
      <c r="J435" s="1">
        <v>8</v>
      </c>
      <c r="K435" s="1">
        <v>63</v>
      </c>
      <c r="L435" s="1">
        <v>34</v>
      </c>
      <c r="M435" s="1">
        <v>1.14</v>
      </c>
      <c r="N435" s="1">
        <v>11.7</v>
      </c>
      <c r="O435" s="7">
        <v>17065</v>
      </c>
      <c r="P435" s="4">
        <v>44995</v>
      </c>
      <c r="Q435" s="4">
        <v>45002</v>
      </c>
      <c r="R435" s="1" t="s">
        <v>73</v>
      </c>
      <c r="AO435" s="7">
        <v>17065</v>
      </c>
      <c r="AP435" s="5">
        <v>9.1</v>
      </c>
      <c r="AQ435" s="5">
        <v>123</v>
      </c>
      <c r="AR435" s="5">
        <v>37.9</v>
      </c>
      <c r="AS435" s="5">
        <v>6</v>
      </c>
      <c r="AT435" s="5">
        <v>33</v>
      </c>
      <c r="AU435" s="5">
        <v>19</v>
      </c>
      <c r="AV435" s="5">
        <v>36</v>
      </c>
      <c r="AW435" s="5">
        <v>3.9</v>
      </c>
      <c r="AX435" s="5">
        <v>53</v>
      </c>
      <c r="AY435" s="5" t="s">
        <v>76</v>
      </c>
      <c r="AZ435" s="5" t="s">
        <v>75</v>
      </c>
      <c r="BA435" s="5">
        <v>2.79</v>
      </c>
      <c r="BB435" s="12" t="s">
        <v>76</v>
      </c>
      <c r="BC435" s="5">
        <v>3.92</v>
      </c>
      <c r="BD435" s="5">
        <v>123</v>
      </c>
      <c r="BE435" s="5" t="s">
        <v>76</v>
      </c>
      <c r="BF435" s="5" t="s">
        <v>76</v>
      </c>
      <c r="BG435" s="15">
        <v>37.8</v>
      </c>
      <c r="BH435" s="5">
        <v>75</v>
      </c>
      <c r="BI435" s="5">
        <v>75</v>
      </c>
      <c r="BJ435" s="5">
        <v>20</v>
      </c>
      <c r="BK435" s="5">
        <v>111</v>
      </c>
      <c r="BL435" s="5">
        <v>75</v>
      </c>
      <c r="BM435" s="5">
        <v>52</v>
      </c>
      <c r="BN435" s="5">
        <v>130</v>
      </c>
      <c r="BO435" s="5">
        <f t="shared" si="6"/>
        <v>30.7692307692308</v>
      </c>
      <c r="BP435" s="5" t="s">
        <v>149</v>
      </c>
      <c r="BQ435" s="5" t="s">
        <v>76</v>
      </c>
      <c r="BR435" s="5">
        <v>2927</v>
      </c>
    </row>
    <row r="436" s="1" customFormat="1" spans="1:70">
      <c r="A436" s="1">
        <v>3255898</v>
      </c>
      <c r="B436" s="1" t="s">
        <v>1329</v>
      </c>
      <c r="D436" s="4">
        <v>44921</v>
      </c>
      <c r="E436" s="4">
        <v>44928</v>
      </c>
      <c r="F436" s="7">
        <v>17066</v>
      </c>
      <c r="G436" s="1">
        <v>33</v>
      </c>
      <c r="H436" s="1">
        <v>10</v>
      </c>
      <c r="I436" s="1">
        <v>49</v>
      </c>
      <c r="J436" s="1">
        <v>9</v>
      </c>
      <c r="K436" s="1">
        <v>70</v>
      </c>
      <c r="L436" s="1">
        <v>40</v>
      </c>
      <c r="M436" s="1">
        <v>0.61</v>
      </c>
      <c r="N436" s="1">
        <v>6.4</v>
      </c>
      <c r="O436" s="7">
        <v>17066</v>
      </c>
      <c r="P436" s="4">
        <v>44921</v>
      </c>
      <c r="Q436" s="4">
        <v>44928</v>
      </c>
      <c r="R436" s="1" t="s">
        <v>73</v>
      </c>
      <c r="AO436" s="7">
        <v>17066</v>
      </c>
      <c r="AP436" s="5">
        <v>6.7</v>
      </c>
      <c r="AQ436" s="5">
        <v>140</v>
      </c>
      <c r="AR436" s="5">
        <v>44.4</v>
      </c>
      <c r="AS436" s="5">
        <v>23.3</v>
      </c>
      <c r="AT436" s="5">
        <v>20</v>
      </c>
      <c r="AU436" s="5">
        <v>13</v>
      </c>
      <c r="AV436" s="5">
        <v>36.5</v>
      </c>
      <c r="AW436" s="5">
        <v>2.71</v>
      </c>
      <c r="AX436" s="5">
        <v>51</v>
      </c>
      <c r="AY436" s="5" t="s">
        <v>76</v>
      </c>
      <c r="AZ436" s="5" t="s">
        <v>375</v>
      </c>
      <c r="BA436" s="5">
        <v>6.42</v>
      </c>
      <c r="BB436" s="12" t="s">
        <v>76</v>
      </c>
      <c r="BC436" s="5">
        <v>3.1</v>
      </c>
      <c r="BD436" s="5">
        <v>140</v>
      </c>
      <c r="BE436" s="5">
        <v>0.98</v>
      </c>
      <c r="BF436" s="5">
        <v>4.98</v>
      </c>
      <c r="BG436" s="15">
        <v>37.2</v>
      </c>
      <c r="BH436" s="5">
        <v>110</v>
      </c>
      <c r="BI436" s="5" t="s">
        <v>76</v>
      </c>
      <c r="BJ436" s="5">
        <v>20</v>
      </c>
      <c r="BK436" s="5">
        <v>178</v>
      </c>
      <c r="BL436" s="5">
        <v>91</v>
      </c>
      <c r="BM436" s="5">
        <v>66</v>
      </c>
      <c r="BN436" s="5">
        <v>165</v>
      </c>
      <c r="BO436" s="5">
        <f t="shared" si="6"/>
        <v>24.2424242424242</v>
      </c>
      <c r="BP436" s="5" t="s">
        <v>457</v>
      </c>
      <c r="BQ436" s="5">
        <v>9</v>
      </c>
      <c r="BR436" s="5">
        <v>2358</v>
      </c>
    </row>
    <row r="437" s="1" customFormat="1" spans="1:70">
      <c r="A437" s="1">
        <v>3268526</v>
      </c>
      <c r="B437" s="1" t="s">
        <v>1330</v>
      </c>
      <c r="D437" s="4">
        <v>44944</v>
      </c>
      <c r="E437" s="4">
        <v>44949</v>
      </c>
      <c r="F437" s="7">
        <v>17076</v>
      </c>
      <c r="G437" s="1">
        <v>40</v>
      </c>
      <c r="H437" s="1">
        <v>9</v>
      </c>
      <c r="I437" s="1">
        <v>44</v>
      </c>
      <c r="J437" s="1">
        <v>9</v>
      </c>
      <c r="K437" s="1">
        <v>44</v>
      </c>
      <c r="L437" s="1">
        <v>22</v>
      </c>
      <c r="N437" s="1">
        <v>8.2</v>
      </c>
      <c r="O437" s="7">
        <v>17076</v>
      </c>
      <c r="P437" s="4">
        <v>44944</v>
      </c>
      <c r="Q437" s="4">
        <v>44949</v>
      </c>
      <c r="R437" s="1" t="s">
        <v>73</v>
      </c>
      <c r="AO437" s="7">
        <v>17076</v>
      </c>
      <c r="AP437" s="5">
        <v>12.3</v>
      </c>
      <c r="AQ437" s="5">
        <v>135</v>
      </c>
      <c r="AR437" s="5">
        <v>43.2</v>
      </c>
      <c r="AS437" s="5">
        <v>86.1</v>
      </c>
      <c r="AT437" s="5">
        <v>704</v>
      </c>
      <c r="AU437" s="5">
        <v>608</v>
      </c>
      <c r="AV437" s="5">
        <v>32.7</v>
      </c>
      <c r="AW437" s="5">
        <v>8.57</v>
      </c>
      <c r="AX437" s="5">
        <v>78</v>
      </c>
      <c r="AY437" s="5">
        <v>66.21</v>
      </c>
      <c r="AZ437" s="5">
        <v>8.81</v>
      </c>
      <c r="BA437" s="5">
        <v>4.68</v>
      </c>
      <c r="BB437" s="12" t="s">
        <v>76</v>
      </c>
      <c r="BC437" s="5">
        <v>4.17</v>
      </c>
      <c r="BD437" s="5">
        <v>135</v>
      </c>
      <c r="BE437" s="5">
        <v>0.99</v>
      </c>
      <c r="BF437" s="5">
        <v>2.71</v>
      </c>
      <c r="BG437" s="15">
        <v>36.5</v>
      </c>
      <c r="BH437" s="5">
        <v>80</v>
      </c>
      <c r="BI437" s="5">
        <v>102</v>
      </c>
      <c r="BJ437" s="5">
        <v>16</v>
      </c>
      <c r="BK437" s="5">
        <v>83</v>
      </c>
      <c r="BL437" s="5">
        <v>47</v>
      </c>
      <c r="BM437" s="5">
        <v>45</v>
      </c>
      <c r="BN437" s="5">
        <v>160</v>
      </c>
      <c r="BO437" s="5">
        <f t="shared" si="6"/>
        <v>17.578125</v>
      </c>
      <c r="BP437" s="5" t="s">
        <v>107</v>
      </c>
      <c r="BQ437" s="5">
        <v>6.4</v>
      </c>
      <c r="BR437" s="5">
        <v>8147</v>
      </c>
    </row>
    <row r="438" s="1" customFormat="1" spans="1:70">
      <c r="A438" s="1">
        <v>3507923</v>
      </c>
      <c r="B438" s="1" t="s">
        <v>1331</v>
      </c>
      <c r="D438" s="4">
        <v>45278</v>
      </c>
      <c r="E438" s="4">
        <v>45299</v>
      </c>
      <c r="F438" s="7">
        <v>17083</v>
      </c>
      <c r="G438" s="1">
        <v>47</v>
      </c>
      <c r="H438" s="1">
        <v>10</v>
      </c>
      <c r="I438" s="1">
        <v>59</v>
      </c>
      <c r="J438" s="1">
        <v>9</v>
      </c>
      <c r="K438" s="1">
        <v>37</v>
      </c>
      <c r="L438" s="1">
        <v>18</v>
      </c>
      <c r="M438" s="1">
        <v>0.46</v>
      </c>
      <c r="N438" s="1">
        <v>13.6</v>
      </c>
      <c r="O438" s="7">
        <v>17083</v>
      </c>
      <c r="P438" s="4">
        <v>45278</v>
      </c>
      <c r="Q438" s="4">
        <v>45299</v>
      </c>
      <c r="R438" s="1" t="s">
        <v>73</v>
      </c>
      <c r="AO438" s="7">
        <v>17083</v>
      </c>
      <c r="AP438" s="5">
        <v>5.8</v>
      </c>
      <c r="AQ438" s="5">
        <v>140</v>
      </c>
      <c r="AR438" s="5">
        <v>45.5</v>
      </c>
      <c r="AS438" s="5" t="s">
        <v>374</v>
      </c>
      <c r="AT438" s="5">
        <v>14</v>
      </c>
      <c r="AU438" s="5">
        <v>8</v>
      </c>
      <c r="AV438" s="5">
        <v>37.9</v>
      </c>
      <c r="AW438" s="5">
        <v>8.1</v>
      </c>
      <c r="AX438" s="5">
        <v>78</v>
      </c>
      <c r="AY438" s="5">
        <v>66.03</v>
      </c>
      <c r="AZ438" s="5">
        <v>5.52</v>
      </c>
      <c r="BA438" s="5">
        <v>4.45</v>
      </c>
      <c r="BB438" s="12" t="s">
        <v>76</v>
      </c>
      <c r="BC438" s="5">
        <v>4.51</v>
      </c>
      <c r="BD438" s="5">
        <v>140</v>
      </c>
      <c r="BE438" s="5">
        <v>1</v>
      </c>
      <c r="BF438" s="5">
        <v>2.48</v>
      </c>
      <c r="BG438" s="15">
        <v>36.3</v>
      </c>
      <c r="BH438" s="5">
        <v>62</v>
      </c>
      <c r="BI438" s="5">
        <v>62</v>
      </c>
      <c r="BJ438" s="5">
        <v>16</v>
      </c>
      <c r="BK438" s="5">
        <v>139</v>
      </c>
      <c r="BL438" s="5">
        <v>90</v>
      </c>
      <c r="BM438" s="5">
        <v>60</v>
      </c>
      <c r="BN438" s="5">
        <v>160</v>
      </c>
      <c r="BO438" s="5">
        <f t="shared" si="6"/>
        <v>23.4375</v>
      </c>
      <c r="BP438" s="5" t="s">
        <v>121</v>
      </c>
      <c r="BQ438" s="5">
        <v>7.1</v>
      </c>
      <c r="BR438" s="5">
        <v>9208</v>
      </c>
    </row>
    <row r="439" s="1" customFormat="1" spans="1:70">
      <c r="A439" s="1">
        <v>3496489</v>
      </c>
      <c r="B439" s="1" t="s">
        <v>1332</v>
      </c>
      <c r="D439" s="4">
        <v>45262</v>
      </c>
      <c r="E439" s="4">
        <v>45267</v>
      </c>
      <c r="F439" s="7">
        <v>17095</v>
      </c>
      <c r="G439" s="1">
        <v>46</v>
      </c>
      <c r="H439" s="1">
        <v>18</v>
      </c>
      <c r="I439" s="1">
        <v>46</v>
      </c>
      <c r="J439" s="1">
        <v>15</v>
      </c>
      <c r="K439" s="1">
        <v>64</v>
      </c>
      <c r="L439" s="1">
        <v>35</v>
      </c>
      <c r="O439" s="7">
        <v>17095</v>
      </c>
      <c r="P439" s="4">
        <v>45262</v>
      </c>
      <c r="Q439" s="4">
        <v>45267</v>
      </c>
      <c r="R439" s="1" t="s">
        <v>73</v>
      </c>
      <c r="AO439" s="7">
        <v>17095</v>
      </c>
      <c r="AP439" s="5">
        <v>7.2</v>
      </c>
      <c r="AQ439" s="5">
        <v>106</v>
      </c>
      <c r="AR439" s="5">
        <v>33.3</v>
      </c>
      <c r="AS439" s="5">
        <v>32.6</v>
      </c>
      <c r="AT439" s="5">
        <v>42</v>
      </c>
      <c r="AU439" s="5">
        <v>82</v>
      </c>
      <c r="AV439" s="5">
        <v>36.4</v>
      </c>
      <c r="AW439" s="5">
        <v>6.68</v>
      </c>
      <c r="AX439" s="5">
        <v>85</v>
      </c>
      <c r="AY439" s="5">
        <v>59.8</v>
      </c>
      <c r="AZ439" s="5" t="s">
        <v>75</v>
      </c>
      <c r="BA439" s="5">
        <v>3.82</v>
      </c>
      <c r="BB439" s="12" t="s">
        <v>76</v>
      </c>
      <c r="BC439" s="5">
        <v>3.77</v>
      </c>
      <c r="BD439" s="5">
        <v>106</v>
      </c>
      <c r="BE439" s="5">
        <v>1.01</v>
      </c>
      <c r="BF439" s="5">
        <v>1.95</v>
      </c>
      <c r="BG439" s="15">
        <v>36.5</v>
      </c>
      <c r="BH439" s="5">
        <v>72</v>
      </c>
      <c r="BI439" s="5">
        <v>72</v>
      </c>
      <c r="BJ439" s="5">
        <v>16</v>
      </c>
      <c r="BK439" s="5">
        <v>94</v>
      </c>
      <c r="BL439" s="5">
        <v>60</v>
      </c>
      <c r="BM439" s="5">
        <v>60</v>
      </c>
      <c r="BN439" s="5">
        <v>152</v>
      </c>
      <c r="BO439" s="5">
        <f t="shared" si="6"/>
        <v>25.9695290858726</v>
      </c>
      <c r="BP439" s="5" t="s">
        <v>121</v>
      </c>
      <c r="BQ439" s="5">
        <v>5.8</v>
      </c>
      <c r="BR439" s="5">
        <v>28088</v>
      </c>
    </row>
    <row r="440" s="1" customFormat="1" spans="1:70">
      <c r="A440" s="1">
        <v>3288472</v>
      </c>
      <c r="B440" s="1" t="s">
        <v>1333</v>
      </c>
      <c r="D440" s="4">
        <v>44974</v>
      </c>
      <c r="E440" s="4">
        <v>44983</v>
      </c>
      <c r="F440" s="7">
        <v>17113</v>
      </c>
      <c r="G440" s="1">
        <v>36</v>
      </c>
      <c r="H440" s="1">
        <v>10</v>
      </c>
      <c r="I440" s="1">
        <v>49</v>
      </c>
      <c r="J440" s="1">
        <v>10</v>
      </c>
      <c r="K440" s="1">
        <v>47</v>
      </c>
      <c r="L440" s="1">
        <v>24</v>
      </c>
      <c r="M440" s="1">
        <v>0.75</v>
      </c>
      <c r="N440" s="1">
        <v>13.7</v>
      </c>
      <c r="O440" s="7">
        <v>17113</v>
      </c>
      <c r="P440" s="4">
        <v>44974</v>
      </c>
      <c r="Q440" s="4">
        <v>44983</v>
      </c>
      <c r="R440" s="1" t="s">
        <v>80</v>
      </c>
      <c r="AO440" s="7">
        <v>17113</v>
      </c>
      <c r="AP440" s="5">
        <v>9.3</v>
      </c>
      <c r="AQ440" s="5">
        <v>145</v>
      </c>
      <c r="AR440" s="5">
        <v>46.5</v>
      </c>
      <c r="AS440" s="5">
        <v>67.7</v>
      </c>
      <c r="AT440" s="5">
        <v>968</v>
      </c>
      <c r="AU440" s="5">
        <v>72</v>
      </c>
      <c r="AV440" s="5">
        <v>38.2</v>
      </c>
      <c r="AW440" s="5">
        <v>9.2</v>
      </c>
      <c r="AX440" s="5">
        <v>82</v>
      </c>
      <c r="AY440" s="5">
        <v>99.45</v>
      </c>
      <c r="AZ440" s="5">
        <v>5.59</v>
      </c>
      <c r="BA440" s="5">
        <v>3.56</v>
      </c>
      <c r="BB440" s="12" t="s">
        <v>76</v>
      </c>
      <c r="BC440" s="5">
        <v>4.53</v>
      </c>
      <c r="BD440" s="5">
        <v>145</v>
      </c>
      <c r="BE440" s="5">
        <v>0.65</v>
      </c>
      <c r="BF440" s="5">
        <v>2.43</v>
      </c>
      <c r="BG440" s="15">
        <v>36.5</v>
      </c>
      <c r="BH440" s="5">
        <v>84</v>
      </c>
      <c r="BI440" s="5">
        <v>84</v>
      </c>
      <c r="BJ440" s="5">
        <v>17</v>
      </c>
      <c r="BK440" s="5">
        <v>104</v>
      </c>
      <c r="BL440" s="5">
        <v>69</v>
      </c>
      <c r="BM440" s="5">
        <v>70</v>
      </c>
      <c r="BN440" s="5">
        <v>170</v>
      </c>
      <c r="BO440" s="5">
        <f t="shared" si="6"/>
        <v>24.2214532871972</v>
      </c>
      <c r="BP440" s="5" t="s">
        <v>323</v>
      </c>
      <c r="BQ440" s="5">
        <v>5.5</v>
      </c>
      <c r="BR440" s="5">
        <v>6979</v>
      </c>
    </row>
    <row r="441" s="1" customFormat="1" spans="1:70">
      <c r="A441" s="1">
        <v>3298727</v>
      </c>
      <c r="B441" s="1" t="s">
        <v>1334</v>
      </c>
      <c r="C441" s="1">
        <v>1</v>
      </c>
      <c r="D441" s="4">
        <v>44988</v>
      </c>
      <c r="E441" s="4">
        <v>44998</v>
      </c>
      <c r="F441" s="7">
        <v>17121</v>
      </c>
      <c r="G441" s="1">
        <v>34</v>
      </c>
      <c r="H441" s="1">
        <v>9</v>
      </c>
      <c r="I441" s="1">
        <v>45</v>
      </c>
      <c r="J441" s="1">
        <v>9</v>
      </c>
      <c r="K441" s="1">
        <v>65</v>
      </c>
      <c r="L441" s="1">
        <v>36</v>
      </c>
      <c r="M441" s="1">
        <v>0.73</v>
      </c>
      <c r="N441" s="1">
        <v>11.4</v>
      </c>
      <c r="O441" s="7">
        <v>17121</v>
      </c>
      <c r="P441" s="4">
        <v>44988</v>
      </c>
      <c r="Q441" s="4">
        <v>44998</v>
      </c>
      <c r="R441" s="1" t="s">
        <v>73</v>
      </c>
      <c r="AO441" s="7">
        <v>17121</v>
      </c>
      <c r="AP441" s="5">
        <v>9.9</v>
      </c>
      <c r="AQ441" s="5">
        <v>98</v>
      </c>
      <c r="AR441" s="5">
        <v>42</v>
      </c>
      <c r="AS441" s="5">
        <v>98.4</v>
      </c>
      <c r="AT441" s="5">
        <v>83</v>
      </c>
      <c r="AU441" s="5">
        <v>404</v>
      </c>
      <c r="AV441" s="5">
        <v>7.6</v>
      </c>
      <c r="AW441" s="5">
        <v>63.91</v>
      </c>
      <c r="AX441" s="5">
        <v>380</v>
      </c>
      <c r="AY441" s="5">
        <v>41.06</v>
      </c>
      <c r="AZ441" s="5">
        <v>8.9</v>
      </c>
      <c r="BA441" s="5" t="s">
        <v>76</v>
      </c>
      <c r="BB441" s="12" t="s">
        <v>76</v>
      </c>
      <c r="BC441" s="5">
        <v>5.84</v>
      </c>
      <c r="BD441" s="5">
        <v>98</v>
      </c>
      <c r="BE441" s="5" t="s">
        <v>76</v>
      </c>
      <c r="BF441" s="5" t="s">
        <v>76</v>
      </c>
      <c r="BG441" s="15">
        <v>37.7</v>
      </c>
      <c r="BH441" s="5" t="s">
        <v>76</v>
      </c>
      <c r="BI441" s="5">
        <v>100</v>
      </c>
      <c r="BJ441" s="5">
        <v>12</v>
      </c>
      <c r="BK441" s="5">
        <v>113</v>
      </c>
      <c r="BL441" s="5">
        <v>61</v>
      </c>
      <c r="BM441" s="5" t="s">
        <v>77</v>
      </c>
      <c r="BN441" s="5" t="s">
        <v>77</v>
      </c>
      <c r="BO441" s="5" t="e">
        <f t="shared" si="6"/>
        <v>#VALUE!</v>
      </c>
      <c r="BP441" s="5" t="s">
        <v>369</v>
      </c>
      <c r="BQ441" s="5">
        <v>7.8</v>
      </c>
      <c r="BR441" s="5" t="s">
        <v>1155</v>
      </c>
    </row>
    <row r="442" s="1" customFormat="1" spans="1:70">
      <c r="A442" s="1" t="s">
        <v>1335</v>
      </c>
      <c r="B442" s="1" t="s">
        <v>1336</v>
      </c>
      <c r="D442" s="4">
        <v>45020</v>
      </c>
      <c r="E442" s="4">
        <v>45024</v>
      </c>
      <c r="F442" s="7">
        <v>17124</v>
      </c>
      <c r="G442" s="1">
        <v>41</v>
      </c>
      <c r="H442" s="1">
        <v>10</v>
      </c>
      <c r="I442" s="1">
        <v>56</v>
      </c>
      <c r="J442" s="1">
        <v>10</v>
      </c>
      <c r="K442" s="1">
        <v>47</v>
      </c>
      <c r="N442" s="1">
        <v>10.4</v>
      </c>
      <c r="O442" s="7">
        <v>17124</v>
      </c>
      <c r="P442" s="4">
        <v>45020</v>
      </c>
      <c r="Q442" s="4">
        <v>45024</v>
      </c>
      <c r="R442" s="1" t="s">
        <v>73</v>
      </c>
      <c r="AO442" s="7">
        <v>17124</v>
      </c>
      <c r="AP442" s="5" t="s">
        <v>1337</v>
      </c>
      <c r="AQ442" s="5" t="s">
        <v>243</v>
      </c>
      <c r="AR442" s="5" t="s">
        <v>1338</v>
      </c>
      <c r="AS442" s="5" t="s">
        <v>1337</v>
      </c>
      <c r="AT442" s="5" t="s">
        <v>594</v>
      </c>
      <c r="AU442" s="5" t="s">
        <v>293</v>
      </c>
      <c r="AV442" s="5" t="s">
        <v>592</v>
      </c>
      <c r="AW442" s="5" t="s">
        <v>311</v>
      </c>
      <c r="AX442" s="5" t="s">
        <v>675</v>
      </c>
      <c r="AY442" s="5" t="s">
        <v>76</v>
      </c>
      <c r="AZ442" s="5" t="s">
        <v>1339</v>
      </c>
      <c r="BA442" s="5" t="s">
        <v>1340</v>
      </c>
      <c r="BB442" s="12" t="s">
        <v>76</v>
      </c>
      <c r="BC442" s="5" t="s">
        <v>1341</v>
      </c>
      <c r="BD442" s="5" t="s">
        <v>243</v>
      </c>
      <c r="BE442" s="5" t="s">
        <v>1166</v>
      </c>
      <c r="BF442" s="5" t="s">
        <v>1342</v>
      </c>
      <c r="BG442" s="15">
        <v>36.5</v>
      </c>
      <c r="BH442" s="5" t="s">
        <v>295</v>
      </c>
      <c r="BI442" s="5" t="s">
        <v>295</v>
      </c>
      <c r="BJ442" s="5" t="s">
        <v>293</v>
      </c>
      <c r="BK442" s="5" t="s">
        <v>1100</v>
      </c>
      <c r="BL442" s="5" t="s">
        <v>212</v>
      </c>
      <c r="BM442" s="5" t="s">
        <v>425</v>
      </c>
      <c r="BN442" s="5">
        <v>170</v>
      </c>
      <c r="BO442" s="5">
        <f t="shared" si="6"/>
        <v>24.2214532871972</v>
      </c>
      <c r="BP442" s="5" t="s">
        <v>216</v>
      </c>
      <c r="BQ442" s="5" t="s">
        <v>1343</v>
      </c>
      <c r="BR442" s="5">
        <v>18819</v>
      </c>
    </row>
    <row r="443" s="1" customFormat="1" spans="1:70">
      <c r="A443" s="1">
        <v>3309983</v>
      </c>
      <c r="B443" s="1" t="s">
        <v>1344</v>
      </c>
      <c r="D443" s="4">
        <v>45005</v>
      </c>
      <c r="E443" s="4">
        <v>45009</v>
      </c>
      <c r="F443" s="7">
        <v>17134</v>
      </c>
      <c r="G443" s="1">
        <v>43</v>
      </c>
      <c r="H443" s="1">
        <v>10</v>
      </c>
      <c r="I443" s="1">
        <v>50</v>
      </c>
      <c r="J443" s="1">
        <v>10</v>
      </c>
      <c r="K443" s="1">
        <v>43</v>
      </c>
      <c r="L443" s="1">
        <v>21</v>
      </c>
      <c r="M443" s="1">
        <v>1.21</v>
      </c>
      <c r="N443" s="1">
        <v>32.3</v>
      </c>
      <c r="O443" s="7">
        <v>17134</v>
      </c>
      <c r="P443" s="4">
        <v>45005</v>
      </c>
      <c r="Q443" s="4">
        <v>45009</v>
      </c>
      <c r="R443" s="1" t="s">
        <v>73</v>
      </c>
      <c r="AO443" s="7">
        <v>17134</v>
      </c>
      <c r="AP443" s="5">
        <v>958.9</v>
      </c>
      <c r="AQ443" s="5">
        <v>129</v>
      </c>
      <c r="AR443" s="5">
        <v>41.6</v>
      </c>
      <c r="AS443" s="5" t="s">
        <v>76</v>
      </c>
      <c r="AT443" s="5">
        <v>43</v>
      </c>
      <c r="AU443" s="5">
        <v>31</v>
      </c>
      <c r="AV443" s="5">
        <v>33.8</v>
      </c>
      <c r="AW443" s="5">
        <v>3.1</v>
      </c>
      <c r="AX443" s="5">
        <v>56</v>
      </c>
      <c r="AY443" s="5">
        <v>97.04</v>
      </c>
      <c r="AZ443" s="5">
        <v>7.6</v>
      </c>
      <c r="BA443" s="5">
        <v>4.03</v>
      </c>
      <c r="BB443" s="12" t="s">
        <v>76</v>
      </c>
      <c r="BC443" s="5">
        <v>4.19</v>
      </c>
      <c r="BD443" s="5">
        <v>129</v>
      </c>
      <c r="BE443" s="5">
        <v>0.78</v>
      </c>
      <c r="BF443" s="5">
        <v>2.63</v>
      </c>
      <c r="BG443" s="15">
        <v>36.5</v>
      </c>
      <c r="BH443" s="5">
        <v>95</v>
      </c>
      <c r="BI443" s="5">
        <v>95</v>
      </c>
      <c r="BJ443" s="5">
        <v>17</v>
      </c>
      <c r="BK443" s="5">
        <v>126</v>
      </c>
      <c r="BL443" s="5">
        <v>79</v>
      </c>
      <c r="BM443" s="5">
        <v>55</v>
      </c>
      <c r="BN443" s="5">
        <v>160</v>
      </c>
      <c r="BO443" s="5">
        <f t="shared" si="6"/>
        <v>21.484375</v>
      </c>
      <c r="BP443" s="5" t="s">
        <v>156</v>
      </c>
      <c r="BQ443" s="5" t="s">
        <v>76</v>
      </c>
      <c r="BR443" s="5">
        <v>5796</v>
      </c>
    </row>
    <row r="444" s="1" customFormat="1" spans="1:70">
      <c r="A444" s="1">
        <v>3285127</v>
      </c>
      <c r="B444" s="1" t="s">
        <v>1345</v>
      </c>
      <c r="D444" s="4">
        <v>44970</v>
      </c>
      <c r="E444" s="4">
        <v>44975</v>
      </c>
      <c r="F444" s="7">
        <v>17157</v>
      </c>
      <c r="G444" s="1">
        <v>50</v>
      </c>
      <c r="H444" s="1">
        <v>10</v>
      </c>
      <c r="I444" s="1">
        <v>61</v>
      </c>
      <c r="J444" s="1">
        <v>10</v>
      </c>
      <c r="K444" s="1">
        <v>50</v>
      </c>
      <c r="L444" s="1">
        <v>26</v>
      </c>
      <c r="M444" s="1">
        <v>1.33</v>
      </c>
      <c r="N444" s="1">
        <v>20.2</v>
      </c>
      <c r="O444" s="7">
        <v>17157</v>
      </c>
      <c r="P444" s="4">
        <v>44970</v>
      </c>
      <c r="Q444" s="4">
        <v>44975</v>
      </c>
      <c r="R444" s="1" t="s">
        <v>80</v>
      </c>
      <c r="AO444" s="7">
        <v>17157</v>
      </c>
      <c r="AP444" s="5" t="s">
        <v>76</v>
      </c>
      <c r="AQ444" s="5" t="s">
        <v>76</v>
      </c>
      <c r="AR444" s="5" t="s">
        <v>76</v>
      </c>
      <c r="AS444" s="5" t="s">
        <v>76</v>
      </c>
      <c r="AT444" s="5">
        <v>15</v>
      </c>
      <c r="AU444" s="5">
        <v>12</v>
      </c>
      <c r="AV444" s="5">
        <v>35.7</v>
      </c>
      <c r="AW444" s="5">
        <v>5.25</v>
      </c>
      <c r="AX444" s="5">
        <v>73</v>
      </c>
      <c r="AY444" s="5">
        <v>96.32</v>
      </c>
      <c r="AZ444" s="5" t="s">
        <v>76</v>
      </c>
      <c r="BA444" s="5" t="s">
        <v>76</v>
      </c>
      <c r="BB444" s="12" t="s">
        <v>76</v>
      </c>
      <c r="BC444" s="5">
        <v>4.32</v>
      </c>
      <c r="BD444" s="5" t="s">
        <v>76</v>
      </c>
      <c r="BE444" s="5" t="s">
        <v>76</v>
      </c>
      <c r="BF444" s="5" t="s">
        <v>76</v>
      </c>
      <c r="BG444" s="15">
        <v>36</v>
      </c>
      <c r="BH444" s="5">
        <v>60</v>
      </c>
      <c r="BI444" s="5">
        <v>60</v>
      </c>
      <c r="BJ444" s="5">
        <v>17</v>
      </c>
      <c r="BK444" s="5">
        <v>150</v>
      </c>
      <c r="BL444" s="5">
        <v>100</v>
      </c>
      <c r="BM444" s="5">
        <v>105</v>
      </c>
      <c r="BN444" s="5">
        <v>175</v>
      </c>
      <c r="BO444" s="5">
        <f t="shared" si="6"/>
        <v>34.2857142857143</v>
      </c>
      <c r="BP444" s="5" t="s">
        <v>121</v>
      </c>
      <c r="BQ444" s="5" t="s">
        <v>76</v>
      </c>
      <c r="BR444" s="5">
        <v>3929</v>
      </c>
    </row>
    <row r="445" s="1" customFormat="1" spans="1:70">
      <c r="A445" s="1">
        <v>3505845</v>
      </c>
      <c r="B445" s="1" t="s">
        <v>874</v>
      </c>
      <c r="D445" s="4">
        <v>45274</v>
      </c>
      <c r="E445" s="4">
        <v>45281</v>
      </c>
      <c r="F445" s="7">
        <v>17181</v>
      </c>
      <c r="G445" s="1">
        <v>47</v>
      </c>
      <c r="H445" s="1">
        <v>10</v>
      </c>
      <c r="I445" s="1">
        <v>47</v>
      </c>
      <c r="J445" s="1">
        <v>9</v>
      </c>
      <c r="K445" s="1">
        <v>61</v>
      </c>
      <c r="L445" s="1">
        <v>32</v>
      </c>
      <c r="N445" s="1">
        <v>6.8</v>
      </c>
      <c r="O445" s="7">
        <v>17181</v>
      </c>
      <c r="P445" s="4">
        <v>45274</v>
      </c>
      <c r="Q445" s="4">
        <v>45281</v>
      </c>
      <c r="R445" s="1" t="s">
        <v>73</v>
      </c>
      <c r="AO445" s="7">
        <v>17181</v>
      </c>
      <c r="AP445" s="5">
        <v>5.4</v>
      </c>
      <c r="AQ445" s="5">
        <v>129</v>
      </c>
      <c r="AR445" s="5">
        <v>41</v>
      </c>
      <c r="AS445" s="5" t="s">
        <v>374</v>
      </c>
      <c r="AT445" s="5">
        <v>17</v>
      </c>
      <c r="AU445" s="5">
        <v>15</v>
      </c>
      <c r="AV445" s="5">
        <v>44.9</v>
      </c>
      <c r="AW445" s="5">
        <v>4.74</v>
      </c>
      <c r="AX445" s="5">
        <v>58</v>
      </c>
      <c r="AY445" s="5">
        <v>93.19</v>
      </c>
      <c r="AZ445" s="5" t="s">
        <v>75</v>
      </c>
      <c r="BA445" s="5">
        <v>3.29</v>
      </c>
      <c r="BB445" s="12" t="s">
        <v>76</v>
      </c>
      <c r="BC445" s="5">
        <v>4.07</v>
      </c>
      <c r="BD445" s="5">
        <v>129</v>
      </c>
      <c r="BE445" s="5">
        <v>0.92</v>
      </c>
      <c r="BF445" s="5">
        <v>1.84</v>
      </c>
      <c r="BG445" s="15">
        <v>36.3</v>
      </c>
      <c r="BH445" s="5">
        <v>70</v>
      </c>
      <c r="BI445" s="5">
        <v>70</v>
      </c>
      <c r="BJ445" s="5">
        <v>16</v>
      </c>
      <c r="BK445" s="5">
        <v>152</v>
      </c>
      <c r="BL445" s="5">
        <v>89</v>
      </c>
      <c r="BM445" s="5">
        <v>70</v>
      </c>
      <c r="BN445" s="5">
        <v>160</v>
      </c>
      <c r="BO445" s="5">
        <f t="shared" si="6"/>
        <v>27.34375</v>
      </c>
      <c r="BP445" s="5" t="s">
        <v>121</v>
      </c>
      <c r="BQ445" s="5">
        <v>6.6</v>
      </c>
      <c r="BR445" s="5">
        <v>1027</v>
      </c>
    </row>
    <row r="446" s="1" customFormat="1" spans="1:70">
      <c r="A446" s="1">
        <v>3288246</v>
      </c>
      <c r="B446" s="1" t="s">
        <v>1346</v>
      </c>
      <c r="D446" s="4">
        <v>44974</v>
      </c>
      <c r="E446" s="4">
        <v>44981</v>
      </c>
      <c r="F446" s="7">
        <v>17189</v>
      </c>
      <c r="G446" s="1">
        <v>41</v>
      </c>
      <c r="H446" s="1">
        <v>9</v>
      </c>
      <c r="I446" s="1">
        <v>53</v>
      </c>
      <c r="J446" s="1">
        <v>9</v>
      </c>
      <c r="K446" s="1">
        <v>55</v>
      </c>
      <c r="L446" s="1">
        <v>29</v>
      </c>
      <c r="M446" s="1">
        <v>0.52</v>
      </c>
      <c r="N446" s="1">
        <v>8.6</v>
      </c>
      <c r="O446" s="7">
        <v>17189</v>
      </c>
      <c r="P446" s="4">
        <v>44974</v>
      </c>
      <c r="Q446" s="4">
        <v>44981</v>
      </c>
      <c r="R446" s="1" t="s">
        <v>73</v>
      </c>
      <c r="S446" s="1">
        <v>76</v>
      </c>
      <c r="T446" s="1" t="s">
        <v>1347</v>
      </c>
      <c r="V446" s="1">
        <v>1</v>
      </c>
      <c r="X446" s="1">
        <v>1</v>
      </c>
      <c r="Y446" s="1">
        <v>1</v>
      </c>
      <c r="Z446" s="1">
        <v>1</v>
      </c>
      <c r="AC446" s="1">
        <v>1</v>
      </c>
      <c r="AH446" s="1">
        <v>1</v>
      </c>
      <c r="AI446" s="1">
        <v>1</v>
      </c>
      <c r="AK446" s="1">
        <v>1</v>
      </c>
      <c r="AM446" s="1">
        <v>1</v>
      </c>
      <c r="AO446" s="7">
        <v>17189</v>
      </c>
      <c r="AP446" s="5">
        <v>6.8</v>
      </c>
      <c r="AQ446" s="5">
        <v>149</v>
      </c>
      <c r="AR446" s="5">
        <v>43.9</v>
      </c>
      <c r="AS446" s="5" t="s">
        <v>81</v>
      </c>
      <c r="AT446" s="5">
        <v>34</v>
      </c>
      <c r="AU446" s="5">
        <v>24</v>
      </c>
      <c r="AV446" s="5">
        <v>42.9</v>
      </c>
      <c r="AW446" s="5">
        <v>6.31</v>
      </c>
      <c r="AX446" s="5">
        <v>53</v>
      </c>
      <c r="AY446" s="5">
        <v>103.41</v>
      </c>
      <c r="AZ446" s="5" t="s">
        <v>375</v>
      </c>
      <c r="BA446" s="5">
        <v>3.51</v>
      </c>
      <c r="BB446" s="12" t="s">
        <v>76</v>
      </c>
      <c r="BC446" s="5">
        <v>3.94</v>
      </c>
      <c r="BD446" s="5">
        <v>149</v>
      </c>
      <c r="BE446" s="5">
        <v>1.01</v>
      </c>
      <c r="BF446" s="5">
        <v>1.66</v>
      </c>
      <c r="BG446" s="15">
        <v>36.5</v>
      </c>
      <c r="BH446" s="5">
        <v>55</v>
      </c>
      <c r="BI446" s="5">
        <v>60</v>
      </c>
      <c r="BJ446" s="5">
        <v>18</v>
      </c>
      <c r="BK446" s="5">
        <v>130</v>
      </c>
      <c r="BL446" s="5">
        <v>74</v>
      </c>
      <c r="BM446" s="5">
        <v>68</v>
      </c>
      <c r="BN446" s="5">
        <v>163</v>
      </c>
      <c r="BO446" s="5">
        <f t="shared" si="6"/>
        <v>25.5937370619895</v>
      </c>
      <c r="BP446" s="5" t="s">
        <v>144</v>
      </c>
      <c r="BQ446" s="5">
        <v>8.6</v>
      </c>
      <c r="BR446" s="5">
        <v>1135</v>
      </c>
    </row>
    <row r="447" s="1" customFormat="1" spans="1:70">
      <c r="A447" s="1">
        <v>3491113</v>
      </c>
      <c r="B447" s="1" t="s">
        <v>1348</v>
      </c>
      <c r="D447" s="4">
        <v>45254</v>
      </c>
      <c r="E447" s="4">
        <v>45264</v>
      </c>
      <c r="F447" s="7">
        <v>17191</v>
      </c>
      <c r="G447" s="1">
        <v>41</v>
      </c>
      <c r="H447" s="1">
        <v>9</v>
      </c>
      <c r="I447" s="1">
        <v>46</v>
      </c>
      <c r="J447" s="1">
        <v>9</v>
      </c>
      <c r="K447" s="1">
        <v>56</v>
      </c>
      <c r="L447" s="1">
        <v>32</v>
      </c>
      <c r="M447" s="1">
        <v>1.87</v>
      </c>
      <c r="N447" s="1">
        <v>12.8</v>
      </c>
      <c r="O447" s="7">
        <v>17191</v>
      </c>
      <c r="P447" s="4">
        <v>45254</v>
      </c>
      <c r="Q447" s="4">
        <v>45264</v>
      </c>
      <c r="R447" s="1" t="s">
        <v>80</v>
      </c>
      <c r="S447" s="1">
        <v>76</v>
      </c>
      <c r="T447" s="1" t="s">
        <v>1349</v>
      </c>
      <c r="V447" s="1" t="s">
        <v>155</v>
      </c>
      <c r="W447" s="1" t="s">
        <v>155</v>
      </c>
      <c r="X447" s="1" t="s">
        <v>155</v>
      </c>
      <c r="Y447" s="1" t="s">
        <v>155</v>
      </c>
      <c r="AA447" s="1" t="s">
        <v>155</v>
      </c>
      <c r="AC447" s="1" t="s">
        <v>155</v>
      </c>
      <c r="AH447" s="1">
        <v>1</v>
      </c>
      <c r="AI447" s="1">
        <v>1</v>
      </c>
      <c r="AM447" s="1">
        <v>1</v>
      </c>
      <c r="AO447" s="7">
        <v>17191</v>
      </c>
      <c r="AP447" s="5">
        <v>8.2</v>
      </c>
      <c r="AQ447" s="5">
        <v>145</v>
      </c>
      <c r="AR447" s="5">
        <v>42.4</v>
      </c>
      <c r="AS447" s="5">
        <v>82.5</v>
      </c>
      <c r="AT447" s="5">
        <v>23</v>
      </c>
      <c r="AU447" s="5">
        <v>25</v>
      </c>
      <c r="AV447" s="5">
        <v>42.7</v>
      </c>
      <c r="AW447" s="5">
        <v>17.72</v>
      </c>
      <c r="AX447" s="5">
        <v>184</v>
      </c>
      <c r="AY447" s="5">
        <v>53.76</v>
      </c>
      <c r="AZ447" s="5" t="s">
        <v>375</v>
      </c>
      <c r="BA447" s="5">
        <v>3.22</v>
      </c>
      <c r="BB447" s="12" t="s">
        <v>76</v>
      </c>
      <c r="BC447" s="5">
        <v>3.93</v>
      </c>
      <c r="BD447" s="5">
        <v>145</v>
      </c>
      <c r="BE447" s="5">
        <v>1.02</v>
      </c>
      <c r="BF447" s="5">
        <v>1.6</v>
      </c>
      <c r="BG447" s="15">
        <v>36.6</v>
      </c>
      <c r="BH447" s="5">
        <v>107</v>
      </c>
      <c r="BI447" s="5">
        <v>120</v>
      </c>
      <c r="BJ447" s="5">
        <v>22</v>
      </c>
      <c r="BK447" s="5">
        <v>102</v>
      </c>
      <c r="BL447" s="5">
        <v>68</v>
      </c>
      <c r="BM447" s="5">
        <v>80</v>
      </c>
      <c r="BN447" s="5">
        <v>172</v>
      </c>
      <c r="BO447" s="5">
        <f t="shared" si="6"/>
        <v>27.0416441319632</v>
      </c>
      <c r="BP447" s="5" t="s">
        <v>78</v>
      </c>
      <c r="BQ447" s="5">
        <v>8.6</v>
      </c>
      <c r="BR447" s="5">
        <v>6099</v>
      </c>
    </row>
    <row r="448" s="1" customFormat="1" spans="1:70">
      <c r="A448" s="1" t="s">
        <v>1350</v>
      </c>
      <c r="B448" s="1" t="s">
        <v>1351</v>
      </c>
      <c r="D448" s="4">
        <v>45282</v>
      </c>
      <c r="E448" s="4">
        <v>45299</v>
      </c>
      <c r="F448" s="7">
        <v>17196</v>
      </c>
      <c r="G448" s="1">
        <v>31</v>
      </c>
      <c r="H448" s="1">
        <v>9</v>
      </c>
      <c r="I448" s="1">
        <v>47</v>
      </c>
      <c r="J448" s="1">
        <v>9</v>
      </c>
      <c r="K448" s="1">
        <v>61</v>
      </c>
      <c r="L448" s="1">
        <v>33</v>
      </c>
      <c r="M448" s="1">
        <v>0.59</v>
      </c>
      <c r="N448" s="1">
        <v>16.9</v>
      </c>
      <c r="O448" s="7">
        <v>17196</v>
      </c>
      <c r="P448" s="4">
        <v>45282</v>
      </c>
      <c r="Q448" s="4">
        <v>45299</v>
      </c>
      <c r="R448" s="1" t="s">
        <v>80</v>
      </c>
      <c r="AO448" s="7">
        <v>17196</v>
      </c>
      <c r="AP448" s="5" t="s">
        <v>404</v>
      </c>
      <c r="AQ448" s="5" t="s">
        <v>584</v>
      </c>
      <c r="AR448" s="5" t="s">
        <v>1352</v>
      </c>
      <c r="AS448" s="5" t="s">
        <v>1353</v>
      </c>
      <c r="AT448" s="5" t="s">
        <v>228</v>
      </c>
      <c r="AU448" s="5" t="s">
        <v>483</v>
      </c>
      <c r="AV448" s="5" t="s">
        <v>743</v>
      </c>
      <c r="AW448" s="5" t="s">
        <v>313</v>
      </c>
      <c r="AX448" s="5" t="s">
        <v>347</v>
      </c>
      <c r="AY448" s="5" t="s">
        <v>76</v>
      </c>
      <c r="AZ448" s="5" t="s">
        <v>75</v>
      </c>
      <c r="BA448" s="5" t="s">
        <v>1136</v>
      </c>
      <c r="BB448" s="12" t="s">
        <v>76</v>
      </c>
      <c r="BC448" s="5" t="s">
        <v>1354</v>
      </c>
      <c r="BD448" s="5" t="s">
        <v>584</v>
      </c>
      <c r="BE448" s="5" t="s">
        <v>76</v>
      </c>
      <c r="BF448" s="5" t="s">
        <v>76</v>
      </c>
      <c r="BG448" s="15">
        <v>36.4</v>
      </c>
      <c r="BH448" s="5" t="s">
        <v>140</v>
      </c>
      <c r="BI448" s="5" t="s">
        <v>140</v>
      </c>
      <c r="BJ448" s="5" t="s">
        <v>193</v>
      </c>
      <c r="BK448" s="5" t="s">
        <v>284</v>
      </c>
      <c r="BL448" s="5" t="s">
        <v>129</v>
      </c>
      <c r="BM448" s="5" t="s">
        <v>425</v>
      </c>
      <c r="BN448" s="5">
        <v>165</v>
      </c>
      <c r="BO448" s="5">
        <f t="shared" si="6"/>
        <v>25.7116620752984</v>
      </c>
      <c r="BP448" s="5" t="s">
        <v>684</v>
      </c>
      <c r="BQ448" s="5" t="s">
        <v>76</v>
      </c>
      <c r="BR448" s="5">
        <v>1931</v>
      </c>
    </row>
    <row r="449" s="1" customFormat="1" spans="1:70">
      <c r="A449" s="1">
        <v>3326593</v>
      </c>
      <c r="B449" s="1" t="s">
        <v>1355</v>
      </c>
      <c r="D449" s="4">
        <v>45027</v>
      </c>
      <c r="E449" s="4">
        <v>45035</v>
      </c>
      <c r="F449" s="7">
        <v>17200</v>
      </c>
      <c r="G449" s="1">
        <v>46</v>
      </c>
      <c r="H449" s="1">
        <v>9</v>
      </c>
      <c r="I449" s="1">
        <v>60</v>
      </c>
      <c r="J449" s="1">
        <v>9</v>
      </c>
      <c r="K449" s="1">
        <v>48</v>
      </c>
      <c r="L449" s="1">
        <v>25</v>
      </c>
      <c r="M449" s="1">
        <v>0.65</v>
      </c>
      <c r="N449" s="1">
        <v>13.2</v>
      </c>
      <c r="O449" s="7">
        <v>17200</v>
      </c>
      <c r="P449" s="4">
        <v>45027</v>
      </c>
      <c r="Q449" s="4">
        <v>45035</v>
      </c>
      <c r="R449" s="1" t="s">
        <v>73</v>
      </c>
      <c r="AO449" s="7">
        <v>17200</v>
      </c>
      <c r="AP449" s="5">
        <v>5.9</v>
      </c>
      <c r="AQ449" s="5">
        <v>122</v>
      </c>
      <c r="AR449" s="5">
        <v>38</v>
      </c>
      <c r="AS449" s="5">
        <v>2.3</v>
      </c>
      <c r="AT449" s="5">
        <v>7</v>
      </c>
      <c r="AU449" s="5">
        <v>6</v>
      </c>
      <c r="AV449" s="5">
        <v>35.8</v>
      </c>
      <c r="AW449" s="5">
        <v>7.98</v>
      </c>
      <c r="AX449" s="5">
        <v>57</v>
      </c>
      <c r="AY449" s="5">
        <v>95.08</v>
      </c>
      <c r="AZ449" s="5">
        <v>6.73</v>
      </c>
      <c r="BA449" s="5">
        <v>3.32</v>
      </c>
      <c r="BB449" s="12" t="s">
        <v>76</v>
      </c>
      <c r="BC449" s="5">
        <v>4.28</v>
      </c>
      <c r="BD449" s="5">
        <v>122</v>
      </c>
      <c r="BE449" s="5">
        <v>0.91</v>
      </c>
      <c r="BF449" s="5">
        <v>1.82</v>
      </c>
      <c r="BG449" s="15">
        <v>36.4</v>
      </c>
      <c r="BH449" s="5">
        <v>59</v>
      </c>
      <c r="BI449" s="5">
        <v>59</v>
      </c>
      <c r="BJ449" s="5">
        <v>17</v>
      </c>
      <c r="BK449" s="5">
        <v>126</v>
      </c>
      <c r="BL449" s="5">
        <v>56</v>
      </c>
      <c r="BM449" s="5">
        <v>56</v>
      </c>
      <c r="BN449" s="5">
        <v>150</v>
      </c>
      <c r="BO449" s="5">
        <f t="shared" si="6"/>
        <v>24.8888888888889</v>
      </c>
      <c r="BP449" s="5" t="s">
        <v>121</v>
      </c>
      <c r="BQ449" s="5">
        <v>8.1</v>
      </c>
      <c r="BR449" s="5">
        <v>6751</v>
      </c>
    </row>
    <row r="450" s="1" customFormat="1" spans="1:70">
      <c r="A450" s="1" t="s">
        <v>1356</v>
      </c>
      <c r="B450" s="1" t="s">
        <v>1357</v>
      </c>
      <c r="D450" s="4">
        <v>44979</v>
      </c>
      <c r="E450" s="4">
        <v>45014</v>
      </c>
      <c r="F450" s="7">
        <v>17205</v>
      </c>
      <c r="G450" s="1">
        <v>43</v>
      </c>
      <c r="H450" s="1">
        <v>7</v>
      </c>
      <c r="I450" s="1">
        <v>44</v>
      </c>
      <c r="J450" s="1">
        <v>7</v>
      </c>
      <c r="K450" s="1">
        <v>63</v>
      </c>
      <c r="L450" s="1">
        <v>35</v>
      </c>
      <c r="M450" s="1">
        <v>1.1</v>
      </c>
      <c r="N450" s="1">
        <v>9.8</v>
      </c>
      <c r="O450" s="7">
        <v>17205</v>
      </c>
      <c r="P450" s="4">
        <v>44979</v>
      </c>
      <c r="Q450" s="4">
        <v>45014</v>
      </c>
      <c r="R450" s="1" t="s">
        <v>73</v>
      </c>
      <c r="AO450" s="7">
        <v>17205</v>
      </c>
      <c r="AP450" s="5" t="s">
        <v>306</v>
      </c>
      <c r="AQ450" s="5" t="s">
        <v>533</v>
      </c>
      <c r="AR450" s="5" t="s">
        <v>1302</v>
      </c>
      <c r="AS450" s="5" t="s">
        <v>1358</v>
      </c>
      <c r="AT450" s="5" t="s">
        <v>551</v>
      </c>
      <c r="AU450" s="5" t="s">
        <v>171</v>
      </c>
      <c r="AV450" s="5" t="s">
        <v>226</v>
      </c>
      <c r="AW450" s="5" t="s">
        <v>1359</v>
      </c>
      <c r="AX450" s="5" t="s">
        <v>192</v>
      </c>
      <c r="AY450" s="5" t="s">
        <v>76</v>
      </c>
      <c r="AZ450" s="5" t="s">
        <v>75</v>
      </c>
      <c r="BA450" s="5" t="s">
        <v>1360</v>
      </c>
      <c r="BB450" s="12" t="s">
        <v>76</v>
      </c>
      <c r="BC450" s="5" t="s">
        <v>1361</v>
      </c>
      <c r="BD450" s="5" t="s">
        <v>533</v>
      </c>
      <c r="BE450" s="5" t="s">
        <v>76</v>
      </c>
      <c r="BF450" s="5" t="s">
        <v>76</v>
      </c>
      <c r="BG450" s="15">
        <v>36.4</v>
      </c>
      <c r="BH450" s="5" t="s">
        <v>192</v>
      </c>
      <c r="BI450" s="5" t="s">
        <v>137</v>
      </c>
      <c r="BJ450" s="5" t="s">
        <v>293</v>
      </c>
      <c r="BK450" s="5" t="s">
        <v>972</v>
      </c>
      <c r="BL450" s="5" t="s">
        <v>96</v>
      </c>
      <c r="BM450" s="5" t="s">
        <v>82</v>
      </c>
      <c r="BN450" s="5">
        <v>155</v>
      </c>
      <c r="BO450" s="5" t="e">
        <f t="shared" si="6"/>
        <v>#VALUE!</v>
      </c>
      <c r="BP450" s="5" t="s">
        <v>469</v>
      </c>
      <c r="BQ450" s="5" t="s">
        <v>76</v>
      </c>
      <c r="BR450" s="5">
        <v>6087</v>
      </c>
    </row>
    <row r="451" s="1" customFormat="1" spans="1:70">
      <c r="A451" s="1">
        <v>3323306</v>
      </c>
      <c r="B451" s="1" t="s">
        <v>1362</v>
      </c>
      <c r="D451" s="4">
        <v>45022</v>
      </c>
      <c r="E451" s="4">
        <v>45030</v>
      </c>
      <c r="F451" s="7">
        <v>17213</v>
      </c>
      <c r="G451" s="1">
        <v>43</v>
      </c>
      <c r="H451" s="1">
        <v>8</v>
      </c>
      <c r="I451" s="1">
        <v>48</v>
      </c>
      <c r="J451" s="1">
        <v>8</v>
      </c>
      <c r="K451" s="1">
        <v>56</v>
      </c>
      <c r="L451" s="1">
        <v>29</v>
      </c>
      <c r="N451" s="1">
        <v>9.3</v>
      </c>
      <c r="O451" s="7">
        <v>17213</v>
      </c>
      <c r="P451" s="4">
        <v>45022</v>
      </c>
      <c r="Q451" s="4">
        <v>45030</v>
      </c>
      <c r="R451" s="1" t="s">
        <v>80</v>
      </c>
      <c r="AO451" s="7">
        <v>17213</v>
      </c>
      <c r="AP451" s="5">
        <v>6.7</v>
      </c>
      <c r="AQ451" s="5">
        <v>158</v>
      </c>
      <c r="AR451" s="5">
        <v>50</v>
      </c>
      <c r="AS451" s="5">
        <v>87.5</v>
      </c>
      <c r="AT451" s="5">
        <v>22</v>
      </c>
      <c r="AU451" s="5">
        <v>22</v>
      </c>
      <c r="AV451" s="5">
        <v>39.6</v>
      </c>
      <c r="AW451" s="5">
        <v>9.9</v>
      </c>
      <c r="AX451" s="5">
        <v>89</v>
      </c>
      <c r="AY451" s="5" t="s">
        <v>76</v>
      </c>
      <c r="AZ451" s="5">
        <v>6.18</v>
      </c>
      <c r="BA451" s="5">
        <v>3.57</v>
      </c>
      <c r="BB451" s="12" t="s">
        <v>76</v>
      </c>
      <c r="BC451" s="5">
        <v>4.56</v>
      </c>
      <c r="BD451" s="5">
        <v>158</v>
      </c>
      <c r="BE451" s="5" t="s">
        <v>76</v>
      </c>
      <c r="BF451" s="5" t="s">
        <v>76</v>
      </c>
      <c r="BG451" s="15">
        <v>36.6</v>
      </c>
      <c r="BH451" s="5" t="s">
        <v>76</v>
      </c>
      <c r="BI451" s="5">
        <v>94</v>
      </c>
      <c r="BJ451" s="5" t="s">
        <v>76</v>
      </c>
      <c r="BK451" s="5">
        <v>128</v>
      </c>
      <c r="BL451" s="5">
        <v>80</v>
      </c>
      <c r="BM451" s="5">
        <v>65</v>
      </c>
      <c r="BN451" s="5">
        <v>170</v>
      </c>
      <c r="BO451" s="5">
        <f t="shared" ref="BO451:BO514" si="7">BM451/(BN451/100)^2</f>
        <v>22.4913494809689</v>
      </c>
      <c r="BP451" s="5" t="s">
        <v>149</v>
      </c>
      <c r="BQ451" s="5" t="s">
        <v>76</v>
      </c>
      <c r="BR451" s="5">
        <v>2643</v>
      </c>
    </row>
    <row r="452" s="1" customFormat="1" spans="1:70">
      <c r="A452" s="1">
        <v>3311272</v>
      </c>
      <c r="B452" s="1" t="s">
        <v>1363</v>
      </c>
      <c r="D452" s="4">
        <v>45006</v>
      </c>
      <c r="E452" s="4">
        <v>45014</v>
      </c>
      <c r="F452" s="7">
        <v>17213</v>
      </c>
      <c r="G452" s="1">
        <v>53</v>
      </c>
      <c r="H452" s="1">
        <v>9</v>
      </c>
      <c r="I452" s="1">
        <v>46</v>
      </c>
      <c r="J452" s="1">
        <v>9</v>
      </c>
      <c r="K452" s="1">
        <v>57</v>
      </c>
      <c r="L452" s="1">
        <v>30</v>
      </c>
      <c r="O452" s="7">
        <v>17213</v>
      </c>
      <c r="P452" s="4">
        <v>45006</v>
      </c>
      <c r="Q452" s="4">
        <v>45014</v>
      </c>
      <c r="R452" s="1" t="s">
        <v>73</v>
      </c>
      <c r="AO452" s="7">
        <v>17213</v>
      </c>
      <c r="AP452" s="5">
        <v>5.5</v>
      </c>
      <c r="AQ452" s="5">
        <v>124</v>
      </c>
      <c r="AR452" s="5">
        <v>38.4</v>
      </c>
      <c r="AS452" s="5" t="s">
        <v>76</v>
      </c>
      <c r="AT452" s="5">
        <v>40</v>
      </c>
      <c r="AU452" s="5">
        <v>36</v>
      </c>
      <c r="AV452" s="5">
        <v>37.2</v>
      </c>
      <c r="AW452" s="5">
        <v>6.11</v>
      </c>
      <c r="AX452" s="5">
        <v>44</v>
      </c>
      <c r="AY452" s="5" t="s">
        <v>125</v>
      </c>
      <c r="AZ452" s="5">
        <v>4.44</v>
      </c>
      <c r="BA452" s="5">
        <v>3.44</v>
      </c>
      <c r="BB452" s="12" t="s">
        <v>76</v>
      </c>
      <c r="BC452" s="5">
        <v>3.9</v>
      </c>
      <c r="BD452" s="5">
        <v>124</v>
      </c>
      <c r="BE452" s="5">
        <v>0.91</v>
      </c>
      <c r="BF452" s="5">
        <v>2.25</v>
      </c>
      <c r="BG452" s="15">
        <v>36.5</v>
      </c>
      <c r="BH452" s="5">
        <v>110</v>
      </c>
      <c r="BI452" s="5">
        <v>134</v>
      </c>
      <c r="BJ452" s="5">
        <v>16</v>
      </c>
      <c r="BK452" s="5">
        <v>110</v>
      </c>
      <c r="BL452" s="5">
        <v>48</v>
      </c>
      <c r="BM452" s="5">
        <v>65</v>
      </c>
      <c r="BN452" s="5">
        <v>160</v>
      </c>
      <c r="BO452" s="5">
        <f t="shared" si="7"/>
        <v>25.390625</v>
      </c>
      <c r="BP452" s="5" t="s">
        <v>121</v>
      </c>
      <c r="BQ452" s="5" t="s">
        <v>76</v>
      </c>
      <c r="BR452" s="5">
        <v>3775</v>
      </c>
    </row>
    <row r="453" s="1" customFormat="1" spans="1:70">
      <c r="A453" s="1" t="s">
        <v>1364</v>
      </c>
      <c r="B453" s="1" t="s">
        <v>1365</v>
      </c>
      <c r="D453" s="4">
        <v>44936</v>
      </c>
      <c r="E453" s="4">
        <v>44946</v>
      </c>
      <c r="F453" s="7">
        <v>17216</v>
      </c>
      <c r="G453" s="1">
        <v>34</v>
      </c>
      <c r="H453" s="1">
        <v>9</v>
      </c>
      <c r="I453" s="1">
        <v>49</v>
      </c>
      <c r="J453" s="1">
        <v>9</v>
      </c>
      <c r="K453" s="1">
        <v>59</v>
      </c>
      <c r="L453" s="1">
        <v>31</v>
      </c>
      <c r="M453" s="1">
        <v>0.77</v>
      </c>
      <c r="N453" s="1">
        <v>11.1</v>
      </c>
      <c r="O453" s="7">
        <v>17216</v>
      </c>
      <c r="P453" s="4">
        <v>44936</v>
      </c>
      <c r="Q453" s="4">
        <v>44946</v>
      </c>
      <c r="R453" s="1" t="s">
        <v>80</v>
      </c>
      <c r="AO453" s="7">
        <v>17216</v>
      </c>
      <c r="AP453" s="5" t="s">
        <v>536</v>
      </c>
      <c r="AQ453" s="5" t="s">
        <v>500</v>
      </c>
      <c r="AR453" s="5" t="s">
        <v>1366</v>
      </c>
      <c r="AS453" s="5" t="s">
        <v>1367</v>
      </c>
      <c r="AT453" s="5" t="s">
        <v>192</v>
      </c>
      <c r="AU453" s="5" t="s">
        <v>318</v>
      </c>
      <c r="AV453" s="5" t="s">
        <v>303</v>
      </c>
      <c r="AW453" s="5" t="s">
        <v>836</v>
      </c>
      <c r="AX453" s="5" t="s">
        <v>222</v>
      </c>
      <c r="AY453" s="5" t="s">
        <v>125</v>
      </c>
      <c r="AZ453" s="5" t="s">
        <v>1368</v>
      </c>
      <c r="BA453" s="5" t="s">
        <v>76</v>
      </c>
      <c r="BB453" s="12" t="s">
        <v>76</v>
      </c>
      <c r="BC453" s="5" t="s">
        <v>1281</v>
      </c>
      <c r="BD453" s="5" t="s">
        <v>500</v>
      </c>
      <c r="BE453" s="5" t="s">
        <v>76</v>
      </c>
      <c r="BF453" s="5" t="s">
        <v>76</v>
      </c>
      <c r="BG453" s="15">
        <v>37</v>
      </c>
      <c r="BH453" s="5" t="s">
        <v>192</v>
      </c>
      <c r="BI453" s="5" t="s">
        <v>192</v>
      </c>
      <c r="BJ453" s="5" t="s">
        <v>193</v>
      </c>
      <c r="BK453" s="5" t="s">
        <v>598</v>
      </c>
      <c r="BL453" s="5" t="s">
        <v>649</v>
      </c>
      <c r="BM453" s="5" t="s">
        <v>77</v>
      </c>
      <c r="BN453" s="5">
        <v>175</v>
      </c>
      <c r="BO453" s="5" t="e">
        <f t="shared" si="7"/>
        <v>#VALUE!</v>
      </c>
      <c r="BP453" s="5" t="s">
        <v>337</v>
      </c>
      <c r="BQ453" s="5" t="s">
        <v>76</v>
      </c>
      <c r="BR453" s="5">
        <v>6247</v>
      </c>
    </row>
    <row r="454" s="1" customFormat="1" spans="1:70">
      <c r="A454" s="1" t="s">
        <v>1369</v>
      </c>
      <c r="B454" s="1" t="s">
        <v>1370</v>
      </c>
      <c r="D454" s="4">
        <v>44929</v>
      </c>
      <c r="E454" s="4">
        <v>44939</v>
      </c>
      <c r="F454" s="7">
        <v>17222</v>
      </c>
      <c r="G454" s="1">
        <v>47</v>
      </c>
      <c r="H454" s="1">
        <v>9</v>
      </c>
      <c r="I454" s="1">
        <v>64</v>
      </c>
      <c r="J454" s="1">
        <v>9</v>
      </c>
      <c r="K454" s="1">
        <v>65</v>
      </c>
      <c r="L454" s="1">
        <v>35</v>
      </c>
      <c r="M454" s="1">
        <v>1.11</v>
      </c>
      <c r="N454" s="1">
        <v>17.7</v>
      </c>
      <c r="O454" s="7">
        <v>17222</v>
      </c>
      <c r="P454" s="4">
        <v>44929</v>
      </c>
      <c r="Q454" s="4">
        <v>44939</v>
      </c>
      <c r="R454" s="1" t="s">
        <v>73</v>
      </c>
      <c r="AO454" s="7">
        <v>17222</v>
      </c>
      <c r="AP454" s="5" t="s">
        <v>326</v>
      </c>
      <c r="AQ454" s="5" t="s">
        <v>207</v>
      </c>
      <c r="AR454" s="5" t="s">
        <v>1371</v>
      </c>
      <c r="AS454" s="5" t="s">
        <v>491</v>
      </c>
      <c r="AT454" s="5" t="s">
        <v>512</v>
      </c>
      <c r="AU454" s="5" t="s">
        <v>225</v>
      </c>
      <c r="AV454" s="5" t="s">
        <v>676</v>
      </c>
      <c r="AW454" s="5" t="s">
        <v>1372</v>
      </c>
      <c r="AX454" s="5" t="s">
        <v>1373</v>
      </c>
      <c r="AY454" s="5" t="s">
        <v>1374</v>
      </c>
      <c r="AZ454" s="5" t="s">
        <v>1375</v>
      </c>
      <c r="BA454" s="5" t="s">
        <v>76</v>
      </c>
      <c r="BB454" s="12" t="s">
        <v>76</v>
      </c>
      <c r="BC454" s="5" t="s">
        <v>1376</v>
      </c>
      <c r="BD454" s="5" t="s">
        <v>207</v>
      </c>
      <c r="BE454" s="5" t="s">
        <v>76</v>
      </c>
      <c r="BF454" s="5" t="s">
        <v>76</v>
      </c>
      <c r="BG454" s="15">
        <v>36</v>
      </c>
      <c r="BH454" s="5" t="s">
        <v>755</v>
      </c>
      <c r="BI454" s="5" t="s">
        <v>76</v>
      </c>
      <c r="BJ454" s="5" t="s">
        <v>101</v>
      </c>
      <c r="BK454" s="5" t="s">
        <v>1377</v>
      </c>
      <c r="BL454" s="5" t="s">
        <v>131</v>
      </c>
      <c r="BM454" s="5" t="s">
        <v>352</v>
      </c>
      <c r="BN454" s="5">
        <v>155</v>
      </c>
      <c r="BO454" s="5">
        <f t="shared" si="7"/>
        <v>22.8928199791883</v>
      </c>
      <c r="BP454" s="5" t="s">
        <v>747</v>
      </c>
      <c r="BQ454" s="5" t="s">
        <v>76</v>
      </c>
      <c r="BR454" s="5">
        <v>4184</v>
      </c>
    </row>
    <row r="455" s="1" customFormat="1" spans="1:70">
      <c r="A455" s="1">
        <v>3300765</v>
      </c>
      <c r="B455" s="1" t="s">
        <v>1077</v>
      </c>
      <c r="D455" s="4">
        <v>44992</v>
      </c>
      <c r="E455" s="4">
        <v>44998</v>
      </c>
      <c r="F455" s="7">
        <v>17227</v>
      </c>
      <c r="G455" s="1">
        <v>43</v>
      </c>
      <c r="H455" s="1">
        <v>10</v>
      </c>
      <c r="I455" s="1">
        <v>49</v>
      </c>
      <c r="J455" s="1">
        <v>10</v>
      </c>
      <c r="K455" s="1">
        <v>65</v>
      </c>
      <c r="L455" s="1">
        <v>36</v>
      </c>
      <c r="M455" s="1">
        <v>0.57</v>
      </c>
      <c r="N455" s="1">
        <v>11.3</v>
      </c>
      <c r="O455" s="7">
        <v>17227</v>
      </c>
      <c r="P455" s="4">
        <v>44992</v>
      </c>
      <c r="Q455" s="4">
        <v>44998</v>
      </c>
      <c r="R455" s="1" t="s">
        <v>73</v>
      </c>
      <c r="AO455" s="7">
        <v>17227</v>
      </c>
      <c r="AP455" s="5">
        <v>7.2</v>
      </c>
      <c r="AQ455" s="5">
        <v>92</v>
      </c>
      <c r="AR455" s="5">
        <v>28.9</v>
      </c>
      <c r="AS455" s="5" t="s">
        <v>76</v>
      </c>
      <c r="AT455" s="5">
        <v>27</v>
      </c>
      <c r="AU455" s="5">
        <v>16</v>
      </c>
      <c r="AV455" s="5">
        <v>35.2</v>
      </c>
      <c r="AW455" s="5">
        <v>7.64</v>
      </c>
      <c r="AX455" s="5">
        <v>94</v>
      </c>
      <c r="AY455" s="5" t="s">
        <v>76</v>
      </c>
      <c r="AZ455" s="5" t="s">
        <v>75</v>
      </c>
      <c r="BA455" s="5" t="s">
        <v>76</v>
      </c>
      <c r="BB455" s="12" t="s">
        <v>76</v>
      </c>
      <c r="BC455" s="5">
        <v>3.99</v>
      </c>
      <c r="BD455" s="5">
        <v>92</v>
      </c>
      <c r="BE455" s="5" t="s">
        <v>76</v>
      </c>
      <c r="BF455" s="5" t="s">
        <v>76</v>
      </c>
      <c r="BG455" s="15">
        <v>36.5</v>
      </c>
      <c r="BH455" s="5">
        <v>66</v>
      </c>
      <c r="BI455" s="5" t="s">
        <v>76</v>
      </c>
      <c r="BJ455" s="5">
        <v>18</v>
      </c>
      <c r="BK455" s="5">
        <v>179</v>
      </c>
      <c r="BL455" s="5">
        <v>83</v>
      </c>
      <c r="BM455" s="5">
        <v>65</v>
      </c>
      <c r="BN455" s="5">
        <v>160</v>
      </c>
      <c r="BO455" s="5">
        <f t="shared" si="7"/>
        <v>25.390625</v>
      </c>
      <c r="BP455" s="5" t="s">
        <v>107</v>
      </c>
      <c r="BQ455" s="5">
        <v>5.3</v>
      </c>
      <c r="BR455" s="5">
        <v>935</v>
      </c>
    </row>
    <row r="456" s="1" customFormat="1" spans="1:70">
      <c r="A456" s="1">
        <v>3490553</v>
      </c>
      <c r="B456" s="1" t="s">
        <v>1378</v>
      </c>
      <c r="D456" s="4">
        <v>45253</v>
      </c>
      <c r="E456" s="4">
        <v>45264</v>
      </c>
      <c r="F456" s="7">
        <v>17228</v>
      </c>
      <c r="G456" s="1">
        <v>40</v>
      </c>
      <c r="H456" s="1">
        <v>8</v>
      </c>
      <c r="I456" s="1">
        <v>41</v>
      </c>
      <c r="J456" s="1">
        <v>8</v>
      </c>
      <c r="K456" s="1">
        <v>57</v>
      </c>
      <c r="L456" s="1">
        <v>30</v>
      </c>
      <c r="M456" s="1">
        <v>0.45</v>
      </c>
      <c r="N456" s="1">
        <v>17.5</v>
      </c>
      <c r="O456" s="7">
        <v>17228</v>
      </c>
      <c r="P456" s="4">
        <v>45253</v>
      </c>
      <c r="Q456" s="4">
        <v>45264</v>
      </c>
      <c r="R456" s="1" t="s">
        <v>73</v>
      </c>
      <c r="AO456" s="7">
        <v>17228</v>
      </c>
      <c r="AP456" s="5">
        <v>3.4</v>
      </c>
      <c r="AQ456" s="5">
        <v>92</v>
      </c>
      <c r="AR456" s="5">
        <v>28.6</v>
      </c>
      <c r="AS456" s="5">
        <v>6.3</v>
      </c>
      <c r="AT456" s="5">
        <v>16</v>
      </c>
      <c r="AU456" s="5">
        <v>9</v>
      </c>
      <c r="AV456" s="5">
        <v>27.6</v>
      </c>
      <c r="AW456" s="5">
        <v>3.95</v>
      </c>
      <c r="AX456" s="5">
        <v>60</v>
      </c>
      <c r="AY456" s="5">
        <v>97.04</v>
      </c>
      <c r="AZ456" s="5">
        <v>11.07</v>
      </c>
      <c r="BA456" s="5">
        <v>1.47</v>
      </c>
      <c r="BB456" s="12" t="s">
        <v>76</v>
      </c>
      <c r="BC456" s="5">
        <v>4.9</v>
      </c>
      <c r="BD456" s="5">
        <v>92</v>
      </c>
      <c r="BE456" s="5">
        <v>0.51</v>
      </c>
      <c r="BF456" s="5">
        <v>0.7</v>
      </c>
      <c r="BG456" s="15">
        <v>36.6</v>
      </c>
      <c r="BH456" s="5">
        <v>94</v>
      </c>
      <c r="BI456" s="5">
        <v>94</v>
      </c>
      <c r="BJ456" s="5">
        <v>17</v>
      </c>
      <c r="BK456" s="5">
        <v>114</v>
      </c>
      <c r="BL456" s="5">
        <v>72</v>
      </c>
      <c r="BM456" s="5">
        <v>49</v>
      </c>
      <c r="BN456" s="5">
        <v>158</v>
      </c>
      <c r="BO456" s="5">
        <f t="shared" si="7"/>
        <v>19.6282647011697</v>
      </c>
      <c r="BP456" s="5" t="s">
        <v>107</v>
      </c>
      <c r="BQ456" s="5" t="s">
        <v>76</v>
      </c>
      <c r="BR456" s="5">
        <v>1485.08</v>
      </c>
    </row>
    <row r="457" s="1" customFormat="1" spans="1:70">
      <c r="A457" s="1">
        <v>3236358</v>
      </c>
      <c r="B457" s="1" t="s">
        <v>1379</v>
      </c>
      <c r="D457" s="4">
        <v>44876</v>
      </c>
      <c r="E457" s="4">
        <v>44917</v>
      </c>
      <c r="F457" s="7">
        <v>17241</v>
      </c>
      <c r="G457" s="1">
        <v>35</v>
      </c>
      <c r="H457" s="1">
        <v>8</v>
      </c>
      <c r="I457" s="1">
        <v>51</v>
      </c>
      <c r="J457" s="1">
        <v>8</v>
      </c>
      <c r="K457" s="1">
        <v>65</v>
      </c>
      <c r="L457" s="1">
        <v>36</v>
      </c>
      <c r="M457" s="1">
        <v>0.64</v>
      </c>
      <c r="O457" s="7">
        <v>17241</v>
      </c>
      <c r="P457" s="4">
        <v>44876</v>
      </c>
      <c r="Q457" s="4">
        <v>44917</v>
      </c>
      <c r="R457" s="1" t="s">
        <v>80</v>
      </c>
      <c r="AO457" s="7">
        <v>17241</v>
      </c>
      <c r="AP457" s="5">
        <v>9.6</v>
      </c>
      <c r="AQ457" s="5">
        <v>99</v>
      </c>
      <c r="AR457" s="5">
        <v>50</v>
      </c>
      <c r="AS457" s="5">
        <v>75.1</v>
      </c>
      <c r="AT457" s="5">
        <v>8</v>
      </c>
      <c r="AU457" s="5">
        <v>81</v>
      </c>
      <c r="AV457" s="5">
        <v>35.7</v>
      </c>
      <c r="AW457" s="5">
        <v>9.39</v>
      </c>
      <c r="AX457" s="5">
        <v>94</v>
      </c>
      <c r="AY457" s="5" t="s">
        <v>125</v>
      </c>
      <c r="AZ457" s="5" t="s">
        <v>75</v>
      </c>
      <c r="BA457" s="5">
        <v>2.11</v>
      </c>
      <c r="BB457" s="12" t="s">
        <v>76</v>
      </c>
      <c r="BC457" s="5">
        <v>4.86</v>
      </c>
      <c r="BD457" s="5">
        <v>99</v>
      </c>
      <c r="BE457" s="5">
        <v>0.65</v>
      </c>
      <c r="BF457" s="5">
        <v>0.46</v>
      </c>
      <c r="BG457" s="15">
        <v>36.8</v>
      </c>
      <c r="BH457" s="5" t="s">
        <v>76</v>
      </c>
      <c r="BI457" s="5">
        <v>112</v>
      </c>
      <c r="BJ457" s="5">
        <v>35</v>
      </c>
      <c r="BK457" s="5">
        <v>62</v>
      </c>
      <c r="BL457" s="5">
        <v>48</v>
      </c>
      <c r="BM457" s="5">
        <v>70</v>
      </c>
      <c r="BN457" s="5">
        <v>172</v>
      </c>
      <c r="BO457" s="5">
        <f t="shared" si="7"/>
        <v>23.6614386154678</v>
      </c>
      <c r="BP457" s="5" t="s">
        <v>117</v>
      </c>
      <c r="BQ457" s="5">
        <v>8.4</v>
      </c>
      <c r="BR457" s="5">
        <v>996.8</v>
      </c>
    </row>
    <row r="458" s="1" customFormat="1" spans="1:70">
      <c r="A458" s="1">
        <v>3259198</v>
      </c>
      <c r="B458" s="1" t="s">
        <v>1380</v>
      </c>
      <c r="D458" s="4">
        <v>44927</v>
      </c>
      <c r="E458" s="4">
        <v>44936</v>
      </c>
      <c r="F458" s="7">
        <v>17243</v>
      </c>
      <c r="G458" s="1">
        <v>44</v>
      </c>
      <c r="H458" s="1">
        <v>10</v>
      </c>
      <c r="I458" s="1">
        <v>44</v>
      </c>
      <c r="J458" s="1">
        <v>10</v>
      </c>
      <c r="K458" s="1">
        <v>64</v>
      </c>
      <c r="L458" s="1">
        <v>35</v>
      </c>
      <c r="M458" s="1">
        <v>0.69</v>
      </c>
      <c r="N458" s="1">
        <v>13.5</v>
      </c>
      <c r="O458" s="7">
        <v>17243</v>
      </c>
      <c r="P458" s="4">
        <v>44927</v>
      </c>
      <c r="Q458" s="4">
        <v>44936</v>
      </c>
      <c r="R458" s="1" t="s">
        <v>73</v>
      </c>
      <c r="AO458" s="7">
        <v>17243</v>
      </c>
      <c r="AP458" s="5">
        <v>4.5</v>
      </c>
      <c r="AQ458" s="5">
        <v>138</v>
      </c>
      <c r="AR458" s="5">
        <v>44</v>
      </c>
      <c r="AS458" s="5">
        <v>66.5</v>
      </c>
      <c r="AT458" s="5">
        <v>25</v>
      </c>
      <c r="AU458" s="5">
        <v>27</v>
      </c>
      <c r="AV458" s="5">
        <v>41.3</v>
      </c>
      <c r="AW458" s="5">
        <v>7.14</v>
      </c>
      <c r="AX458" s="5">
        <v>68</v>
      </c>
      <c r="AY458" s="5">
        <v>77.77</v>
      </c>
      <c r="AZ458" s="5" t="s">
        <v>76</v>
      </c>
      <c r="BA458" s="5" t="s">
        <v>76</v>
      </c>
      <c r="BB458" s="12" t="s">
        <v>76</v>
      </c>
      <c r="BC458" s="5">
        <v>4.5</v>
      </c>
      <c r="BD458" s="5">
        <v>138</v>
      </c>
      <c r="BE458" s="5" t="s">
        <v>76</v>
      </c>
      <c r="BF458" s="5" t="s">
        <v>76</v>
      </c>
      <c r="BG458" s="15">
        <v>36.4</v>
      </c>
      <c r="BH458" s="5">
        <v>73</v>
      </c>
      <c r="BI458" s="5" t="s">
        <v>76</v>
      </c>
      <c r="BJ458" s="5">
        <v>18</v>
      </c>
      <c r="BK458" s="5">
        <v>141</v>
      </c>
      <c r="BL458" s="5">
        <v>65</v>
      </c>
      <c r="BM458" s="5">
        <v>60</v>
      </c>
      <c r="BN458" s="5">
        <v>158</v>
      </c>
      <c r="BO458" s="5">
        <f t="shared" si="7"/>
        <v>24.034609838167</v>
      </c>
      <c r="BP458" s="5" t="s">
        <v>109</v>
      </c>
      <c r="BQ458" s="5" t="s">
        <v>76</v>
      </c>
      <c r="BR458" s="5">
        <v>1273</v>
      </c>
    </row>
    <row r="459" s="1" customFormat="1" spans="1:70">
      <c r="A459" s="1">
        <v>3504716</v>
      </c>
      <c r="B459" s="1" t="s">
        <v>1381</v>
      </c>
      <c r="D459" s="4">
        <v>45273</v>
      </c>
      <c r="E459" s="4">
        <v>45285</v>
      </c>
      <c r="F459" s="7">
        <v>17253</v>
      </c>
      <c r="G459" s="1">
        <v>30</v>
      </c>
      <c r="H459" s="1">
        <v>8</v>
      </c>
      <c r="I459" s="1">
        <v>47</v>
      </c>
      <c r="J459" s="1">
        <v>8</v>
      </c>
      <c r="K459" s="1">
        <v>35</v>
      </c>
      <c r="L459" s="1">
        <v>16</v>
      </c>
      <c r="M459" s="1">
        <v>0.63</v>
      </c>
      <c r="O459" s="7">
        <v>17253</v>
      </c>
      <c r="P459" s="4">
        <v>45273</v>
      </c>
      <c r="Q459" s="4">
        <v>45285</v>
      </c>
      <c r="R459" s="1" t="s">
        <v>73</v>
      </c>
      <c r="AO459" s="7">
        <v>17253</v>
      </c>
      <c r="AP459" s="5">
        <v>6.2</v>
      </c>
      <c r="AQ459" s="5">
        <v>137</v>
      </c>
      <c r="AR459" s="5">
        <v>41.6</v>
      </c>
      <c r="AS459" s="5">
        <v>18.4</v>
      </c>
      <c r="AT459" s="5">
        <v>57</v>
      </c>
      <c r="AU459" s="5">
        <v>47</v>
      </c>
      <c r="AV459" s="5">
        <v>40.9</v>
      </c>
      <c r="AW459" s="5">
        <v>3.66</v>
      </c>
      <c r="AX459" s="5">
        <v>38</v>
      </c>
      <c r="AY459" s="5" t="s">
        <v>125</v>
      </c>
      <c r="AZ459" s="5" t="s">
        <v>75</v>
      </c>
      <c r="BA459" s="5">
        <v>5.05</v>
      </c>
      <c r="BB459" s="12" t="s">
        <v>76</v>
      </c>
      <c r="BC459" s="5">
        <v>4.34</v>
      </c>
      <c r="BD459" s="5">
        <v>137</v>
      </c>
      <c r="BE459" s="5">
        <v>1.25</v>
      </c>
      <c r="BF459" s="5">
        <v>3.06</v>
      </c>
      <c r="BG459" s="15">
        <v>36.8</v>
      </c>
      <c r="BH459" s="5">
        <v>92</v>
      </c>
      <c r="BI459" s="5">
        <v>92</v>
      </c>
      <c r="BJ459" s="5">
        <v>16</v>
      </c>
      <c r="BK459" s="5">
        <v>120</v>
      </c>
      <c r="BL459" s="5">
        <v>72</v>
      </c>
      <c r="BM459" s="5">
        <v>42</v>
      </c>
      <c r="BN459" s="5">
        <v>157</v>
      </c>
      <c r="BO459" s="5">
        <f t="shared" si="7"/>
        <v>17.0392308004382</v>
      </c>
      <c r="BP459" s="5" t="s">
        <v>78</v>
      </c>
      <c r="BQ459" s="5">
        <v>6.1</v>
      </c>
      <c r="BR459" s="5">
        <v>917.7</v>
      </c>
    </row>
    <row r="460" s="1" customFormat="1" spans="1:70">
      <c r="A460" s="1">
        <v>3269240</v>
      </c>
      <c r="B460" s="1" t="s">
        <v>1382</v>
      </c>
      <c r="D460" s="4">
        <v>44948</v>
      </c>
      <c r="E460" s="4">
        <v>44958</v>
      </c>
      <c r="F460" s="7">
        <v>17254</v>
      </c>
      <c r="G460" s="1">
        <v>48</v>
      </c>
      <c r="H460" s="1">
        <v>7</v>
      </c>
      <c r="I460" s="1">
        <v>46</v>
      </c>
      <c r="J460" s="1">
        <v>7</v>
      </c>
      <c r="K460" s="1">
        <v>46</v>
      </c>
      <c r="M460" s="1">
        <v>2.01</v>
      </c>
      <c r="N460" s="1">
        <v>28.2</v>
      </c>
      <c r="O460" s="7">
        <v>17254</v>
      </c>
      <c r="P460" s="4">
        <v>44948</v>
      </c>
      <c r="Q460" s="4">
        <v>44958</v>
      </c>
      <c r="R460" s="1" t="s">
        <v>73</v>
      </c>
      <c r="AO460" s="7">
        <v>17254</v>
      </c>
      <c r="AP460" s="5">
        <v>17.8</v>
      </c>
      <c r="AQ460" s="5">
        <v>76</v>
      </c>
      <c r="AR460" s="5">
        <v>26.6</v>
      </c>
      <c r="AS460" s="5">
        <v>68.9</v>
      </c>
      <c r="AT460" s="5">
        <v>7</v>
      </c>
      <c r="AU460" s="5">
        <v>17</v>
      </c>
      <c r="AV460" s="5">
        <v>36</v>
      </c>
      <c r="AW460" s="5">
        <v>5.1</v>
      </c>
      <c r="AX460" s="5">
        <v>48</v>
      </c>
      <c r="AY460" s="5" t="s">
        <v>125</v>
      </c>
      <c r="AZ460" s="5">
        <v>14.4</v>
      </c>
      <c r="BA460" s="5" t="s">
        <v>76</v>
      </c>
      <c r="BB460" s="12" t="s">
        <v>76</v>
      </c>
      <c r="BC460" s="5">
        <v>4.39</v>
      </c>
      <c r="BD460" s="5">
        <v>76</v>
      </c>
      <c r="BE460" s="5" t="s">
        <v>76</v>
      </c>
      <c r="BF460" s="5" t="s">
        <v>76</v>
      </c>
      <c r="BG460" s="15">
        <v>36.6</v>
      </c>
      <c r="BH460" s="5" t="s">
        <v>76</v>
      </c>
      <c r="BI460" s="5">
        <v>105</v>
      </c>
      <c r="BJ460" s="5">
        <v>18</v>
      </c>
      <c r="BK460" s="5">
        <v>145</v>
      </c>
      <c r="BL460" s="5">
        <v>102</v>
      </c>
      <c r="BM460" s="5">
        <v>62</v>
      </c>
      <c r="BN460" s="5">
        <v>160</v>
      </c>
      <c r="BO460" s="5">
        <f t="shared" si="7"/>
        <v>24.21875</v>
      </c>
      <c r="BP460" s="5" t="s">
        <v>149</v>
      </c>
      <c r="BQ460" s="5">
        <v>7.9</v>
      </c>
      <c r="BR460" s="5">
        <v>3334</v>
      </c>
    </row>
    <row r="461" s="1" customFormat="1" spans="1:70">
      <c r="A461" s="1" t="s">
        <v>1383</v>
      </c>
      <c r="B461" s="1" t="s">
        <v>1384</v>
      </c>
      <c r="D461" s="4">
        <v>45012</v>
      </c>
      <c r="E461" s="4">
        <v>45021</v>
      </c>
      <c r="F461" s="7">
        <v>17256</v>
      </c>
      <c r="G461" s="1">
        <v>50</v>
      </c>
      <c r="H461" s="1">
        <v>10</v>
      </c>
      <c r="I461" s="1">
        <v>57</v>
      </c>
      <c r="J461" s="1">
        <v>10</v>
      </c>
      <c r="K461" s="1">
        <v>50</v>
      </c>
      <c r="L461" s="1">
        <v>26</v>
      </c>
      <c r="N461" s="1">
        <v>19.1</v>
      </c>
      <c r="O461" s="7">
        <v>17256</v>
      </c>
      <c r="P461" s="4">
        <v>45012</v>
      </c>
      <c r="Q461" s="4">
        <v>45021</v>
      </c>
      <c r="R461" s="1" t="s">
        <v>80</v>
      </c>
      <c r="AO461" s="7">
        <v>17256</v>
      </c>
      <c r="AP461" s="5" t="s">
        <v>1385</v>
      </c>
      <c r="AQ461" s="5" t="s">
        <v>1386</v>
      </c>
      <c r="AR461" s="5" t="s">
        <v>1387</v>
      </c>
      <c r="AS461" s="5" t="s">
        <v>81</v>
      </c>
      <c r="AT461" s="5" t="s">
        <v>101</v>
      </c>
      <c r="AU461" s="5" t="s">
        <v>445</v>
      </c>
      <c r="AV461" s="5" t="s">
        <v>405</v>
      </c>
      <c r="AW461" s="5" t="s">
        <v>1388</v>
      </c>
      <c r="AX461" s="5" t="s">
        <v>214</v>
      </c>
      <c r="AY461" s="5" t="s">
        <v>76</v>
      </c>
      <c r="AZ461" s="5" t="s">
        <v>1389</v>
      </c>
      <c r="BA461" s="5" t="s">
        <v>1390</v>
      </c>
      <c r="BB461" s="12" t="s">
        <v>76</v>
      </c>
      <c r="BC461" s="5" t="s">
        <v>99</v>
      </c>
      <c r="BD461" s="5" t="s">
        <v>1386</v>
      </c>
      <c r="BE461" s="5" t="s">
        <v>1391</v>
      </c>
      <c r="BF461" s="5" t="s">
        <v>1392</v>
      </c>
      <c r="BG461" s="15">
        <v>36.8</v>
      </c>
      <c r="BH461" s="5" t="s">
        <v>192</v>
      </c>
      <c r="BI461" s="5" t="s">
        <v>76</v>
      </c>
      <c r="BJ461" s="5" t="s">
        <v>246</v>
      </c>
      <c r="BK461" s="5" t="s">
        <v>138</v>
      </c>
      <c r="BL461" s="5" t="s">
        <v>658</v>
      </c>
      <c r="BM461" s="5" t="s">
        <v>658</v>
      </c>
      <c r="BN461" s="5">
        <v>180</v>
      </c>
      <c r="BO461" s="5">
        <f t="shared" si="7"/>
        <v>26.2345679012346</v>
      </c>
      <c r="BP461" s="5" t="s">
        <v>1121</v>
      </c>
      <c r="BQ461" s="5" t="s">
        <v>76</v>
      </c>
      <c r="BR461" s="5">
        <v>3793</v>
      </c>
    </row>
    <row r="462" s="1" customFormat="1" spans="1:70">
      <c r="A462" s="1">
        <v>3496291</v>
      </c>
      <c r="B462" s="1" t="s">
        <v>1393</v>
      </c>
      <c r="D462" s="4">
        <v>45261</v>
      </c>
      <c r="E462" s="4">
        <v>45267</v>
      </c>
      <c r="F462" s="7">
        <v>17266</v>
      </c>
      <c r="G462" s="1">
        <v>40</v>
      </c>
      <c r="H462" s="1">
        <v>9</v>
      </c>
      <c r="I462" s="1">
        <v>49</v>
      </c>
      <c r="J462" s="1">
        <v>9</v>
      </c>
      <c r="K462" s="1">
        <v>58</v>
      </c>
      <c r="L462" s="1">
        <v>31</v>
      </c>
      <c r="M462" s="1">
        <v>0.81</v>
      </c>
      <c r="O462" s="7">
        <v>17266</v>
      </c>
      <c r="P462" s="4">
        <v>45261</v>
      </c>
      <c r="Q462" s="4">
        <v>45267</v>
      </c>
      <c r="R462" s="1" t="s">
        <v>80</v>
      </c>
      <c r="AO462" s="7">
        <v>17266</v>
      </c>
      <c r="AP462" s="5">
        <v>9.7</v>
      </c>
      <c r="AQ462" s="5">
        <v>131</v>
      </c>
      <c r="AR462" s="5">
        <v>46.1</v>
      </c>
      <c r="AS462" s="5">
        <v>99.4</v>
      </c>
      <c r="AT462" s="5">
        <v>30</v>
      </c>
      <c r="AU462" s="5">
        <v>20</v>
      </c>
      <c r="AV462" s="5">
        <v>35.6</v>
      </c>
      <c r="AW462" s="5">
        <v>9.2</v>
      </c>
      <c r="AX462" s="5">
        <v>73</v>
      </c>
      <c r="AY462" s="5" t="s">
        <v>76</v>
      </c>
      <c r="AZ462" s="5" t="s">
        <v>1394</v>
      </c>
      <c r="BA462" s="5" t="s">
        <v>76</v>
      </c>
      <c r="BB462" s="12" t="s">
        <v>76</v>
      </c>
      <c r="BC462" s="5">
        <v>4.31</v>
      </c>
      <c r="BD462" s="5">
        <v>131</v>
      </c>
      <c r="BE462" s="5" t="s">
        <v>76</v>
      </c>
      <c r="BF462" s="5" t="s">
        <v>76</v>
      </c>
      <c r="BG462" s="15">
        <v>37</v>
      </c>
      <c r="BH462" s="5">
        <v>103</v>
      </c>
      <c r="BI462" s="5">
        <v>103</v>
      </c>
      <c r="BJ462" s="5">
        <v>30</v>
      </c>
      <c r="BK462" s="5">
        <v>155</v>
      </c>
      <c r="BL462" s="5">
        <v>89</v>
      </c>
      <c r="BM462" s="5">
        <v>75</v>
      </c>
      <c r="BN462" s="5">
        <v>160</v>
      </c>
      <c r="BO462" s="5">
        <f t="shared" si="7"/>
        <v>29.296875</v>
      </c>
      <c r="BP462" s="5" t="s">
        <v>394</v>
      </c>
      <c r="BQ462" s="5" t="s">
        <v>76</v>
      </c>
      <c r="BR462" s="5">
        <v>4512</v>
      </c>
    </row>
    <row r="463" s="1" customFormat="1" spans="1:70">
      <c r="A463" s="1">
        <v>3335228</v>
      </c>
      <c r="B463" s="1" t="s">
        <v>1395</v>
      </c>
      <c r="D463" s="4">
        <v>45039</v>
      </c>
      <c r="E463" s="4">
        <v>45044</v>
      </c>
      <c r="F463" s="7">
        <v>17267</v>
      </c>
      <c r="G463" s="1">
        <v>40</v>
      </c>
      <c r="H463" s="1">
        <v>10</v>
      </c>
      <c r="I463" s="1">
        <v>59</v>
      </c>
      <c r="J463" s="1">
        <v>10</v>
      </c>
      <c r="K463" s="1">
        <v>30</v>
      </c>
      <c r="L463" s="1">
        <v>15</v>
      </c>
      <c r="M463" s="1">
        <v>1.37</v>
      </c>
      <c r="N463" s="1">
        <v>17.4</v>
      </c>
      <c r="O463" s="7">
        <v>17267</v>
      </c>
      <c r="P463" s="4">
        <v>45039</v>
      </c>
      <c r="Q463" s="4">
        <v>45044</v>
      </c>
      <c r="R463" s="1" t="s">
        <v>80</v>
      </c>
      <c r="AO463" s="7">
        <v>17267</v>
      </c>
      <c r="AP463" s="5">
        <v>9.4</v>
      </c>
      <c r="AQ463" s="5">
        <v>157</v>
      </c>
      <c r="AR463" s="5">
        <v>46.5</v>
      </c>
      <c r="AS463" s="5">
        <v>1.4</v>
      </c>
      <c r="AT463" s="5">
        <v>26</v>
      </c>
      <c r="AU463" s="5">
        <v>36</v>
      </c>
      <c r="AV463" s="5">
        <v>41.6</v>
      </c>
      <c r="AW463" s="5">
        <v>11.3</v>
      </c>
      <c r="AX463" s="5">
        <v>66</v>
      </c>
      <c r="AY463" s="5" t="s">
        <v>76</v>
      </c>
      <c r="AZ463" s="5" t="s">
        <v>75</v>
      </c>
      <c r="BA463" s="5">
        <v>5.9</v>
      </c>
      <c r="BB463" s="12" t="s">
        <v>76</v>
      </c>
      <c r="BC463" s="5">
        <v>4.77</v>
      </c>
      <c r="BD463" s="5">
        <v>157</v>
      </c>
      <c r="BE463" s="5" t="s">
        <v>76</v>
      </c>
      <c r="BF463" s="5" t="s">
        <v>76</v>
      </c>
      <c r="BG463" s="15">
        <v>36.7</v>
      </c>
      <c r="BH463" s="5">
        <v>90</v>
      </c>
      <c r="BI463" s="5">
        <v>90</v>
      </c>
      <c r="BJ463" s="5">
        <v>18</v>
      </c>
      <c r="BK463" s="5">
        <v>131</v>
      </c>
      <c r="BL463" s="5">
        <v>82</v>
      </c>
      <c r="BM463" s="5">
        <v>88</v>
      </c>
      <c r="BN463" s="5">
        <v>162</v>
      </c>
      <c r="BO463" s="5">
        <f t="shared" si="7"/>
        <v>33.531473860692</v>
      </c>
      <c r="BP463" s="5" t="s">
        <v>149</v>
      </c>
      <c r="BQ463" s="5">
        <v>8.4</v>
      </c>
      <c r="BR463" s="5">
        <v>3476</v>
      </c>
    </row>
    <row r="464" s="1" customFormat="1" spans="1:70">
      <c r="A464" s="1">
        <v>3255961</v>
      </c>
      <c r="B464" s="1" t="s">
        <v>1396</v>
      </c>
      <c r="D464" s="4">
        <v>44921</v>
      </c>
      <c r="E464" s="4">
        <v>44932</v>
      </c>
      <c r="F464" s="7">
        <v>17289</v>
      </c>
      <c r="G464" s="1">
        <v>45</v>
      </c>
      <c r="H464" s="1">
        <v>9</v>
      </c>
      <c r="I464" s="1">
        <v>45</v>
      </c>
      <c r="J464" s="1">
        <v>9</v>
      </c>
      <c r="K464" s="1">
        <v>58</v>
      </c>
      <c r="L464" s="1">
        <v>31</v>
      </c>
      <c r="M464" s="1">
        <v>98</v>
      </c>
      <c r="N464" s="1">
        <v>8.4</v>
      </c>
      <c r="O464" s="7">
        <v>17289</v>
      </c>
      <c r="P464" s="4">
        <v>44921</v>
      </c>
      <c r="Q464" s="4">
        <v>44932</v>
      </c>
      <c r="R464" s="1" t="s">
        <v>73</v>
      </c>
      <c r="S464" s="1">
        <v>75</v>
      </c>
      <c r="T464" s="1" t="s">
        <v>1397</v>
      </c>
      <c r="V464" s="1">
        <v>1</v>
      </c>
      <c r="W464" s="1">
        <v>1</v>
      </c>
      <c r="Y464" s="1">
        <v>1</v>
      </c>
      <c r="AH464" s="1">
        <v>1</v>
      </c>
      <c r="AI464" s="1">
        <v>1</v>
      </c>
      <c r="AM464" s="1">
        <v>1</v>
      </c>
      <c r="AO464" s="7">
        <v>17289</v>
      </c>
      <c r="AP464" s="5">
        <v>8.1</v>
      </c>
      <c r="AQ464" s="5">
        <v>158</v>
      </c>
      <c r="AR464" s="5">
        <v>47.3</v>
      </c>
      <c r="AS464" s="5" t="s">
        <v>81</v>
      </c>
      <c r="AT464" s="5">
        <v>41</v>
      </c>
      <c r="AU464" s="5">
        <v>28</v>
      </c>
      <c r="AV464" s="5">
        <v>42</v>
      </c>
      <c r="AW464" s="5">
        <v>6.21</v>
      </c>
      <c r="AX464" s="5">
        <v>71</v>
      </c>
      <c r="AY464" s="5">
        <v>73.99</v>
      </c>
      <c r="AZ464" s="5" t="s">
        <v>75</v>
      </c>
      <c r="BA464" s="5">
        <v>5.94</v>
      </c>
      <c r="BB464" s="12" t="s">
        <v>76</v>
      </c>
      <c r="BC464" s="5">
        <v>4.27</v>
      </c>
      <c r="BD464" s="5">
        <v>158</v>
      </c>
      <c r="BE464" s="5">
        <v>1.14</v>
      </c>
      <c r="BF464" s="5">
        <v>4.25</v>
      </c>
      <c r="BG464" s="15">
        <v>36.5</v>
      </c>
      <c r="BH464" s="5">
        <v>111</v>
      </c>
      <c r="BI464" s="5">
        <v>126</v>
      </c>
      <c r="BJ464" s="5">
        <v>17</v>
      </c>
      <c r="BK464" s="5">
        <v>144</v>
      </c>
      <c r="BL464" s="5">
        <v>105</v>
      </c>
      <c r="BM464" s="5">
        <v>51</v>
      </c>
      <c r="BN464" s="5">
        <v>152</v>
      </c>
      <c r="BO464" s="5">
        <f t="shared" si="7"/>
        <v>22.0740997229917</v>
      </c>
      <c r="BP464" s="5" t="s">
        <v>78</v>
      </c>
      <c r="BQ464" s="5">
        <v>6.7</v>
      </c>
      <c r="BR464" s="5">
        <v>1462</v>
      </c>
    </row>
    <row r="465" s="1" customFormat="1" spans="1:70">
      <c r="A465" s="1">
        <v>3257533</v>
      </c>
      <c r="B465" s="1" t="s">
        <v>1398</v>
      </c>
      <c r="D465" s="4">
        <v>44923</v>
      </c>
      <c r="E465" s="4">
        <v>44928</v>
      </c>
      <c r="F465" s="7">
        <v>17323</v>
      </c>
      <c r="G465" s="1">
        <v>39</v>
      </c>
      <c r="H465" s="1">
        <v>9</v>
      </c>
      <c r="I465" s="1">
        <v>44</v>
      </c>
      <c r="J465" s="1">
        <v>8</v>
      </c>
      <c r="K465" s="1">
        <v>57</v>
      </c>
      <c r="L465" s="1">
        <v>30</v>
      </c>
      <c r="M465" s="1">
        <v>0.54</v>
      </c>
      <c r="N465" s="1">
        <v>10.2</v>
      </c>
      <c r="O465" s="7">
        <v>17323</v>
      </c>
      <c r="P465" s="4">
        <v>44923</v>
      </c>
      <c r="Q465" s="4">
        <v>44928</v>
      </c>
      <c r="R465" s="1" t="s">
        <v>73</v>
      </c>
      <c r="S465" s="1">
        <v>75</v>
      </c>
      <c r="T465" s="1" t="s">
        <v>1399</v>
      </c>
      <c r="AM465" s="1">
        <v>1</v>
      </c>
      <c r="AO465" s="7">
        <v>17323</v>
      </c>
      <c r="AP465" s="5">
        <v>24.1</v>
      </c>
      <c r="AQ465" s="5">
        <v>158</v>
      </c>
      <c r="AR465" s="5">
        <v>50.2</v>
      </c>
      <c r="AS465" s="5">
        <v>145.9</v>
      </c>
      <c r="AT465" s="5">
        <v>15</v>
      </c>
      <c r="AU465" s="5">
        <v>738</v>
      </c>
      <c r="AV465" s="5">
        <v>36.8</v>
      </c>
      <c r="AW465" s="5">
        <v>33.18</v>
      </c>
      <c r="AX465" s="5">
        <v>72</v>
      </c>
      <c r="AY465" s="5">
        <v>72.81</v>
      </c>
      <c r="AZ465" s="5">
        <v>5.03</v>
      </c>
      <c r="BA465" s="5">
        <v>7.87</v>
      </c>
      <c r="BB465" s="12" t="s">
        <v>76</v>
      </c>
      <c r="BC465" s="5">
        <v>4.72</v>
      </c>
      <c r="BD465" s="5">
        <v>158</v>
      </c>
      <c r="BE465" s="5">
        <v>1.46</v>
      </c>
      <c r="BF465" s="5">
        <v>5.24</v>
      </c>
      <c r="BG465" s="15">
        <v>35.5</v>
      </c>
      <c r="BH465" s="5">
        <v>102</v>
      </c>
      <c r="BI465" s="5">
        <v>102</v>
      </c>
      <c r="BJ465" s="5">
        <v>36</v>
      </c>
      <c r="BK465" s="5">
        <v>164</v>
      </c>
      <c r="BL465" s="5">
        <v>79</v>
      </c>
      <c r="BM465" s="5">
        <v>65</v>
      </c>
      <c r="BN465" s="5">
        <v>166</v>
      </c>
      <c r="BO465" s="5">
        <f t="shared" si="7"/>
        <v>23.5883292204964</v>
      </c>
      <c r="BP465" s="5" t="s">
        <v>174</v>
      </c>
      <c r="BQ465" s="5" t="s">
        <v>76</v>
      </c>
      <c r="BR465" s="5">
        <v>2000</v>
      </c>
    </row>
    <row r="466" s="1" customFormat="1" spans="1:70">
      <c r="A466" s="1">
        <v>3299879</v>
      </c>
      <c r="B466" s="1" t="s">
        <v>1400</v>
      </c>
      <c r="D466" s="4">
        <v>44991</v>
      </c>
      <c r="E466" s="4">
        <v>44998</v>
      </c>
      <c r="F466" s="7">
        <v>17324</v>
      </c>
      <c r="G466" s="1">
        <v>52</v>
      </c>
      <c r="H466" s="1">
        <v>9</v>
      </c>
      <c r="I466" s="1">
        <v>5</v>
      </c>
      <c r="J466" s="1">
        <v>9</v>
      </c>
      <c r="K466" s="1">
        <v>33</v>
      </c>
      <c r="L466" s="1">
        <v>16</v>
      </c>
      <c r="N466" s="1">
        <v>17.1</v>
      </c>
      <c r="O466" s="7">
        <v>17324</v>
      </c>
      <c r="P466" s="4">
        <v>44991</v>
      </c>
      <c r="Q466" s="4">
        <v>44998</v>
      </c>
      <c r="R466" s="1" t="s">
        <v>73</v>
      </c>
      <c r="AO466" s="7">
        <v>17324</v>
      </c>
      <c r="AP466" s="5">
        <v>4.9</v>
      </c>
      <c r="AQ466" s="5">
        <v>115</v>
      </c>
      <c r="AR466" s="5">
        <v>38.5</v>
      </c>
      <c r="AS466" s="5">
        <v>9.8</v>
      </c>
      <c r="AT466" s="5">
        <v>19</v>
      </c>
      <c r="AU466" s="5">
        <v>9</v>
      </c>
      <c r="AV466" s="5">
        <v>36.2</v>
      </c>
      <c r="AW466" s="5">
        <v>4.92</v>
      </c>
      <c r="AX466" s="5">
        <v>52</v>
      </c>
      <c r="AY466" s="5" t="s">
        <v>76</v>
      </c>
      <c r="AZ466" s="5">
        <v>5.5</v>
      </c>
      <c r="BA466" s="5">
        <v>3.34</v>
      </c>
      <c r="BB466" s="12" t="s">
        <v>76</v>
      </c>
      <c r="BC466" s="5">
        <v>4.34</v>
      </c>
      <c r="BD466" s="5">
        <v>115</v>
      </c>
      <c r="BE466" s="5">
        <v>0.65</v>
      </c>
      <c r="BF466" s="5">
        <v>2.27</v>
      </c>
      <c r="BG466" s="15">
        <v>36.3</v>
      </c>
      <c r="BH466" s="5">
        <v>60</v>
      </c>
      <c r="BI466" s="5">
        <v>60</v>
      </c>
      <c r="BJ466" s="5">
        <v>18</v>
      </c>
      <c r="BK466" s="5">
        <v>141</v>
      </c>
      <c r="BL466" s="5">
        <v>89</v>
      </c>
      <c r="BM466" s="5">
        <v>79</v>
      </c>
      <c r="BN466" s="5">
        <v>160</v>
      </c>
      <c r="BO466" s="5">
        <f t="shared" si="7"/>
        <v>30.859375</v>
      </c>
      <c r="BP466" s="5" t="s">
        <v>78</v>
      </c>
      <c r="BQ466" s="5">
        <v>6.4</v>
      </c>
      <c r="BR466" s="5">
        <v>4486</v>
      </c>
    </row>
    <row r="467" s="1" customFormat="1" spans="1:70">
      <c r="A467" s="1">
        <v>3255374</v>
      </c>
      <c r="B467" s="1" t="s">
        <v>1401</v>
      </c>
      <c r="D467" s="4">
        <v>44918</v>
      </c>
      <c r="E467" s="4">
        <v>44925</v>
      </c>
      <c r="F467" s="7">
        <v>17338</v>
      </c>
      <c r="G467" s="1">
        <v>45</v>
      </c>
      <c r="H467" s="1">
        <v>10</v>
      </c>
      <c r="I467" s="1">
        <v>52</v>
      </c>
      <c r="J467" s="1">
        <v>9</v>
      </c>
      <c r="K467" s="1">
        <v>58</v>
      </c>
      <c r="L467" s="1">
        <v>31</v>
      </c>
      <c r="M467" s="1">
        <v>1.3</v>
      </c>
      <c r="N467" s="1">
        <v>8.4</v>
      </c>
      <c r="O467" s="7">
        <v>17338</v>
      </c>
      <c r="P467" s="4">
        <v>44918</v>
      </c>
      <c r="Q467" s="4">
        <v>44925</v>
      </c>
      <c r="R467" s="1" t="s">
        <v>80</v>
      </c>
      <c r="AO467" s="7">
        <v>17338</v>
      </c>
      <c r="AP467" s="5">
        <v>5.2</v>
      </c>
      <c r="AQ467" s="5">
        <v>126</v>
      </c>
      <c r="AR467" s="5">
        <v>39.6</v>
      </c>
      <c r="AS467" s="5">
        <v>107.4</v>
      </c>
      <c r="AT467" s="5">
        <v>28</v>
      </c>
      <c r="AU467" s="5">
        <v>32</v>
      </c>
      <c r="AV467" s="5">
        <v>30.5</v>
      </c>
      <c r="AW467" s="5">
        <v>6.03</v>
      </c>
      <c r="AX467" s="5">
        <v>70</v>
      </c>
      <c r="AY467" s="5">
        <v>101.37</v>
      </c>
      <c r="AZ467" s="5" t="s">
        <v>75</v>
      </c>
      <c r="BA467" s="5" t="s">
        <v>76</v>
      </c>
      <c r="BB467" s="12" t="s">
        <v>76</v>
      </c>
      <c r="BC467" s="5">
        <v>3.51</v>
      </c>
      <c r="BD467" s="5">
        <v>126</v>
      </c>
      <c r="BE467" s="5" t="s">
        <v>76</v>
      </c>
      <c r="BF467" s="5" t="s">
        <v>76</v>
      </c>
      <c r="BG467" s="15">
        <v>36.5</v>
      </c>
      <c r="BH467" s="5">
        <v>82</v>
      </c>
      <c r="BI467" s="5" t="s">
        <v>76</v>
      </c>
      <c r="BJ467" s="5">
        <v>18</v>
      </c>
      <c r="BK467" s="5">
        <v>112</v>
      </c>
      <c r="BL467" s="5">
        <v>84</v>
      </c>
      <c r="BM467" s="5">
        <v>70</v>
      </c>
      <c r="BN467" s="5">
        <v>162</v>
      </c>
      <c r="BO467" s="5">
        <f t="shared" si="7"/>
        <v>26.6727632982777</v>
      </c>
      <c r="BP467" s="5" t="s">
        <v>109</v>
      </c>
      <c r="BQ467" s="5" t="s">
        <v>76</v>
      </c>
      <c r="BR467" s="5">
        <v>1194</v>
      </c>
    </row>
    <row r="468" s="1" customFormat="1" spans="1:70">
      <c r="A468" s="1">
        <v>3327477</v>
      </c>
      <c r="B468" s="1" t="s">
        <v>1402</v>
      </c>
      <c r="D468" s="4">
        <v>45028</v>
      </c>
      <c r="E468" s="4">
        <v>45036</v>
      </c>
      <c r="F468" s="7">
        <v>17349</v>
      </c>
      <c r="G468" s="1">
        <v>35</v>
      </c>
      <c r="H468" s="1">
        <v>12</v>
      </c>
      <c r="I468" s="1">
        <v>49</v>
      </c>
      <c r="J468" s="1">
        <v>12</v>
      </c>
      <c r="K468" s="1">
        <v>65</v>
      </c>
      <c r="L468" s="1">
        <v>35</v>
      </c>
      <c r="M468" s="1">
        <v>1.75</v>
      </c>
      <c r="N468" s="10">
        <v>18</v>
      </c>
      <c r="O468" s="7">
        <v>17349</v>
      </c>
      <c r="P468" s="4">
        <v>45028</v>
      </c>
      <c r="Q468" s="4">
        <v>45036</v>
      </c>
      <c r="R468" s="1" t="s">
        <v>80</v>
      </c>
      <c r="AO468" s="7">
        <v>17349</v>
      </c>
      <c r="AP468" s="5">
        <v>7</v>
      </c>
      <c r="AQ468" s="5">
        <v>109</v>
      </c>
      <c r="AR468" s="5">
        <v>34.7</v>
      </c>
      <c r="AS468" s="5">
        <v>1.2</v>
      </c>
      <c r="AT468" s="5">
        <v>16</v>
      </c>
      <c r="AU468" s="5">
        <v>7</v>
      </c>
      <c r="AV468" s="5">
        <v>43</v>
      </c>
      <c r="AW468" s="5">
        <v>7.69</v>
      </c>
      <c r="AX468" s="5">
        <v>80</v>
      </c>
      <c r="AY468" s="5">
        <v>92.19</v>
      </c>
      <c r="AZ468" s="5">
        <v>6.15</v>
      </c>
      <c r="BA468" s="5">
        <v>3.34</v>
      </c>
      <c r="BB468" s="12" t="s">
        <v>76</v>
      </c>
      <c r="BC468" s="5">
        <v>4.38</v>
      </c>
      <c r="BD468" s="5">
        <v>109</v>
      </c>
      <c r="BE468" s="5">
        <v>0.63</v>
      </c>
      <c r="BF468" s="5">
        <v>1.88</v>
      </c>
      <c r="BG468" s="15">
        <v>36.5</v>
      </c>
      <c r="BH468" s="5">
        <v>68</v>
      </c>
      <c r="BI468" s="5">
        <v>68</v>
      </c>
      <c r="BJ468" s="5">
        <v>20</v>
      </c>
      <c r="BK468" s="5">
        <v>185</v>
      </c>
      <c r="BL468" s="5">
        <v>77</v>
      </c>
      <c r="BM468" s="5">
        <v>65</v>
      </c>
      <c r="BN468" s="5">
        <v>176</v>
      </c>
      <c r="BO468" s="5">
        <f t="shared" si="7"/>
        <v>20.9839876033058</v>
      </c>
      <c r="BP468" s="5" t="s">
        <v>161</v>
      </c>
      <c r="BQ468" s="5">
        <v>4.8</v>
      </c>
      <c r="BR468" s="5">
        <v>5373</v>
      </c>
    </row>
    <row r="469" s="1" customFormat="1" spans="1:70">
      <c r="A469" s="1">
        <v>3314823</v>
      </c>
      <c r="B469" s="1" t="s">
        <v>1403</v>
      </c>
      <c r="C469" s="1">
        <v>1</v>
      </c>
      <c r="D469" s="4">
        <v>45011</v>
      </c>
      <c r="E469" s="4">
        <v>45017</v>
      </c>
      <c r="F469" s="7">
        <v>17356</v>
      </c>
      <c r="G469" s="1">
        <v>35</v>
      </c>
      <c r="H469" s="1">
        <v>8</v>
      </c>
      <c r="I469" s="1">
        <v>43</v>
      </c>
      <c r="J469" s="1">
        <v>8</v>
      </c>
      <c r="K469" s="1">
        <v>66</v>
      </c>
      <c r="L469" s="1">
        <v>36</v>
      </c>
      <c r="M469" s="1">
        <v>0.62</v>
      </c>
      <c r="O469" s="7">
        <v>17356</v>
      </c>
      <c r="P469" s="4">
        <v>45011</v>
      </c>
      <c r="Q469" s="4">
        <v>45017</v>
      </c>
      <c r="R469" s="1" t="s">
        <v>80</v>
      </c>
      <c r="AO469" s="7">
        <v>17356</v>
      </c>
      <c r="AP469" s="5">
        <v>9.3</v>
      </c>
      <c r="AQ469" s="5">
        <v>202</v>
      </c>
      <c r="AR469" s="5">
        <v>67.9</v>
      </c>
      <c r="AS469" s="5">
        <v>86.4</v>
      </c>
      <c r="AT469" s="5">
        <v>6023</v>
      </c>
      <c r="AU469" s="5">
        <v>774</v>
      </c>
      <c r="AV469" s="5">
        <v>34.3</v>
      </c>
      <c r="AW469" s="5">
        <v>25.85</v>
      </c>
      <c r="AX469" s="5">
        <v>99</v>
      </c>
      <c r="AY469" s="5">
        <v>76.83</v>
      </c>
      <c r="AZ469" s="5" t="s">
        <v>75</v>
      </c>
      <c r="BA469" s="5" t="s">
        <v>76</v>
      </c>
      <c r="BB469" s="12" t="s">
        <v>76</v>
      </c>
      <c r="BC469" s="5">
        <v>5.6</v>
      </c>
      <c r="BD469" s="5">
        <v>202</v>
      </c>
      <c r="BE469" s="5" t="s">
        <v>76</v>
      </c>
      <c r="BF469" s="5" t="s">
        <v>76</v>
      </c>
      <c r="BG469" s="15">
        <v>36.5</v>
      </c>
      <c r="BH469" s="5">
        <v>73</v>
      </c>
      <c r="BI469" s="5">
        <v>73</v>
      </c>
      <c r="BJ469" s="5">
        <v>13</v>
      </c>
      <c r="BK469" s="5">
        <v>83</v>
      </c>
      <c r="BL469" s="5">
        <v>58</v>
      </c>
      <c r="BM469" s="5" t="s">
        <v>77</v>
      </c>
      <c r="BN469" s="5" t="s">
        <v>77</v>
      </c>
      <c r="BO469" s="5" t="e">
        <f t="shared" si="7"/>
        <v>#VALUE!</v>
      </c>
      <c r="BP469" s="5" t="s">
        <v>117</v>
      </c>
      <c r="BQ469" s="5" t="s">
        <v>76</v>
      </c>
      <c r="BR469" s="5" t="s">
        <v>1404</v>
      </c>
    </row>
    <row r="470" s="1" customFormat="1" spans="1:70">
      <c r="A470" s="1">
        <v>3263087</v>
      </c>
      <c r="B470" s="1" t="s">
        <v>1405</v>
      </c>
      <c r="D470" s="4">
        <v>44933</v>
      </c>
      <c r="E470" s="4">
        <v>44956</v>
      </c>
      <c r="F470" s="7">
        <v>17358</v>
      </c>
      <c r="G470" s="1">
        <v>37</v>
      </c>
      <c r="H470" s="1">
        <v>9</v>
      </c>
      <c r="I470" s="1">
        <v>41</v>
      </c>
      <c r="J470" s="1">
        <v>9</v>
      </c>
      <c r="K470" s="1">
        <v>67</v>
      </c>
      <c r="L470" s="1">
        <v>21</v>
      </c>
      <c r="M470" s="1">
        <v>0.53</v>
      </c>
      <c r="N470" s="1">
        <v>7.7</v>
      </c>
      <c r="O470" s="7">
        <v>17358</v>
      </c>
      <c r="P470" s="4">
        <v>44933</v>
      </c>
      <c r="Q470" s="4">
        <v>44956</v>
      </c>
      <c r="R470" s="1" t="s">
        <v>80</v>
      </c>
      <c r="AO470" s="7">
        <v>17358</v>
      </c>
      <c r="AP470" s="5">
        <v>9.8</v>
      </c>
      <c r="AQ470" s="5">
        <v>89</v>
      </c>
      <c r="AR470" s="5">
        <v>33.7</v>
      </c>
      <c r="AS470" s="5">
        <v>98.1</v>
      </c>
      <c r="AT470" s="5">
        <v>76</v>
      </c>
      <c r="AU470" s="5">
        <v>34</v>
      </c>
      <c r="AV470" s="5">
        <v>24.5</v>
      </c>
      <c r="AW470" s="5">
        <v>18.5</v>
      </c>
      <c r="AX470" s="5">
        <v>183</v>
      </c>
      <c r="AY470" s="5">
        <v>43.74</v>
      </c>
      <c r="AZ470" s="5">
        <v>5.57</v>
      </c>
      <c r="BA470" s="5">
        <v>3.86</v>
      </c>
      <c r="BB470" s="12" t="s">
        <v>76</v>
      </c>
      <c r="BC470" s="5">
        <v>4.47</v>
      </c>
      <c r="BD470" s="5">
        <v>89</v>
      </c>
      <c r="BE470" s="5">
        <v>0.85</v>
      </c>
      <c r="BF470" s="5">
        <v>2.94</v>
      </c>
      <c r="BG470" s="15">
        <v>36.7</v>
      </c>
      <c r="BH470" s="5" t="s">
        <v>76</v>
      </c>
      <c r="BI470" s="5">
        <v>68</v>
      </c>
      <c r="BJ470" s="5">
        <v>17</v>
      </c>
      <c r="BK470" s="5">
        <v>122</v>
      </c>
      <c r="BL470" s="5">
        <v>70</v>
      </c>
      <c r="BM470" s="5">
        <v>70</v>
      </c>
      <c r="BN470" s="5">
        <v>172</v>
      </c>
      <c r="BO470" s="5">
        <f t="shared" si="7"/>
        <v>23.6614386154678</v>
      </c>
      <c r="BP470" s="5" t="s">
        <v>357</v>
      </c>
      <c r="BQ470" s="5">
        <v>11.8</v>
      </c>
      <c r="BR470" s="5">
        <v>6851</v>
      </c>
    </row>
    <row r="471" s="1" customFormat="1" spans="1:70">
      <c r="A471" s="1">
        <v>3257858</v>
      </c>
      <c r="B471" s="1" t="s">
        <v>1406</v>
      </c>
      <c r="D471" s="4">
        <v>44924</v>
      </c>
      <c r="E471" s="4">
        <v>44934</v>
      </c>
      <c r="F471" s="7">
        <v>17382</v>
      </c>
      <c r="G471" s="1">
        <v>42</v>
      </c>
      <c r="H471" s="1">
        <v>10</v>
      </c>
      <c r="I471" s="1">
        <v>47</v>
      </c>
      <c r="J471" s="1">
        <v>10</v>
      </c>
      <c r="K471" s="1">
        <v>67</v>
      </c>
      <c r="L471" s="1">
        <v>37</v>
      </c>
      <c r="N471" s="1">
        <v>12</v>
      </c>
      <c r="O471" s="7">
        <v>17382</v>
      </c>
      <c r="P471" s="4">
        <v>44924</v>
      </c>
      <c r="Q471" s="4">
        <v>44934</v>
      </c>
      <c r="R471" s="1" t="s">
        <v>80</v>
      </c>
      <c r="AO471" s="7">
        <v>17382</v>
      </c>
      <c r="AP471" s="5">
        <v>8.3</v>
      </c>
      <c r="AQ471" s="5">
        <v>147</v>
      </c>
      <c r="AR471" s="5">
        <v>45.9</v>
      </c>
      <c r="AS471" s="5">
        <v>43.8</v>
      </c>
      <c r="AT471" s="5">
        <v>48</v>
      </c>
      <c r="AU471" s="5">
        <v>64</v>
      </c>
      <c r="AV471" s="5">
        <v>31.4</v>
      </c>
      <c r="AW471" s="5">
        <v>8.16</v>
      </c>
      <c r="AX471" s="5">
        <v>68</v>
      </c>
      <c r="AY471" s="5">
        <v>116.61</v>
      </c>
      <c r="AZ471" s="5" t="s">
        <v>75</v>
      </c>
      <c r="BA471" s="5" t="s">
        <v>76</v>
      </c>
      <c r="BB471" s="12" t="s">
        <v>76</v>
      </c>
      <c r="BC471" s="5">
        <v>4.5</v>
      </c>
      <c r="BD471" s="5">
        <v>147</v>
      </c>
      <c r="BE471" s="5" t="s">
        <v>76</v>
      </c>
      <c r="BF471" s="5" t="s">
        <v>76</v>
      </c>
      <c r="BG471" s="15">
        <v>36.9</v>
      </c>
      <c r="BH471" s="5" t="s">
        <v>76</v>
      </c>
      <c r="BI471" s="5">
        <v>53</v>
      </c>
      <c r="BJ471" s="5">
        <v>20</v>
      </c>
      <c r="BK471" s="5">
        <v>129</v>
      </c>
      <c r="BL471" s="5">
        <v>72</v>
      </c>
      <c r="BM471" s="5">
        <v>70</v>
      </c>
      <c r="BN471" s="5">
        <v>165</v>
      </c>
      <c r="BO471" s="5">
        <f t="shared" si="7"/>
        <v>25.7116620752984</v>
      </c>
      <c r="BP471" s="5" t="s">
        <v>168</v>
      </c>
      <c r="BQ471" s="5" t="s">
        <v>76</v>
      </c>
      <c r="BR471" s="5">
        <v>4231</v>
      </c>
    </row>
    <row r="472" s="1" customFormat="1" spans="1:70">
      <c r="A472" s="1">
        <v>3507769</v>
      </c>
      <c r="B472" s="1" t="s">
        <v>1407</v>
      </c>
      <c r="D472" s="4">
        <v>45278</v>
      </c>
      <c r="E472" s="4">
        <v>45289</v>
      </c>
      <c r="F472" s="7">
        <v>17391</v>
      </c>
      <c r="G472" s="1">
        <v>40</v>
      </c>
      <c r="H472" s="1">
        <v>8</v>
      </c>
      <c r="I472" s="1">
        <v>57</v>
      </c>
      <c r="J472" s="1">
        <v>8</v>
      </c>
      <c r="K472" s="1">
        <v>35</v>
      </c>
      <c r="L472" s="1">
        <v>17</v>
      </c>
      <c r="M472" s="1">
        <v>0.44</v>
      </c>
      <c r="N472" s="1">
        <v>7.4</v>
      </c>
      <c r="O472" s="7">
        <v>17391</v>
      </c>
      <c r="P472" s="4">
        <v>45278</v>
      </c>
      <c r="Q472" s="4">
        <v>45289</v>
      </c>
      <c r="R472" s="1" t="s">
        <v>73</v>
      </c>
      <c r="AO472" s="7">
        <v>17391</v>
      </c>
      <c r="AP472" s="5">
        <v>330.6</v>
      </c>
      <c r="AQ472" s="5">
        <v>129</v>
      </c>
      <c r="AR472" s="5">
        <v>61</v>
      </c>
      <c r="AS472" s="5">
        <v>9.3</v>
      </c>
      <c r="AT472" s="5">
        <v>16</v>
      </c>
      <c r="AU472" s="5" t="s">
        <v>171</v>
      </c>
      <c r="AV472" s="5">
        <v>39.5</v>
      </c>
      <c r="AW472" s="5">
        <v>8.64</v>
      </c>
      <c r="AX472" s="5">
        <v>85</v>
      </c>
      <c r="AY472" s="5">
        <v>97.04</v>
      </c>
      <c r="AZ472" s="5">
        <v>8.29</v>
      </c>
      <c r="BA472" s="5">
        <v>4.3</v>
      </c>
      <c r="BB472" s="12" t="s">
        <v>76</v>
      </c>
      <c r="BC472" s="5">
        <v>4.61</v>
      </c>
      <c r="BD472" s="5">
        <v>129</v>
      </c>
      <c r="BE472" s="5">
        <v>1.03</v>
      </c>
      <c r="BF472" s="5">
        <v>2.07</v>
      </c>
      <c r="BG472" s="15">
        <v>36.4</v>
      </c>
      <c r="BH472" s="5">
        <v>101</v>
      </c>
      <c r="BI472" s="5">
        <v>101</v>
      </c>
      <c r="BJ472" s="5">
        <v>17</v>
      </c>
      <c r="BK472" s="5">
        <v>109</v>
      </c>
      <c r="BL472" s="5">
        <v>69</v>
      </c>
      <c r="BM472" s="5">
        <v>53</v>
      </c>
      <c r="BN472" s="5">
        <v>162</v>
      </c>
      <c r="BO472" s="5">
        <f t="shared" si="7"/>
        <v>20.1950922115531</v>
      </c>
      <c r="BP472" s="5" t="s">
        <v>78</v>
      </c>
      <c r="BQ472" s="5">
        <v>8.6</v>
      </c>
      <c r="BR472" s="5">
        <v>3974</v>
      </c>
    </row>
    <row r="473" s="1" customFormat="1" spans="1:70">
      <c r="A473" s="1">
        <v>3287597</v>
      </c>
      <c r="B473" s="1" t="s">
        <v>1408</v>
      </c>
      <c r="D473" s="4">
        <v>44973</v>
      </c>
      <c r="E473" s="4">
        <v>44992</v>
      </c>
      <c r="F473" s="7">
        <v>17391</v>
      </c>
      <c r="G473" s="1">
        <v>31</v>
      </c>
      <c r="H473" s="1">
        <v>9</v>
      </c>
      <c r="I473" s="1">
        <v>48</v>
      </c>
      <c r="J473" s="1">
        <v>9</v>
      </c>
      <c r="K473" s="1">
        <v>66</v>
      </c>
      <c r="L473" s="1">
        <v>36</v>
      </c>
      <c r="M473" s="1">
        <v>0.78</v>
      </c>
      <c r="N473" s="1">
        <v>11.7</v>
      </c>
      <c r="O473" s="7">
        <v>17391</v>
      </c>
      <c r="P473" s="4">
        <v>44973</v>
      </c>
      <c r="Q473" s="4">
        <v>44992</v>
      </c>
      <c r="R473" s="1" t="s">
        <v>80</v>
      </c>
      <c r="AO473" s="7">
        <v>17391</v>
      </c>
      <c r="AP473" s="5">
        <v>9</v>
      </c>
      <c r="AQ473" s="5">
        <v>98</v>
      </c>
      <c r="AR473" s="5">
        <v>33.8</v>
      </c>
      <c r="AS473" s="5">
        <v>88.5</v>
      </c>
      <c r="AT473" s="5">
        <v>63</v>
      </c>
      <c r="AU473" s="5">
        <v>74</v>
      </c>
      <c r="AV473" s="5">
        <v>37.6</v>
      </c>
      <c r="AW473" s="5">
        <v>9.44</v>
      </c>
      <c r="AX473" s="5">
        <v>225</v>
      </c>
      <c r="AY473" s="5">
        <v>31.83</v>
      </c>
      <c r="AZ473" s="5" t="s">
        <v>75</v>
      </c>
      <c r="BA473" s="5" t="s">
        <v>76</v>
      </c>
      <c r="BB473" s="12" t="s">
        <v>76</v>
      </c>
      <c r="BC473" s="5">
        <v>6.04</v>
      </c>
      <c r="BD473" s="5">
        <v>98</v>
      </c>
      <c r="BE473" s="5" t="s">
        <v>76</v>
      </c>
      <c r="BF473" s="5" t="s">
        <v>76</v>
      </c>
      <c r="BG473" s="15">
        <v>36.5</v>
      </c>
      <c r="BH473" s="5" t="s">
        <v>76</v>
      </c>
      <c r="BI473" s="5">
        <v>78</v>
      </c>
      <c r="BJ473" s="5">
        <v>20</v>
      </c>
      <c r="BK473" s="5">
        <v>168</v>
      </c>
      <c r="BL473" s="5">
        <v>72</v>
      </c>
      <c r="BM473" s="5">
        <v>65</v>
      </c>
      <c r="BN473" s="5">
        <v>170</v>
      </c>
      <c r="BO473" s="5">
        <f t="shared" si="7"/>
        <v>22.4913494809689</v>
      </c>
      <c r="BP473" s="5" t="s">
        <v>117</v>
      </c>
      <c r="BQ473" s="5" t="s">
        <v>76</v>
      </c>
      <c r="BR473" s="5">
        <v>6114.77</v>
      </c>
    </row>
    <row r="474" s="1" customFormat="1" spans="1:70">
      <c r="A474" s="1">
        <v>3326556</v>
      </c>
      <c r="B474" s="1" t="s">
        <v>399</v>
      </c>
      <c r="D474" s="4">
        <v>45027</v>
      </c>
      <c r="E474" s="4">
        <v>45037</v>
      </c>
      <c r="F474" s="7">
        <v>17401</v>
      </c>
      <c r="G474" s="1">
        <v>32</v>
      </c>
      <c r="H474" s="1">
        <v>9</v>
      </c>
      <c r="I474" s="1">
        <v>39</v>
      </c>
      <c r="J474" s="1">
        <v>9</v>
      </c>
      <c r="K474" s="1">
        <v>58</v>
      </c>
      <c r="L474" s="1">
        <v>30</v>
      </c>
      <c r="M474" s="1">
        <v>0.68</v>
      </c>
      <c r="N474" s="1">
        <v>10.9</v>
      </c>
      <c r="O474" s="7">
        <v>17401</v>
      </c>
      <c r="P474" s="4">
        <v>45027</v>
      </c>
      <c r="Q474" s="4">
        <v>45037</v>
      </c>
      <c r="R474" s="1" t="s">
        <v>73</v>
      </c>
      <c r="AO474" s="7">
        <v>17401</v>
      </c>
      <c r="AP474" s="5">
        <v>40.8</v>
      </c>
      <c r="AQ474" s="5">
        <v>95</v>
      </c>
      <c r="AR474" s="5">
        <v>50.4</v>
      </c>
      <c r="AS474" s="5">
        <v>95.1</v>
      </c>
      <c r="AT474" s="5">
        <v>99</v>
      </c>
      <c r="AU474" s="5">
        <v>78</v>
      </c>
      <c r="AV474" s="5">
        <v>37</v>
      </c>
      <c r="AW474" s="5">
        <v>9.5</v>
      </c>
      <c r="AX474" s="5">
        <v>53</v>
      </c>
      <c r="AY474" s="5" t="s">
        <v>76</v>
      </c>
      <c r="AZ474" s="5" t="s">
        <v>75</v>
      </c>
      <c r="BA474" s="5" t="s">
        <v>76</v>
      </c>
      <c r="BB474" s="12" t="s">
        <v>76</v>
      </c>
      <c r="BC474" s="5">
        <v>5.07</v>
      </c>
      <c r="BD474" s="5">
        <v>95</v>
      </c>
      <c r="BE474" s="5" t="s">
        <v>76</v>
      </c>
      <c r="BF474" s="5" t="s">
        <v>76</v>
      </c>
      <c r="BG474" s="15">
        <v>36.7</v>
      </c>
      <c r="BH474" s="5">
        <v>100</v>
      </c>
      <c r="BI474" s="5">
        <v>100</v>
      </c>
      <c r="BJ474" s="5">
        <v>27</v>
      </c>
      <c r="BK474" s="5">
        <v>154</v>
      </c>
      <c r="BL474" s="5">
        <v>91</v>
      </c>
      <c r="BM474" s="5">
        <v>45</v>
      </c>
      <c r="BN474" s="5">
        <v>158</v>
      </c>
      <c r="BO474" s="5">
        <f t="shared" si="7"/>
        <v>18.0259573786252</v>
      </c>
      <c r="BP474" s="5" t="s">
        <v>394</v>
      </c>
      <c r="BQ474" s="5">
        <v>5.8</v>
      </c>
      <c r="BR474" s="5">
        <v>996.4</v>
      </c>
    </row>
    <row r="475" s="1" customFormat="1" spans="1:70">
      <c r="A475" s="1">
        <v>3510191</v>
      </c>
      <c r="B475" s="1" t="s">
        <v>1409</v>
      </c>
      <c r="D475" s="4">
        <v>45280</v>
      </c>
      <c r="E475" s="4">
        <v>45286</v>
      </c>
      <c r="F475" s="7">
        <v>17405</v>
      </c>
      <c r="G475" s="1">
        <v>51</v>
      </c>
      <c r="H475" s="1">
        <v>10</v>
      </c>
      <c r="I475" s="1">
        <v>53</v>
      </c>
      <c r="J475" s="1">
        <v>10</v>
      </c>
      <c r="K475" s="1">
        <v>57</v>
      </c>
      <c r="L475" s="1">
        <v>30</v>
      </c>
      <c r="O475" s="7">
        <v>17405</v>
      </c>
      <c r="P475" s="4">
        <v>45280</v>
      </c>
      <c r="Q475" s="4">
        <v>45286</v>
      </c>
      <c r="R475" s="1" t="s">
        <v>73</v>
      </c>
      <c r="AO475" s="7">
        <v>17405</v>
      </c>
      <c r="AP475" s="5">
        <v>5.4</v>
      </c>
      <c r="AQ475" s="5">
        <v>124</v>
      </c>
      <c r="AR475" s="5">
        <v>39.4</v>
      </c>
      <c r="AS475" s="5">
        <v>0.8</v>
      </c>
      <c r="AT475" s="5">
        <v>16</v>
      </c>
      <c r="AU475" s="5">
        <v>8</v>
      </c>
      <c r="AV475" s="5">
        <v>41.7</v>
      </c>
      <c r="AW475" s="5">
        <v>4.44</v>
      </c>
      <c r="AX475" s="5">
        <v>40</v>
      </c>
      <c r="AY475" s="5" t="s">
        <v>125</v>
      </c>
      <c r="AZ475" s="5" t="s">
        <v>75</v>
      </c>
      <c r="BA475" s="5">
        <v>4.66</v>
      </c>
      <c r="BB475" s="12" t="s">
        <v>76</v>
      </c>
      <c r="BC475" s="5">
        <v>4.04</v>
      </c>
      <c r="BD475" s="5">
        <v>124</v>
      </c>
      <c r="BE475" s="5">
        <v>0.99</v>
      </c>
      <c r="BF475" s="5">
        <v>2.31</v>
      </c>
      <c r="BG475" s="15">
        <v>36.3</v>
      </c>
      <c r="BH475" s="5">
        <v>55</v>
      </c>
      <c r="BI475" s="5">
        <v>55</v>
      </c>
      <c r="BJ475" s="5">
        <v>16</v>
      </c>
      <c r="BK475" s="5">
        <v>149</v>
      </c>
      <c r="BL475" s="5">
        <v>94</v>
      </c>
      <c r="BM475" s="5">
        <v>75</v>
      </c>
      <c r="BN475" s="5">
        <v>160</v>
      </c>
      <c r="BO475" s="5">
        <f t="shared" si="7"/>
        <v>29.296875</v>
      </c>
      <c r="BP475" s="5" t="s">
        <v>161</v>
      </c>
      <c r="BQ475" s="5">
        <v>6.8</v>
      </c>
      <c r="BR475" s="5">
        <v>1713</v>
      </c>
    </row>
    <row r="476" s="1" customFormat="1" spans="1:70">
      <c r="A476" s="1" t="s">
        <v>1410</v>
      </c>
      <c r="B476" s="1" t="s">
        <v>1411</v>
      </c>
      <c r="D476" s="4">
        <v>44982</v>
      </c>
      <c r="E476" s="4">
        <v>45012</v>
      </c>
      <c r="F476" s="7">
        <v>17409</v>
      </c>
      <c r="G476" s="1">
        <v>36</v>
      </c>
      <c r="H476" s="1">
        <v>9</v>
      </c>
      <c r="I476" s="1">
        <v>60</v>
      </c>
      <c r="J476" s="1">
        <v>9</v>
      </c>
      <c r="K476" s="1">
        <v>35</v>
      </c>
      <c r="M476" s="1">
        <v>1.37</v>
      </c>
      <c r="N476" s="1">
        <v>19.2</v>
      </c>
      <c r="O476" s="7">
        <v>17409</v>
      </c>
      <c r="P476" s="4">
        <v>44982</v>
      </c>
      <c r="Q476" s="4">
        <v>45012</v>
      </c>
      <c r="R476" s="1" t="s">
        <v>80</v>
      </c>
      <c r="AO476" s="7">
        <v>17409</v>
      </c>
      <c r="AP476" s="5" t="s">
        <v>306</v>
      </c>
      <c r="AQ476" s="5" t="s">
        <v>89</v>
      </c>
      <c r="AR476" s="5" t="s">
        <v>1412</v>
      </c>
      <c r="AS476" s="5" t="s">
        <v>1413</v>
      </c>
      <c r="AT476" s="5" t="s">
        <v>243</v>
      </c>
      <c r="AU476" s="5" t="s">
        <v>613</v>
      </c>
      <c r="AV476" s="5" t="s">
        <v>1172</v>
      </c>
      <c r="AW476" s="5" t="s">
        <v>661</v>
      </c>
      <c r="AX476" s="5" t="s">
        <v>533</v>
      </c>
      <c r="AY476" s="5" t="s">
        <v>125</v>
      </c>
      <c r="AZ476" s="5" t="s">
        <v>306</v>
      </c>
      <c r="BA476" s="5" t="s">
        <v>76</v>
      </c>
      <c r="BB476" s="12" t="s">
        <v>76</v>
      </c>
      <c r="BC476" s="5" t="s">
        <v>1414</v>
      </c>
      <c r="BD476" s="5" t="s">
        <v>89</v>
      </c>
      <c r="BE476" s="5" t="s">
        <v>76</v>
      </c>
      <c r="BF476" s="5" t="s">
        <v>76</v>
      </c>
      <c r="BG476" s="15">
        <v>36</v>
      </c>
      <c r="BH476" s="5" t="s">
        <v>76</v>
      </c>
      <c r="BI476" s="5" t="s">
        <v>215</v>
      </c>
      <c r="BJ476" s="5" t="s">
        <v>769</v>
      </c>
      <c r="BK476" s="5" t="s">
        <v>798</v>
      </c>
      <c r="BL476" s="5" t="s">
        <v>245</v>
      </c>
      <c r="BM476" s="5" t="s">
        <v>140</v>
      </c>
      <c r="BN476" s="5">
        <v>175</v>
      </c>
      <c r="BO476" s="5">
        <f t="shared" si="7"/>
        <v>26.1224489795918</v>
      </c>
      <c r="BP476" s="5" t="s">
        <v>1415</v>
      </c>
      <c r="BQ476" s="5" t="s">
        <v>76</v>
      </c>
      <c r="BR476" s="5" t="s">
        <v>118</v>
      </c>
    </row>
    <row r="477" s="1" customFormat="1" spans="1:70">
      <c r="A477" s="1">
        <v>3496302</v>
      </c>
      <c r="B477" s="1" t="s">
        <v>1416</v>
      </c>
      <c r="D477" s="4">
        <v>45261</v>
      </c>
      <c r="E477" s="4">
        <v>45275</v>
      </c>
      <c r="F477" s="7">
        <v>17428</v>
      </c>
      <c r="G477" s="1">
        <v>47</v>
      </c>
      <c r="H477" s="1">
        <v>9</v>
      </c>
      <c r="I477" s="1">
        <v>46</v>
      </c>
      <c r="J477" s="1">
        <v>9</v>
      </c>
      <c r="K477" s="1">
        <v>48</v>
      </c>
      <c r="L477" s="1">
        <v>24</v>
      </c>
      <c r="N477" s="1">
        <v>20.3</v>
      </c>
      <c r="O477" s="7">
        <v>17428</v>
      </c>
      <c r="P477" s="4">
        <v>45261</v>
      </c>
      <c r="Q477" s="4">
        <v>45275</v>
      </c>
      <c r="R477" s="1" t="s">
        <v>73</v>
      </c>
      <c r="AO477" s="7">
        <v>17428</v>
      </c>
      <c r="AP477" s="5">
        <v>9.9</v>
      </c>
      <c r="AQ477" s="5">
        <v>88</v>
      </c>
      <c r="AR477" s="5">
        <v>36.8</v>
      </c>
      <c r="AS477" s="5" t="s">
        <v>374</v>
      </c>
      <c r="AT477" s="5">
        <v>27</v>
      </c>
      <c r="AU477" s="5">
        <v>20</v>
      </c>
      <c r="AV477" s="5">
        <v>46.5</v>
      </c>
      <c r="AW477" s="5">
        <v>9.81</v>
      </c>
      <c r="AX477" s="5">
        <v>99</v>
      </c>
      <c r="AY477" s="5">
        <v>57.6</v>
      </c>
      <c r="AZ477" s="5">
        <v>9.59</v>
      </c>
      <c r="BA477" s="5">
        <v>3.36</v>
      </c>
      <c r="BB477" s="12" t="s">
        <v>76</v>
      </c>
      <c r="BC477" s="5">
        <v>5.37</v>
      </c>
      <c r="BD477" s="5">
        <v>88</v>
      </c>
      <c r="BE477" s="5">
        <v>1.01</v>
      </c>
      <c r="BF477" s="5">
        <v>1.54</v>
      </c>
      <c r="BG477" s="15">
        <v>36.5</v>
      </c>
      <c r="BH477" s="5">
        <v>102</v>
      </c>
      <c r="BI477" s="5">
        <v>132</v>
      </c>
      <c r="BJ477" s="5">
        <v>24</v>
      </c>
      <c r="BK477" s="5">
        <v>98</v>
      </c>
      <c r="BL477" s="5">
        <v>62</v>
      </c>
      <c r="BM477" s="5">
        <v>66</v>
      </c>
      <c r="BN477" s="5">
        <v>150</v>
      </c>
      <c r="BO477" s="5">
        <f t="shared" si="7"/>
        <v>29.3333333333333</v>
      </c>
      <c r="BP477" s="5" t="s">
        <v>271</v>
      </c>
      <c r="BQ477" s="5">
        <v>7.6</v>
      </c>
      <c r="BR477" s="5">
        <v>9966</v>
      </c>
    </row>
    <row r="478" s="1" customFormat="1" spans="1:70">
      <c r="A478" s="1">
        <v>3310156</v>
      </c>
      <c r="B478" s="1" t="s">
        <v>1417</v>
      </c>
      <c r="D478" s="4">
        <v>45005</v>
      </c>
      <c r="E478" s="4">
        <v>45015</v>
      </c>
      <c r="F478" s="7">
        <v>17429</v>
      </c>
      <c r="G478" s="1">
        <v>42</v>
      </c>
      <c r="H478" s="1">
        <v>9</v>
      </c>
      <c r="I478" s="1">
        <v>71</v>
      </c>
      <c r="J478" s="1">
        <v>9</v>
      </c>
      <c r="K478" s="1">
        <v>33</v>
      </c>
      <c r="L478" s="1">
        <v>16</v>
      </c>
      <c r="M478" s="1">
        <v>0.72</v>
      </c>
      <c r="N478" s="1">
        <v>9.7</v>
      </c>
      <c r="O478" s="7">
        <v>17429</v>
      </c>
      <c r="P478" s="4">
        <v>45005</v>
      </c>
      <c r="Q478" s="4">
        <v>45015</v>
      </c>
      <c r="R478" s="1" t="s">
        <v>80</v>
      </c>
      <c r="AO478" s="7">
        <v>17429</v>
      </c>
      <c r="AP478" s="5">
        <v>6.2</v>
      </c>
      <c r="AQ478" s="5">
        <v>143</v>
      </c>
      <c r="AR478" s="5">
        <v>44.8</v>
      </c>
      <c r="AS478" s="5">
        <v>1.9</v>
      </c>
      <c r="AT478" s="5">
        <v>16</v>
      </c>
      <c r="AU478" s="5">
        <v>13</v>
      </c>
      <c r="AV478" s="5">
        <v>43</v>
      </c>
      <c r="AW478" s="5">
        <v>7.13</v>
      </c>
      <c r="AX478" s="5">
        <v>86</v>
      </c>
      <c r="AY478" s="5" t="s">
        <v>76</v>
      </c>
      <c r="AZ478" s="5" t="s">
        <v>75</v>
      </c>
      <c r="BA478" s="5">
        <v>2.53</v>
      </c>
      <c r="BB478" s="12" t="s">
        <v>76</v>
      </c>
      <c r="BC478" s="5">
        <v>4.61</v>
      </c>
      <c r="BD478" s="5">
        <v>143</v>
      </c>
      <c r="BE478" s="5">
        <v>0.88</v>
      </c>
      <c r="BF478" s="5">
        <v>1.02</v>
      </c>
      <c r="BG478" s="15">
        <v>36.6</v>
      </c>
      <c r="BH478" s="5">
        <v>90</v>
      </c>
      <c r="BI478" s="5">
        <v>90</v>
      </c>
      <c r="BJ478" s="5">
        <v>18</v>
      </c>
      <c r="BK478" s="5">
        <v>124</v>
      </c>
      <c r="BL478" s="5">
        <v>86</v>
      </c>
      <c r="BM478" s="5">
        <v>65</v>
      </c>
      <c r="BN478" s="5">
        <v>160</v>
      </c>
      <c r="BO478" s="5">
        <f t="shared" si="7"/>
        <v>25.390625</v>
      </c>
      <c r="BP478" s="5" t="s">
        <v>457</v>
      </c>
      <c r="BQ478" s="5">
        <v>6.9</v>
      </c>
      <c r="BR478" s="5">
        <v>1759</v>
      </c>
    </row>
    <row r="479" s="1" customFormat="1" spans="1:70">
      <c r="A479" s="1">
        <v>3337032</v>
      </c>
      <c r="B479" s="1" t="s">
        <v>1418</v>
      </c>
      <c r="D479" s="4">
        <v>45041</v>
      </c>
      <c r="E479" s="4">
        <v>45044</v>
      </c>
      <c r="F479" s="7">
        <v>17431</v>
      </c>
      <c r="G479" s="1">
        <v>43</v>
      </c>
      <c r="H479" s="1">
        <v>9</v>
      </c>
      <c r="I479" s="1">
        <v>63</v>
      </c>
      <c r="J479" s="1">
        <v>9</v>
      </c>
      <c r="K479" s="1">
        <v>33</v>
      </c>
      <c r="L479" s="1">
        <v>16</v>
      </c>
      <c r="M479" s="1">
        <v>0.83</v>
      </c>
      <c r="N479" s="1">
        <v>17.8</v>
      </c>
      <c r="O479" s="7">
        <v>17431</v>
      </c>
      <c r="P479" s="4">
        <v>45041</v>
      </c>
      <c r="Q479" s="4">
        <v>45044</v>
      </c>
      <c r="R479" s="1" t="s">
        <v>73</v>
      </c>
      <c r="AO479" s="7">
        <v>17431</v>
      </c>
      <c r="AP479" s="5">
        <v>6.7</v>
      </c>
      <c r="AQ479" s="5">
        <v>139</v>
      </c>
      <c r="AR479" s="5">
        <v>45.6</v>
      </c>
      <c r="AS479" s="5" t="s">
        <v>76</v>
      </c>
      <c r="AT479" s="5">
        <v>38</v>
      </c>
      <c r="AU479" s="5">
        <v>35</v>
      </c>
      <c r="AV479" s="5">
        <v>41.9</v>
      </c>
      <c r="AW479" s="5">
        <v>8.74</v>
      </c>
      <c r="AX479" s="5">
        <v>46</v>
      </c>
      <c r="AY479" s="5" t="s">
        <v>125</v>
      </c>
      <c r="AZ479" s="5">
        <v>5.3</v>
      </c>
      <c r="BA479" s="5">
        <v>4.42</v>
      </c>
      <c r="BB479" s="12" t="s">
        <v>76</v>
      </c>
      <c r="BC479" s="5">
        <v>3.78</v>
      </c>
      <c r="BD479" s="5">
        <v>139</v>
      </c>
      <c r="BE479" s="5">
        <v>1.56</v>
      </c>
      <c r="BF479" s="5">
        <v>2.23</v>
      </c>
      <c r="BG479" s="15">
        <v>36.5</v>
      </c>
      <c r="BH479" s="5">
        <v>94</v>
      </c>
      <c r="BI479" s="5">
        <v>94</v>
      </c>
      <c r="BJ479" s="5">
        <v>18</v>
      </c>
      <c r="BK479" s="5">
        <v>145</v>
      </c>
      <c r="BL479" s="5">
        <v>99</v>
      </c>
      <c r="BM479" s="5">
        <v>45</v>
      </c>
      <c r="BN479" s="5">
        <v>155</v>
      </c>
      <c r="BO479" s="5">
        <f t="shared" si="7"/>
        <v>18.7304890738814</v>
      </c>
      <c r="BP479" s="5" t="s">
        <v>107</v>
      </c>
      <c r="BQ479" s="5">
        <v>6</v>
      </c>
      <c r="BR479" s="5">
        <v>3834.02</v>
      </c>
    </row>
    <row r="480" s="1" customFormat="1" spans="1:70">
      <c r="A480" s="1">
        <v>3515181</v>
      </c>
      <c r="B480" s="1" t="s">
        <v>1419</v>
      </c>
      <c r="D480" s="4">
        <v>45287</v>
      </c>
      <c r="E480" s="4">
        <v>45299</v>
      </c>
      <c r="F480" s="7">
        <v>17441</v>
      </c>
      <c r="G480" s="1">
        <v>40</v>
      </c>
      <c r="H480" s="1">
        <v>9</v>
      </c>
      <c r="I480" s="1">
        <v>50</v>
      </c>
      <c r="J480" s="1">
        <v>9</v>
      </c>
      <c r="K480" s="1">
        <v>53</v>
      </c>
      <c r="L480" s="1">
        <v>28</v>
      </c>
      <c r="M480" s="1">
        <v>0.75</v>
      </c>
      <c r="N480" s="1">
        <v>17.4</v>
      </c>
      <c r="O480" s="7">
        <v>17441</v>
      </c>
      <c r="P480" s="4">
        <v>45287</v>
      </c>
      <c r="Q480" s="4">
        <v>45299</v>
      </c>
      <c r="R480" s="1" t="s">
        <v>80</v>
      </c>
      <c r="AO480" s="7">
        <v>17441</v>
      </c>
      <c r="AP480" s="5">
        <v>6.8</v>
      </c>
      <c r="AQ480" s="5">
        <v>91</v>
      </c>
      <c r="AR480" s="5">
        <v>28.5</v>
      </c>
      <c r="AS480" s="5">
        <v>39.6</v>
      </c>
      <c r="AT480" s="5">
        <v>67</v>
      </c>
      <c r="AU480" s="5">
        <v>72</v>
      </c>
      <c r="AV480" s="5">
        <v>35.1</v>
      </c>
      <c r="AW480" s="5">
        <v>6.72</v>
      </c>
      <c r="AX480" s="5">
        <v>55</v>
      </c>
      <c r="AY480" s="5" t="s">
        <v>125</v>
      </c>
      <c r="AZ480" s="5" t="s">
        <v>75</v>
      </c>
      <c r="BA480" s="5" t="s">
        <v>76</v>
      </c>
      <c r="BB480" s="12" t="s">
        <v>76</v>
      </c>
      <c r="BC480" s="5">
        <v>4.45</v>
      </c>
      <c r="BD480" s="5">
        <v>91</v>
      </c>
      <c r="BE480" s="5" t="s">
        <v>76</v>
      </c>
      <c r="BF480" s="5" t="s">
        <v>76</v>
      </c>
      <c r="BG480" s="15">
        <v>36</v>
      </c>
      <c r="BH480" s="5">
        <v>78</v>
      </c>
      <c r="BI480" s="5">
        <v>78</v>
      </c>
      <c r="BJ480" s="5">
        <v>23</v>
      </c>
      <c r="BK480" s="5">
        <v>107</v>
      </c>
      <c r="BL480" s="5">
        <v>69</v>
      </c>
      <c r="BM480" s="5" t="s">
        <v>274</v>
      </c>
      <c r="BN480" s="5" t="s">
        <v>274</v>
      </c>
      <c r="BO480" s="5" t="e">
        <f t="shared" si="7"/>
        <v>#VALUE!</v>
      </c>
      <c r="BP480" s="5" t="s">
        <v>109</v>
      </c>
      <c r="BQ480" s="5" t="s">
        <v>76</v>
      </c>
      <c r="BR480" s="5">
        <v>8942</v>
      </c>
    </row>
    <row r="481" s="1" customFormat="1" spans="1:70">
      <c r="A481" s="1">
        <v>3249951</v>
      </c>
      <c r="B481" s="1" t="s">
        <v>1420</v>
      </c>
      <c r="D481" s="4">
        <v>44902</v>
      </c>
      <c r="E481" s="4">
        <v>44912</v>
      </c>
      <c r="F481" s="7">
        <v>17450</v>
      </c>
      <c r="G481" s="1">
        <v>48</v>
      </c>
      <c r="H481" s="1">
        <v>10</v>
      </c>
      <c r="I481" s="1">
        <v>51</v>
      </c>
      <c r="J481" s="1">
        <v>10</v>
      </c>
      <c r="K481" s="1">
        <v>61</v>
      </c>
      <c r="L481" s="1">
        <v>33</v>
      </c>
      <c r="M481" s="1">
        <v>1.93</v>
      </c>
      <c r="N481" s="1">
        <v>12.4</v>
      </c>
      <c r="O481" s="7">
        <v>17450</v>
      </c>
      <c r="P481" s="4">
        <v>44902</v>
      </c>
      <c r="Q481" s="4">
        <v>44912</v>
      </c>
      <c r="R481" s="1" t="s">
        <v>80</v>
      </c>
      <c r="AO481" s="7">
        <v>17450</v>
      </c>
      <c r="AP481" s="5">
        <v>611.3</v>
      </c>
      <c r="AQ481" s="5">
        <v>147</v>
      </c>
      <c r="AR481" s="5">
        <v>44.8</v>
      </c>
      <c r="AS481" s="5">
        <v>2.8</v>
      </c>
      <c r="AT481" s="5">
        <v>27</v>
      </c>
      <c r="AU481" s="5">
        <v>11</v>
      </c>
      <c r="AV481" s="5">
        <v>42.7</v>
      </c>
      <c r="AW481" s="5">
        <v>5.4</v>
      </c>
      <c r="AX481" s="5">
        <v>67</v>
      </c>
      <c r="AY481" s="5">
        <v>106.62</v>
      </c>
      <c r="AZ481" s="5" t="s">
        <v>75</v>
      </c>
      <c r="BA481" s="5">
        <v>4.33</v>
      </c>
      <c r="BB481" s="12" t="s">
        <v>76</v>
      </c>
      <c r="BC481" s="5">
        <v>3.48</v>
      </c>
      <c r="BD481" s="5">
        <v>147</v>
      </c>
      <c r="BE481" s="5">
        <v>0.93</v>
      </c>
      <c r="BF481" s="5">
        <v>2.73</v>
      </c>
      <c r="BG481" s="15">
        <v>36.6</v>
      </c>
      <c r="BH481" s="5">
        <v>60</v>
      </c>
      <c r="BI481" s="5">
        <v>60</v>
      </c>
      <c r="BJ481" s="5">
        <v>20</v>
      </c>
      <c r="BK481" s="5">
        <v>160</v>
      </c>
      <c r="BL481" s="5">
        <v>84</v>
      </c>
      <c r="BM481" s="5">
        <v>65</v>
      </c>
      <c r="BN481" s="5">
        <v>170</v>
      </c>
      <c r="BO481" s="5">
        <f t="shared" si="7"/>
        <v>22.4913494809689</v>
      </c>
      <c r="BP481" s="5" t="s">
        <v>78</v>
      </c>
      <c r="BQ481" s="5">
        <v>6.9</v>
      </c>
      <c r="BR481" s="5">
        <v>3740</v>
      </c>
    </row>
    <row r="482" s="1" customFormat="1" spans="1:70">
      <c r="A482" s="1">
        <v>3503398</v>
      </c>
      <c r="B482" s="1" t="s">
        <v>1421</v>
      </c>
      <c r="C482" s="1">
        <v>1</v>
      </c>
      <c r="D482" s="4">
        <v>45271</v>
      </c>
      <c r="E482" s="4">
        <v>45274</v>
      </c>
      <c r="F482" s="7">
        <v>17451</v>
      </c>
      <c r="G482" s="1">
        <v>33</v>
      </c>
      <c r="H482" s="1">
        <v>8</v>
      </c>
      <c r="I482" s="1">
        <v>49</v>
      </c>
      <c r="J482" s="1">
        <v>8</v>
      </c>
      <c r="K482" s="1">
        <v>41</v>
      </c>
      <c r="L482" s="1">
        <v>20</v>
      </c>
      <c r="M482" s="1">
        <v>1.62</v>
      </c>
      <c r="N482" s="1">
        <v>26.3</v>
      </c>
      <c r="O482" s="7">
        <v>17451</v>
      </c>
      <c r="P482" s="4">
        <v>45271</v>
      </c>
      <c r="Q482" s="4">
        <v>45274</v>
      </c>
      <c r="R482" s="1" t="s">
        <v>73</v>
      </c>
      <c r="AO482" s="7">
        <v>17451</v>
      </c>
      <c r="AP482" s="5">
        <v>7.9</v>
      </c>
      <c r="AQ482" s="5">
        <v>97</v>
      </c>
      <c r="AR482" s="5">
        <v>27.9</v>
      </c>
      <c r="AS482" s="5">
        <v>96.9</v>
      </c>
      <c r="AT482" s="5" t="s">
        <v>1422</v>
      </c>
      <c r="AU482" s="5">
        <v>2651</v>
      </c>
      <c r="AV482" s="5">
        <v>35.4</v>
      </c>
      <c r="AW482" s="5">
        <v>9.7</v>
      </c>
      <c r="AX482" s="5">
        <v>52</v>
      </c>
      <c r="AY482" s="5" t="s">
        <v>76</v>
      </c>
      <c r="AZ482" s="5">
        <v>9.84</v>
      </c>
      <c r="BA482" s="5">
        <v>4.38</v>
      </c>
      <c r="BB482" s="12" t="s">
        <v>76</v>
      </c>
      <c r="BC482" s="5">
        <v>4.05</v>
      </c>
      <c r="BD482" s="5">
        <v>97</v>
      </c>
      <c r="BE482" s="5" t="s">
        <v>76</v>
      </c>
      <c r="BF482" s="5" t="s">
        <v>76</v>
      </c>
      <c r="BG482" s="15">
        <v>36.5</v>
      </c>
      <c r="BH482" s="5">
        <v>98</v>
      </c>
      <c r="BI482" s="5">
        <v>98</v>
      </c>
      <c r="BJ482" s="5">
        <v>24</v>
      </c>
      <c r="BK482" s="5">
        <v>114</v>
      </c>
      <c r="BL482" s="5">
        <v>65</v>
      </c>
      <c r="BM482" s="5">
        <v>0</v>
      </c>
      <c r="BN482" s="5">
        <v>0</v>
      </c>
      <c r="BO482" s="5" t="e">
        <f t="shared" si="7"/>
        <v>#DIV/0!</v>
      </c>
      <c r="BP482" s="5" t="s">
        <v>622</v>
      </c>
      <c r="BQ482" s="5" t="s">
        <v>76</v>
      </c>
      <c r="BR482" s="5" t="s">
        <v>1423</v>
      </c>
    </row>
    <row r="483" s="1" customFormat="1" spans="1:70">
      <c r="A483" s="1">
        <v>3313601</v>
      </c>
      <c r="B483" s="1" t="s">
        <v>1424</v>
      </c>
      <c r="D483" s="4">
        <v>45008</v>
      </c>
      <c r="E483" s="4">
        <v>45013</v>
      </c>
      <c r="F483" s="7">
        <v>17460</v>
      </c>
      <c r="G483" s="1">
        <v>40</v>
      </c>
      <c r="H483" s="1">
        <v>8</v>
      </c>
      <c r="I483" s="1">
        <v>47</v>
      </c>
      <c r="J483" s="1">
        <v>8</v>
      </c>
      <c r="K483" s="1">
        <v>61</v>
      </c>
      <c r="L483" s="1">
        <v>33</v>
      </c>
      <c r="M483" s="1">
        <v>1.62</v>
      </c>
      <c r="N483" s="1">
        <v>11</v>
      </c>
      <c r="O483" s="7">
        <v>17460</v>
      </c>
      <c r="P483" s="4">
        <v>45008</v>
      </c>
      <c r="Q483" s="4">
        <v>45013</v>
      </c>
      <c r="R483" s="1" t="s">
        <v>73</v>
      </c>
      <c r="S483" s="1">
        <v>75</v>
      </c>
      <c r="T483" s="1" t="s">
        <v>1425</v>
      </c>
      <c r="Y483" s="1">
        <v>1</v>
      </c>
      <c r="AC483" s="1">
        <v>1</v>
      </c>
      <c r="AG483" s="1">
        <v>1</v>
      </c>
      <c r="AH483" s="1">
        <v>1</v>
      </c>
      <c r="AO483" s="7">
        <v>17460</v>
      </c>
      <c r="AP483" s="5">
        <v>35</v>
      </c>
      <c r="AQ483" s="5" t="s">
        <v>76</v>
      </c>
      <c r="AR483" s="5" t="s">
        <v>76</v>
      </c>
      <c r="AS483" s="5" t="s">
        <v>76</v>
      </c>
      <c r="AT483" s="5" t="s">
        <v>76</v>
      </c>
      <c r="AU483" s="5" t="s">
        <v>76</v>
      </c>
      <c r="AV483" s="5" t="s">
        <v>76</v>
      </c>
      <c r="AW483" s="5">
        <v>5.59</v>
      </c>
      <c r="AX483" s="5">
        <v>49</v>
      </c>
      <c r="AY483" s="5">
        <v>113.52</v>
      </c>
      <c r="AZ483" s="5" t="s">
        <v>75</v>
      </c>
      <c r="BA483" s="5">
        <v>4.9</v>
      </c>
      <c r="BB483" s="12" t="s">
        <v>76</v>
      </c>
      <c r="BC483" s="5" t="s">
        <v>76</v>
      </c>
      <c r="BD483" s="5" t="s">
        <v>76</v>
      </c>
      <c r="BE483" s="5">
        <v>1.01</v>
      </c>
      <c r="BF483" s="5">
        <v>3.46</v>
      </c>
      <c r="BG483" s="15">
        <v>36.5</v>
      </c>
      <c r="BH483" s="5">
        <v>81</v>
      </c>
      <c r="BI483" s="5">
        <v>81</v>
      </c>
      <c r="BJ483" s="5">
        <v>19</v>
      </c>
      <c r="BK483" s="5">
        <v>167</v>
      </c>
      <c r="BL483" s="5">
        <v>105</v>
      </c>
      <c r="BM483" s="5">
        <v>60</v>
      </c>
      <c r="BN483" s="5">
        <v>158</v>
      </c>
      <c r="BO483" s="5">
        <f t="shared" si="7"/>
        <v>24.034609838167</v>
      </c>
      <c r="BP483" s="5" t="s">
        <v>161</v>
      </c>
      <c r="BQ483" s="5" t="s">
        <v>76</v>
      </c>
      <c r="BR483" s="5">
        <v>906</v>
      </c>
    </row>
    <row r="484" s="1" customFormat="1" spans="1:70">
      <c r="A484" s="1">
        <v>3248679</v>
      </c>
      <c r="B484" s="1" t="s">
        <v>1426</v>
      </c>
      <c r="D484" s="4">
        <v>44898</v>
      </c>
      <c r="E484" s="4">
        <v>44946</v>
      </c>
      <c r="F484" s="7">
        <v>17464</v>
      </c>
      <c r="G484" s="1">
        <v>31</v>
      </c>
      <c r="H484" s="1">
        <v>10</v>
      </c>
      <c r="I484" s="1">
        <v>46</v>
      </c>
      <c r="J484" s="1">
        <v>10</v>
      </c>
      <c r="K484" s="1">
        <v>64</v>
      </c>
      <c r="L484" s="1">
        <v>34</v>
      </c>
      <c r="M484" s="1">
        <v>0.84</v>
      </c>
      <c r="N484" s="1">
        <v>6.9</v>
      </c>
      <c r="O484" s="7">
        <v>17464</v>
      </c>
      <c r="P484" s="4">
        <v>44898</v>
      </c>
      <c r="Q484" s="4">
        <v>44946</v>
      </c>
      <c r="R484" s="1" t="s">
        <v>80</v>
      </c>
      <c r="S484" s="1">
        <v>75</v>
      </c>
      <c r="T484" s="1" t="s">
        <v>1427</v>
      </c>
      <c r="AC484" s="1">
        <v>1</v>
      </c>
      <c r="AM484" s="1">
        <v>1</v>
      </c>
      <c r="AO484" s="7">
        <v>17464</v>
      </c>
      <c r="AP484" s="5">
        <v>9.6</v>
      </c>
      <c r="AQ484" s="5">
        <v>96</v>
      </c>
      <c r="AR484" s="5">
        <v>39.8</v>
      </c>
      <c r="AS484" s="5">
        <v>7.3</v>
      </c>
      <c r="AT484" s="5">
        <v>94</v>
      </c>
      <c r="AU484" s="5">
        <v>97</v>
      </c>
      <c r="AV484" s="5">
        <v>43.2</v>
      </c>
      <c r="AW484" s="5">
        <v>9.85</v>
      </c>
      <c r="AX484" s="5">
        <v>91</v>
      </c>
      <c r="AY484" s="5" t="s">
        <v>125</v>
      </c>
      <c r="AZ484" s="5" t="s">
        <v>75</v>
      </c>
      <c r="BA484" s="5">
        <v>8.38</v>
      </c>
      <c r="BB484" s="12" t="s">
        <v>76</v>
      </c>
      <c r="BC484" s="5">
        <v>5.13</v>
      </c>
      <c r="BD484" s="5">
        <v>96</v>
      </c>
      <c r="BE484" s="5">
        <v>1.14</v>
      </c>
      <c r="BF484" s="5">
        <v>3.21</v>
      </c>
      <c r="BG484" s="15">
        <v>36.6</v>
      </c>
      <c r="BH484" s="5">
        <v>70</v>
      </c>
      <c r="BI484" s="5" t="s">
        <v>76</v>
      </c>
      <c r="BJ484" s="5">
        <v>16</v>
      </c>
      <c r="BK484" s="5">
        <v>136</v>
      </c>
      <c r="BL484" s="5">
        <v>78</v>
      </c>
      <c r="BM484" s="5">
        <v>83</v>
      </c>
      <c r="BN484" s="5">
        <v>175</v>
      </c>
      <c r="BO484" s="5">
        <f t="shared" si="7"/>
        <v>27.1020408163265</v>
      </c>
      <c r="BP484" s="5" t="s">
        <v>174</v>
      </c>
      <c r="BQ484" s="5" t="s">
        <v>76</v>
      </c>
      <c r="BR484" s="5">
        <v>916</v>
      </c>
    </row>
    <row r="485" s="1" customFormat="1" spans="1:70">
      <c r="A485" s="1">
        <v>3242618</v>
      </c>
      <c r="B485" s="1" t="s">
        <v>1428</v>
      </c>
      <c r="D485" s="4">
        <v>44887</v>
      </c>
      <c r="E485" s="4">
        <v>44894</v>
      </c>
      <c r="F485" s="7">
        <v>17473</v>
      </c>
      <c r="G485" s="1">
        <v>46</v>
      </c>
      <c r="H485" s="1">
        <v>9</v>
      </c>
      <c r="I485" s="1">
        <v>46</v>
      </c>
      <c r="J485" s="1">
        <v>9</v>
      </c>
      <c r="K485" s="1">
        <v>58</v>
      </c>
      <c r="L485" s="1">
        <v>30</v>
      </c>
      <c r="N485" s="1">
        <v>11.5</v>
      </c>
      <c r="O485" s="7">
        <v>17473</v>
      </c>
      <c r="P485" s="4">
        <v>44887</v>
      </c>
      <c r="Q485" s="4">
        <v>44894</v>
      </c>
      <c r="R485" s="1" t="s">
        <v>73</v>
      </c>
      <c r="AO485" s="7">
        <v>17473</v>
      </c>
      <c r="AP485" s="5">
        <v>6.1</v>
      </c>
      <c r="AQ485" s="5">
        <v>140</v>
      </c>
      <c r="AR485" s="5">
        <v>47.5</v>
      </c>
      <c r="AS485" s="5">
        <v>12.9</v>
      </c>
      <c r="AT485" s="5">
        <v>22</v>
      </c>
      <c r="AU485" s="5">
        <v>30</v>
      </c>
      <c r="AV485" s="5">
        <v>44.3</v>
      </c>
      <c r="AW485" s="5">
        <v>8.74</v>
      </c>
      <c r="AX485" s="5">
        <v>98</v>
      </c>
      <c r="AY485" s="5">
        <v>51.01</v>
      </c>
      <c r="AZ485" s="5" t="s">
        <v>75</v>
      </c>
      <c r="BA485" s="5">
        <v>2.49</v>
      </c>
      <c r="BB485" s="12" t="s">
        <v>76</v>
      </c>
      <c r="BC485" s="5">
        <v>4.29</v>
      </c>
      <c r="BD485" s="5">
        <v>140</v>
      </c>
      <c r="BE485" s="5">
        <v>0.64</v>
      </c>
      <c r="BF485" s="5">
        <v>1.18</v>
      </c>
      <c r="BG485" s="15">
        <v>36.6</v>
      </c>
      <c r="BH485" s="5" t="s">
        <v>76</v>
      </c>
      <c r="BI485" s="5">
        <v>60</v>
      </c>
      <c r="BJ485" s="5">
        <v>17</v>
      </c>
      <c r="BK485" s="5">
        <v>129</v>
      </c>
      <c r="BL485" s="5">
        <v>74</v>
      </c>
      <c r="BM485" s="5">
        <v>92</v>
      </c>
      <c r="BN485" s="5">
        <v>160</v>
      </c>
      <c r="BO485" s="5">
        <f t="shared" si="7"/>
        <v>35.9375</v>
      </c>
      <c r="BP485" s="5" t="s">
        <v>78</v>
      </c>
      <c r="BQ485" s="5">
        <v>6.8</v>
      </c>
      <c r="BR485" s="5">
        <v>3594</v>
      </c>
    </row>
    <row r="486" s="1" customFormat="1" spans="1:70">
      <c r="A486" s="1">
        <v>3507577</v>
      </c>
      <c r="B486" s="1" t="s">
        <v>1429</v>
      </c>
      <c r="D486" s="4">
        <v>45278</v>
      </c>
      <c r="E486" s="4">
        <v>45295</v>
      </c>
      <c r="F486" s="7">
        <v>17497</v>
      </c>
      <c r="G486" s="1">
        <v>41</v>
      </c>
      <c r="H486" s="1">
        <v>10</v>
      </c>
      <c r="I486" s="1">
        <v>48</v>
      </c>
      <c r="J486" s="1">
        <v>10</v>
      </c>
      <c r="K486" s="1">
        <v>57</v>
      </c>
      <c r="L486" s="1">
        <v>30</v>
      </c>
      <c r="N486" s="1">
        <v>14.1</v>
      </c>
      <c r="O486" s="7">
        <v>17497</v>
      </c>
      <c r="P486" s="4">
        <v>45278</v>
      </c>
      <c r="Q486" s="4">
        <v>45295</v>
      </c>
      <c r="R486" s="1" t="s">
        <v>73</v>
      </c>
      <c r="AO486" s="7">
        <v>17497</v>
      </c>
      <c r="AP486" s="5">
        <v>6.6</v>
      </c>
      <c r="AQ486" s="5">
        <v>119</v>
      </c>
      <c r="AR486" s="5">
        <v>37.8</v>
      </c>
      <c r="AS486" s="5">
        <v>86.6</v>
      </c>
      <c r="AT486" s="5">
        <v>76</v>
      </c>
      <c r="AU486" s="5">
        <v>45</v>
      </c>
      <c r="AV486" s="5">
        <v>38.8</v>
      </c>
      <c r="AW486" s="5">
        <v>5</v>
      </c>
      <c r="AX486" s="5">
        <v>57</v>
      </c>
      <c r="AY486" s="5" t="s">
        <v>125</v>
      </c>
      <c r="AZ486" s="5">
        <v>6.29</v>
      </c>
      <c r="BA486" s="5">
        <v>3.6</v>
      </c>
      <c r="BB486" s="12" t="s">
        <v>76</v>
      </c>
      <c r="BC486" s="5">
        <v>3.72</v>
      </c>
      <c r="BD486" s="5">
        <v>119</v>
      </c>
      <c r="BE486" s="5">
        <v>0.62</v>
      </c>
      <c r="BF486" s="5">
        <v>2.11</v>
      </c>
      <c r="BG486" s="15">
        <v>36.3</v>
      </c>
      <c r="BH486" s="5">
        <v>78</v>
      </c>
      <c r="BI486" s="5">
        <v>78</v>
      </c>
      <c r="BJ486" s="5">
        <v>20</v>
      </c>
      <c r="BK486" s="5">
        <v>129</v>
      </c>
      <c r="BL486" s="5">
        <v>91</v>
      </c>
      <c r="BM486" s="5">
        <v>60</v>
      </c>
      <c r="BN486" s="5">
        <v>160</v>
      </c>
      <c r="BO486" s="5">
        <f t="shared" si="7"/>
        <v>23.4375</v>
      </c>
      <c r="BP486" s="5" t="s">
        <v>457</v>
      </c>
      <c r="BQ486" s="5" t="s">
        <v>76</v>
      </c>
      <c r="BR486" s="5">
        <v>2912</v>
      </c>
    </row>
    <row r="487" s="1" customFormat="1" spans="1:70">
      <c r="A487" s="1" t="s">
        <v>1430</v>
      </c>
      <c r="B487" s="1" t="s">
        <v>1431</v>
      </c>
      <c r="D487" s="4">
        <v>44984</v>
      </c>
      <c r="E487" s="4">
        <v>44987</v>
      </c>
      <c r="F487" s="7">
        <v>17498</v>
      </c>
      <c r="G487" s="1">
        <v>48</v>
      </c>
      <c r="H487" s="1">
        <v>10</v>
      </c>
      <c r="I487" s="1">
        <v>50</v>
      </c>
      <c r="J487" s="1">
        <v>10</v>
      </c>
      <c r="K487" s="1">
        <v>53</v>
      </c>
      <c r="L487" s="1">
        <v>28</v>
      </c>
      <c r="N487" s="1">
        <v>12</v>
      </c>
      <c r="O487" s="7">
        <v>17498</v>
      </c>
      <c r="P487" s="4">
        <v>44984</v>
      </c>
      <c r="Q487" s="4">
        <v>44987</v>
      </c>
      <c r="R487" s="1" t="s">
        <v>73</v>
      </c>
      <c r="AO487" s="7">
        <v>17498</v>
      </c>
      <c r="AP487" s="5" t="s">
        <v>227</v>
      </c>
      <c r="AQ487" s="5" t="s">
        <v>425</v>
      </c>
      <c r="AR487" s="5" t="s">
        <v>1432</v>
      </c>
      <c r="AS487" s="5" t="s">
        <v>76</v>
      </c>
      <c r="AT487" s="5" t="s">
        <v>649</v>
      </c>
      <c r="AU487" s="5" t="s">
        <v>248</v>
      </c>
      <c r="AV487" s="5" t="s">
        <v>405</v>
      </c>
      <c r="AW487" s="5" t="s">
        <v>1433</v>
      </c>
      <c r="AX487" s="5" t="s">
        <v>1434</v>
      </c>
      <c r="AY487" s="5" t="s">
        <v>1435</v>
      </c>
      <c r="AZ487" s="5" t="s">
        <v>76</v>
      </c>
      <c r="BA487" s="5" t="s">
        <v>76</v>
      </c>
      <c r="BB487" s="12" t="s">
        <v>76</v>
      </c>
      <c r="BC487" s="5" t="s">
        <v>1032</v>
      </c>
      <c r="BD487" s="5" t="s">
        <v>425</v>
      </c>
      <c r="BE487" s="5" t="s">
        <v>76</v>
      </c>
      <c r="BF487" s="5" t="s">
        <v>76</v>
      </c>
      <c r="BG487" s="15">
        <v>36.5</v>
      </c>
      <c r="BH487" s="5" t="s">
        <v>140</v>
      </c>
      <c r="BI487" s="5" t="s">
        <v>76</v>
      </c>
      <c r="BJ487" s="5" t="s">
        <v>101</v>
      </c>
      <c r="BK487" s="5" t="s">
        <v>500</v>
      </c>
      <c r="BL487" s="5" t="s">
        <v>140</v>
      </c>
      <c r="BM487" s="5" t="s">
        <v>468</v>
      </c>
      <c r="BN487" s="5">
        <v>156</v>
      </c>
      <c r="BO487" s="5">
        <f t="shared" si="7"/>
        <v>26.7094017094017</v>
      </c>
      <c r="BP487" s="5" t="s">
        <v>412</v>
      </c>
      <c r="BQ487" s="5" t="s">
        <v>76</v>
      </c>
      <c r="BR487" s="5">
        <v>17861</v>
      </c>
    </row>
    <row r="488" s="1" customFormat="1" spans="1:70">
      <c r="A488" s="1" t="s">
        <v>1436</v>
      </c>
      <c r="B488" s="1" t="s">
        <v>1431</v>
      </c>
      <c r="D488" s="4">
        <v>44954</v>
      </c>
      <c r="E488" s="4">
        <v>44965</v>
      </c>
      <c r="F488" s="7">
        <v>17498</v>
      </c>
      <c r="G488" s="1">
        <v>43</v>
      </c>
      <c r="H488" s="1">
        <v>9</v>
      </c>
      <c r="I488" s="1">
        <v>50</v>
      </c>
      <c r="J488" s="1">
        <v>10</v>
      </c>
      <c r="K488" s="1">
        <v>59</v>
      </c>
      <c r="L488" s="1">
        <v>31</v>
      </c>
      <c r="M488" s="1">
        <v>2.32</v>
      </c>
      <c r="N488" s="1">
        <v>18.3</v>
      </c>
      <c r="O488" s="7">
        <v>17498</v>
      </c>
      <c r="P488" s="4">
        <v>44954</v>
      </c>
      <c r="Q488" s="4">
        <v>44965</v>
      </c>
      <c r="R488" s="1" t="s">
        <v>73</v>
      </c>
      <c r="AO488" s="7">
        <v>17498</v>
      </c>
      <c r="AP488" s="5" t="s">
        <v>1437</v>
      </c>
      <c r="AQ488" s="5" t="s">
        <v>347</v>
      </c>
      <c r="AR488" s="5" t="s">
        <v>1438</v>
      </c>
      <c r="AS488" s="5" t="s">
        <v>76</v>
      </c>
      <c r="AT488" s="5" t="s">
        <v>96</v>
      </c>
      <c r="AU488" s="5" t="s">
        <v>599</v>
      </c>
      <c r="AV488" s="5" t="s">
        <v>1144</v>
      </c>
      <c r="AW488" s="5" t="s">
        <v>1439</v>
      </c>
      <c r="AX488" s="5" t="s">
        <v>1440</v>
      </c>
      <c r="AY488" s="5" t="s">
        <v>1441</v>
      </c>
      <c r="AZ488" s="5" t="s">
        <v>76</v>
      </c>
      <c r="BA488" s="5" t="s">
        <v>76</v>
      </c>
      <c r="BB488" s="12" t="s">
        <v>76</v>
      </c>
      <c r="BC488" s="5" t="s">
        <v>1442</v>
      </c>
      <c r="BD488" s="5" t="s">
        <v>347</v>
      </c>
      <c r="BE488" s="5" t="s">
        <v>76</v>
      </c>
      <c r="BF488" s="5" t="s">
        <v>76</v>
      </c>
      <c r="BG488" s="15">
        <v>36.3</v>
      </c>
      <c r="BH488" s="5" t="s">
        <v>419</v>
      </c>
      <c r="BI488" s="5" t="s">
        <v>76</v>
      </c>
      <c r="BJ488" s="5" t="s">
        <v>293</v>
      </c>
      <c r="BK488" s="5" t="s">
        <v>985</v>
      </c>
      <c r="BL488" s="5" t="s">
        <v>613</v>
      </c>
      <c r="BM488" s="5" t="s">
        <v>207</v>
      </c>
      <c r="BN488" s="5">
        <v>157</v>
      </c>
      <c r="BO488" s="5">
        <f t="shared" si="7"/>
        <v>27.5873260578522</v>
      </c>
      <c r="BP488" s="5" t="s">
        <v>412</v>
      </c>
      <c r="BQ488" s="5" t="s">
        <v>76</v>
      </c>
      <c r="BR488" s="5">
        <v>9149</v>
      </c>
    </row>
    <row r="489" s="1" customFormat="1" spans="1:70">
      <c r="A489" s="1">
        <v>3237781</v>
      </c>
      <c r="B489" s="1" t="s">
        <v>1443</v>
      </c>
      <c r="D489" s="4">
        <v>44879</v>
      </c>
      <c r="E489" s="4">
        <v>44896</v>
      </c>
      <c r="F489" s="7">
        <v>17506</v>
      </c>
      <c r="G489" s="1">
        <v>48</v>
      </c>
      <c r="H489" s="1">
        <v>8</v>
      </c>
      <c r="I489" s="1">
        <v>59</v>
      </c>
      <c r="J489" s="1">
        <v>8</v>
      </c>
      <c r="K489" s="1">
        <v>46</v>
      </c>
      <c r="L489" s="1">
        <v>24</v>
      </c>
      <c r="M489" s="1">
        <v>1.78</v>
      </c>
      <c r="N489" s="1">
        <v>14</v>
      </c>
      <c r="O489" s="7">
        <v>17506</v>
      </c>
      <c r="P489" s="4">
        <v>44879</v>
      </c>
      <c r="Q489" s="4">
        <v>44896</v>
      </c>
      <c r="R489" s="1" t="s">
        <v>80</v>
      </c>
      <c r="AO489" s="7">
        <v>17506</v>
      </c>
      <c r="AP489" s="5">
        <v>8.9</v>
      </c>
      <c r="AQ489" s="5">
        <v>147</v>
      </c>
      <c r="AR489" s="5">
        <v>45.8</v>
      </c>
      <c r="AS489" s="5">
        <v>9.3</v>
      </c>
      <c r="AT489" s="5">
        <v>33</v>
      </c>
      <c r="AU489" s="5">
        <v>27</v>
      </c>
      <c r="AV489" s="5">
        <v>42</v>
      </c>
      <c r="AW489" s="5">
        <v>7.7</v>
      </c>
      <c r="AX489" s="5">
        <v>96</v>
      </c>
      <c r="AY489" s="5">
        <v>70.6</v>
      </c>
      <c r="AZ489" s="5" t="s">
        <v>76</v>
      </c>
      <c r="BA489" s="5" t="s">
        <v>76</v>
      </c>
      <c r="BB489" s="12" t="s">
        <v>76</v>
      </c>
      <c r="BC489" s="5">
        <v>4.27</v>
      </c>
      <c r="BD489" s="5">
        <v>147</v>
      </c>
      <c r="BE489" s="5" t="s">
        <v>76</v>
      </c>
      <c r="BF489" s="5" t="s">
        <v>76</v>
      </c>
      <c r="BG489" s="15">
        <v>36.5</v>
      </c>
      <c r="BH489" s="5">
        <v>95</v>
      </c>
      <c r="BI489" s="5">
        <v>100</v>
      </c>
      <c r="BJ489" s="5">
        <v>14</v>
      </c>
      <c r="BK489" s="5">
        <v>130</v>
      </c>
      <c r="BL489" s="5">
        <v>98</v>
      </c>
      <c r="BM489" s="5">
        <v>70</v>
      </c>
      <c r="BN489" s="5">
        <v>170</v>
      </c>
      <c r="BO489" s="5">
        <f t="shared" si="7"/>
        <v>24.2214532871972</v>
      </c>
      <c r="BP489" s="5" t="s">
        <v>113</v>
      </c>
      <c r="BQ489" s="5" t="s">
        <v>76</v>
      </c>
      <c r="BR489" s="5">
        <v>7722</v>
      </c>
    </row>
    <row r="490" s="1" customFormat="1" spans="1:70">
      <c r="A490" s="1">
        <v>3304713</v>
      </c>
      <c r="B490" s="1" t="s">
        <v>1444</v>
      </c>
      <c r="D490" s="4">
        <v>44999</v>
      </c>
      <c r="E490" s="4">
        <v>45006</v>
      </c>
      <c r="F490" s="7">
        <v>17506</v>
      </c>
      <c r="G490" s="1">
        <v>29</v>
      </c>
      <c r="H490" s="1">
        <v>9</v>
      </c>
      <c r="I490" s="1">
        <v>36</v>
      </c>
      <c r="J490" s="1">
        <v>9</v>
      </c>
      <c r="K490" s="1">
        <v>68</v>
      </c>
      <c r="L490" s="1">
        <v>38</v>
      </c>
      <c r="M490" s="1">
        <v>0.61</v>
      </c>
      <c r="N490" s="1">
        <v>7.5</v>
      </c>
      <c r="O490" s="7">
        <v>17506</v>
      </c>
      <c r="P490" s="4">
        <v>44999</v>
      </c>
      <c r="Q490" s="4">
        <v>45006</v>
      </c>
      <c r="R490" s="1" t="s">
        <v>80</v>
      </c>
      <c r="AO490" s="7">
        <v>17506</v>
      </c>
      <c r="AP490" s="5">
        <v>6.7</v>
      </c>
      <c r="AQ490" s="5">
        <v>186</v>
      </c>
      <c r="AR490" s="5">
        <v>57.2</v>
      </c>
      <c r="AS490" s="5">
        <v>14.9</v>
      </c>
      <c r="AT490" s="5">
        <v>47</v>
      </c>
      <c r="AU490" s="5">
        <v>44</v>
      </c>
      <c r="AV490" s="5">
        <v>33.7</v>
      </c>
      <c r="AW490" s="5">
        <v>12.3</v>
      </c>
      <c r="AX490" s="5">
        <v>95</v>
      </c>
      <c r="AY490" s="5" t="s">
        <v>76</v>
      </c>
      <c r="AZ490" s="5" t="s">
        <v>75</v>
      </c>
      <c r="BA490" s="5">
        <v>2.39</v>
      </c>
      <c r="BB490" s="12" t="s">
        <v>76</v>
      </c>
      <c r="BC490" s="5">
        <v>3.5</v>
      </c>
      <c r="BD490" s="5">
        <v>186</v>
      </c>
      <c r="BE490" s="5" t="s">
        <v>76</v>
      </c>
      <c r="BF490" s="5" t="s">
        <v>76</v>
      </c>
      <c r="BG490" s="15">
        <v>36.7</v>
      </c>
      <c r="BH490" s="5">
        <v>72</v>
      </c>
      <c r="BI490" s="5">
        <v>72</v>
      </c>
      <c r="BJ490" s="5">
        <v>18</v>
      </c>
      <c r="BK490" s="5">
        <v>120</v>
      </c>
      <c r="BL490" s="5">
        <v>106</v>
      </c>
      <c r="BM490" s="5">
        <v>60</v>
      </c>
      <c r="BN490" s="5">
        <v>170</v>
      </c>
      <c r="BO490" s="5">
        <f t="shared" si="7"/>
        <v>20.7612456747405</v>
      </c>
      <c r="BP490" s="5" t="s">
        <v>149</v>
      </c>
      <c r="BQ490" s="5" t="s">
        <v>76</v>
      </c>
      <c r="BR490" s="5">
        <v>1790</v>
      </c>
    </row>
    <row r="491" s="1" customFormat="1" spans="1:70">
      <c r="A491" s="1">
        <v>3250074</v>
      </c>
      <c r="B491" s="1" t="s">
        <v>1445</v>
      </c>
      <c r="D491" s="4">
        <v>44900</v>
      </c>
      <c r="E491" s="4">
        <v>44909</v>
      </c>
      <c r="F491" s="7">
        <v>17520</v>
      </c>
      <c r="G491" s="1">
        <v>42</v>
      </c>
      <c r="H491" s="1">
        <v>10</v>
      </c>
      <c r="I491" s="1">
        <v>51</v>
      </c>
      <c r="J491" s="1">
        <v>10</v>
      </c>
      <c r="K491" s="1">
        <v>62</v>
      </c>
      <c r="L491" s="1">
        <v>34</v>
      </c>
      <c r="O491" s="7">
        <v>17520</v>
      </c>
      <c r="P491" s="4">
        <v>44900</v>
      </c>
      <c r="Q491" s="4">
        <v>44909</v>
      </c>
      <c r="R491" s="1" t="s">
        <v>80</v>
      </c>
      <c r="AO491" s="7">
        <v>17520</v>
      </c>
      <c r="AP491" s="5">
        <v>9.9</v>
      </c>
      <c r="AQ491" s="5">
        <v>161</v>
      </c>
      <c r="AR491" s="5">
        <v>53.1</v>
      </c>
      <c r="AS491" s="5">
        <v>9</v>
      </c>
      <c r="AT491" s="5">
        <v>88</v>
      </c>
      <c r="AU491" s="5">
        <v>60</v>
      </c>
      <c r="AV491" s="5">
        <v>32.3</v>
      </c>
      <c r="AW491" s="5">
        <v>7.29</v>
      </c>
      <c r="AX491" s="5">
        <v>54</v>
      </c>
      <c r="AY491" s="5" t="s">
        <v>125</v>
      </c>
      <c r="AZ491" s="5">
        <v>9.6</v>
      </c>
      <c r="BA491" s="5">
        <v>3.26</v>
      </c>
      <c r="BB491" s="12" t="s">
        <v>76</v>
      </c>
      <c r="BC491" s="5">
        <v>3.87</v>
      </c>
      <c r="BD491" s="5">
        <v>161</v>
      </c>
      <c r="BE491" s="5">
        <v>0.53</v>
      </c>
      <c r="BF491" s="5">
        <v>2.29</v>
      </c>
      <c r="BG491" s="15">
        <v>37.2</v>
      </c>
      <c r="BH491" s="5" t="s">
        <v>76</v>
      </c>
      <c r="BI491" s="5">
        <v>60</v>
      </c>
      <c r="BJ491" s="5">
        <v>24</v>
      </c>
      <c r="BK491" s="5">
        <v>197</v>
      </c>
      <c r="BL491" s="5">
        <v>108</v>
      </c>
      <c r="BM491" s="5" t="s">
        <v>77</v>
      </c>
      <c r="BN491" s="5" t="s">
        <v>77</v>
      </c>
      <c r="BO491" s="5" t="e">
        <f t="shared" si="7"/>
        <v>#VALUE!</v>
      </c>
      <c r="BP491" s="5" t="s">
        <v>117</v>
      </c>
      <c r="BQ491" s="5" t="s">
        <v>76</v>
      </c>
      <c r="BR491" s="5">
        <v>6508.03</v>
      </c>
    </row>
    <row r="492" s="1" customFormat="1" spans="1:70">
      <c r="A492" s="1">
        <v>3292527</v>
      </c>
      <c r="B492" s="1" t="s">
        <v>1446</v>
      </c>
      <c r="D492" s="4">
        <v>44980</v>
      </c>
      <c r="E492" s="4">
        <v>44987</v>
      </c>
      <c r="F492" s="7">
        <v>17533</v>
      </c>
      <c r="G492" s="1">
        <v>40</v>
      </c>
      <c r="H492" s="1">
        <v>10</v>
      </c>
      <c r="I492" s="1">
        <v>47</v>
      </c>
      <c r="J492" s="1">
        <v>10</v>
      </c>
      <c r="K492" s="1">
        <v>58</v>
      </c>
      <c r="L492" s="1">
        <v>31</v>
      </c>
      <c r="M492" s="1">
        <v>0.51</v>
      </c>
      <c r="N492" s="1">
        <v>10.8</v>
      </c>
      <c r="O492" s="7">
        <v>17533</v>
      </c>
      <c r="P492" s="4">
        <v>44980</v>
      </c>
      <c r="Q492" s="4">
        <v>44987</v>
      </c>
      <c r="R492" s="1" t="s">
        <v>73</v>
      </c>
      <c r="S492" s="1">
        <v>75</v>
      </c>
      <c r="T492" s="1" t="s">
        <v>1447</v>
      </c>
      <c r="V492" s="1" t="s">
        <v>155</v>
      </c>
      <c r="X492" s="1" t="s">
        <v>155</v>
      </c>
      <c r="AA492" s="1" t="s">
        <v>155</v>
      </c>
      <c r="AC492" s="1" t="s">
        <v>155</v>
      </c>
      <c r="AM492" s="1">
        <v>1</v>
      </c>
      <c r="AN492" s="1">
        <v>1</v>
      </c>
      <c r="AO492" s="7">
        <v>17533</v>
      </c>
      <c r="AP492" s="5">
        <v>93</v>
      </c>
      <c r="AQ492" s="5">
        <v>75</v>
      </c>
      <c r="AR492" s="5">
        <v>26.3</v>
      </c>
      <c r="AS492" s="5">
        <v>1.5</v>
      </c>
      <c r="AT492" s="5">
        <v>17</v>
      </c>
      <c r="AU492" s="5">
        <v>8</v>
      </c>
      <c r="AV492" s="5">
        <v>31.9</v>
      </c>
      <c r="AW492" s="5">
        <v>17.12</v>
      </c>
      <c r="AX492" s="5">
        <v>137</v>
      </c>
      <c r="AY492" s="5">
        <v>34.66</v>
      </c>
      <c r="AZ492" s="5" t="s">
        <v>75</v>
      </c>
      <c r="BA492" s="5">
        <v>4.78</v>
      </c>
      <c r="BB492" s="12" t="s">
        <v>76</v>
      </c>
      <c r="BC492" s="5">
        <v>3.77</v>
      </c>
      <c r="BD492" s="5">
        <v>75</v>
      </c>
      <c r="BE492" s="5">
        <v>1.43</v>
      </c>
      <c r="BF492" s="5">
        <v>2.54</v>
      </c>
      <c r="BG492" s="15">
        <v>36.8</v>
      </c>
      <c r="BH492" s="5">
        <v>78</v>
      </c>
      <c r="BI492" s="5" t="s">
        <v>76</v>
      </c>
      <c r="BJ492" s="5">
        <v>15</v>
      </c>
      <c r="BK492" s="5">
        <v>162</v>
      </c>
      <c r="BL492" s="5">
        <v>68</v>
      </c>
      <c r="BM492" s="5">
        <v>65</v>
      </c>
      <c r="BN492" s="5">
        <v>160</v>
      </c>
      <c r="BO492" s="5">
        <f t="shared" si="7"/>
        <v>25.390625</v>
      </c>
      <c r="BP492" s="5" t="s">
        <v>415</v>
      </c>
      <c r="BQ492" s="5">
        <v>5.6</v>
      </c>
      <c r="BR492" s="5">
        <v>1731</v>
      </c>
    </row>
    <row r="493" s="1" customFormat="1" spans="1:70">
      <c r="A493" s="1">
        <v>3286004</v>
      </c>
      <c r="B493" s="1" t="s">
        <v>1448</v>
      </c>
      <c r="D493" s="4">
        <v>44971</v>
      </c>
      <c r="E493" s="4">
        <v>44984</v>
      </c>
      <c r="F493" s="7">
        <v>17534</v>
      </c>
      <c r="G493" s="1">
        <v>42</v>
      </c>
      <c r="H493" s="1">
        <v>9</v>
      </c>
      <c r="I493" s="1">
        <v>52</v>
      </c>
      <c r="J493" s="1">
        <v>9</v>
      </c>
      <c r="K493" s="1">
        <v>50</v>
      </c>
      <c r="L493" s="1">
        <v>26</v>
      </c>
      <c r="M493" s="1">
        <v>0.84</v>
      </c>
      <c r="N493" s="1">
        <v>12.5</v>
      </c>
      <c r="O493" s="7">
        <v>17534</v>
      </c>
      <c r="P493" s="4">
        <v>44971</v>
      </c>
      <c r="Q493" s="4">
        <v>44984</v>
      </c>
      <c r="R493" s="1" t="s">
        <v>80</v>
      </c>
      <c r="AO493" s="7">
        <v>17534</v>
      </c>
      <c r="AP493" s="5">
        <v>8.6</v>
      </c>
      <c r="AQ493" s="5">
        <v>90</v>
      </c>
      <c r="AR493" s="5">
        <v>34.2</v>
      </c>
      <c r="AS493" s="5">
        <v>9.2</v>
      </c>
      <c r="AT493" s="5">
        <v>7</v>
      </c>
      <c r="AU493" s="5">
        <v>7</v>
      </c>
      <c r="AV493" s="5">
        <v>34.3</v>
      </c>
      <c r="AW493" s="5">
        <v>5.56</v>
      </c>
      <c r="AX493" s="5">
        <v>43</v>
      </c>
      <c r="AY493" s="5" t="s">
        <v>125</v>
      </c>
      <c r="AZ493" s="5">
        <v>5.88</v>
      </c>
      <c r="BA493" s="5" t="s">
        <v>76</v>
      </c>
      <c r="BB493" s="12" t="s">
        <v>76</v>
      </c>
      <c r="BC493" s="5">
        <v>4.5</v>
      </c>
      <c r="BD493" s="5">
        <v>90</v>
      </c>
      <c r="BE493" s="5" t="s">
        <v>76</v>
      </c>
      <c r="BF493" s="5" t="s">
        <v>76</v>
      </c>
      <c r="BG493" s="15">
        <v>36.7</v>
      </c>
      <c r="BH493" s="5">
        <v>88</v>
      </c>
      <c r="BI493" s="5">
        <v>104</v>
      </c>
      <c r="BJ493" s="5">
        <v>18</v>
      </c>
      <c r="BK493" s="5">
        <v>113</v>
      </c>
      <c r="BL493" s="5">
        <v>74</v>
      </c>
      <c r="BM493" s="5">
        <v>64</v>
      </c>
      <c r="BN493" s="5">
        <v>170</v>
      </c>
      <c r="BO493" s="5">
        <f t="shared" si="7"/>
        <v>22.1453287197232</v>
      </c>
      <c r="BP493" s="5" t="s">
        <v>78</v>
      </c>
      <c r="BQ493" s="5">
        <v>11</v>
      </c>
      <c r="BR493" s="5">
        <v>4084</v>
      </c>
    </row>
    <row r="494" s="1" customFormat="1" spans="1:70">
      <c r="A494" s="1">
        <v>3303987</v>
      </c>
      <c r="B494" s="1" t="s">
        <v>1449</v>
      </c>
      <c r="D494" s="4">
        <v>44995</v>
      </c>
      <c r="E494" s="4">
        <v>45024</v>
      </c>
      <c r="F494" s="7">
        <v>17541</v>
      </c>
      <c r="G494" s="1">
        <v>43</v>
      </c>
      <c r="H494" s="1">
        <v>12</v>
      </c>
      <c r="I494" s="1">
        <v>47</v>
      </c>
      <c r="J494" s="1">
        <v>12</v>
      </c>
      <c r="K494" s="1">
        <v>57</v>
      </c>
      <c r="L494" s="1">
        <v>30</v>
      </c>
      <c r="M494" s="1">
        <v>0.89</v>
      </c>
      <c r="N494" s="1">
        <v>15.9</v>
      </c>
      <c r="O494" s="7">
        <v>17541</v>
      </c>
      <c r="P494" s="4">
        <v>44995</v>
      </c>
      <c r="Q494" s="4">
        <v>45024</v>
      </c>
      <c r="R494" s="1" t="s">
        <v>73</v>
      </c>
      <c r="AO494" s="7">
        <v>17541</v>
      </c>
      <c r="AP494" s="5">
        <v>9.2</v>
      </c>
      <c r="AQ494" s="5">
        <v>98</v>
      </c>
      <c r="AR494" s="5">
        <v>42.8</v>
      </c>
      <c r="AS494" s="5" t="s">
        <v>81</v>
      </c>
      <c r="AT494" s="5">
        <v>56</v>
      </c>
      <c r="AU494" s="5">
        <v>29</v>
      </c>
      <c r="AV494" s="5">
        <v>46.1</v>
      </c>
      <c r="AW494" s="5">
        <v>9.05</v>
      </c>
      <c r="AX494" s="5">
        <v>89</v>
      </c>
      <c r="AY494" s="5" t="s">
        <v>125</v>
      </c>
      <c r="AZ494" s="5" t="s">
        <v>75</v>
      </c>
      <c r="BA494" s="5" t="s">
        <v>76</v>
      </c>
      <c r="BB494" s="12" t="s">
        <v>76</v>
      </c>
      <c r="BC494" s="5">
        <v>4.9</v>
      </c>
      <c r="BD494" s="5">
        <v>98</v>
      </c>
      <c r="BE494" s="5" t="s">
        <v>76</v>
      </c>
      <c r="BF494" s="5" t="s">
        <v>76</v>
      </c>
      <c r="BG494" s="15">
        <v>36.5</v>
      </c>
      <c r="BH494" s="5">
        <v>78</v>
      </c>
      <c r="BI494" s="5">
        <v>78</v>
      </c>
      <c r="BJ494" s="5">
        <v>20</v>
      </c>
      <c r="BK494" s="5">
        <v>124</v>
      </c>
      <c r="BL494" s="5">
        <v>70</v>
      </c>
      <c r="BM494" s="5">
        <v>75</v>
      </c>
      <c r="BN494" s="5">
        <v>158</v>
      </c>
      <c r="BO494" s="5">
        <f t="shared" si="7"/>
        <v>30.0432622977087</v>
      </c>
      <c r="BP494" s="5" t="s">
        <v>1450</v>
      </c>
      <c r="BQ494" s="5">
        <v>6.1</v>
      </c>
      <c r="BR494" s="5">
        <v>905</v>
      </c>
    </row>
    <row r="495" s="1" customFormat="1" spans="1:70">
      <c r="A495" s="1">
        <v>3286580</v>
      </c>
      <c r="B495" s="1" t="s">
        <v>1451</v>
      </c>
      <c r="D495" s="4">
        <v>44972</v>
      </c>
      <c r="E495" s="4">
        <v>44984</v>
      </c>
      <c r="F495" s="7">
        <v>17542</v>
      </c>
      <c r="G495" s="1">
        <v>35</v>
      </c>
      <c r="H495" s="1">
        <v>9</v>
      </c>
      <c r="I495" s="1">
        <v>48</v>
      </c>
      <c r="J495" s="1">
        <v>9</v>
      </c>
      <c r="K495" s="1">
        <v>53</v>
      </c>
      <c r="L495" s="1">
        <v>27</v>
      </c>
      <c r="N495" s="1">
        <v>10.8</v>
      </c>
      <c r="O495" s="7">
        <v>17542</v>
      </c>
      <c r="P495" s="4">
        <v>44972</v>
      </c>
      <c r="Q495" s="4">
        <v>44984</v>
      </c>
      <c r="R495" s="1" t="s">
        <v>80</v>
      </c>
      <c r="AO495" s="7">
        <v>17542</v>
      </c>
      <c r="AP495" s="5">
        <v>8.8</v>
      </c>
      <c r="AQ495" s="5">
        <v>134</v>
      </c>
      <c r="AR495" s="5">
        <v>43.2</v>
      </c>
      <c r="AS495" s="5">
        <v>4.5</v>
      </c>
      <c r="AT495" s="5">
        <v>14</v>
      </c>
      <c r="AU495" s="5">
        <v>10</v>
      </c>
      <c r="AV495" s="5">
        <v>44.7</v>
      </c>
      <c r="AW495" s="5">
        <v>6.35</v>
      </c>
      <c r="AX495" s="5">
        <v>96</v>
      </c>
      <c r="AY495" s="5">
        <v>70.4</v>
      </c>
      <c r="AZ495" s="5" t="s">
        <v>75</v>
      </c>
      <c r="BA495" s="5">
        <v>4.13</v>
      </c>
      <c r="BB495" s="12" t="s">
        <v>76</v>
      </c>
      <c r="BC495" s="5">
        <v>4.28</v>
      </c>
      <c r="BD495" s="5">
        <v>134</v>
      </c>
      <c r="BE495" s="5">
        <v>1.05</v>
      </c>
      <c r="BF495" s="5">
        <v>2.13</v>
      </c>
      <c r="BG495" s="15">
        <v>36.5</v>
      </c>
      <c r="BH495" s="5">
        <v>78</v>
      </c>
      <c r="BI495" s="5">
        <v>78</v>
      </c>
      <c r="BJ495" s="5">
        <v>18</v>
      </c>
      <c r="BK495" s="5">
        <v>131</v>
      </c>
      <c r="BL495" s="5">
        <v>74</v>
      </c>
      <c r="BM495" s="5">
        <v>71</v>
      </c>
      <c r="BN495" s="5">
        <v>180</v>
      </c>
      <c r="BO495" s="5">
        <f t="shared" si="7"/>
        <v>21.9135802469136</v>
      </c>
      <c r="BP495" s="5" t="s">
        <v>78</v>
      </c>
      <c r="BQ495" s="5">
        <v>5.3</v>
      </c>
      <c r="BR495" s="5">
        <v>969</v>
      </c>
    </row>
    <row r="496" s="1" customFormat="1" spans="1:70">
      <c r="A496" s="1">
        <v>3302830</v>
      </c>
      <c r="B496" s="1" t="s">
        <v>1452</v>
      </c>
      <c r="D496" s="4">
        <v>44994</v>
      </c>
      <c r="E496" s="4">
        <v>45000</v>
      </c>
      <c r="F496" s="7">
        <v>17550</v>
      </c>
      <c r="G496" s="1">
        <v>56</v>
      </c>
      <c r="H496" s="1">
        <v>9</v>
      </c>
      <c r="I496" s="1">
        <v>5</v>
      </c>
      <c r="J496" s="1">
        <v>9</v>
      </c>
      <c r="K496" s="1">
        <v>62</v>
      </c>
      <c r="L496" s="1">
        <v>33</v>
      </c>
      <c r="N496" s="1">
        <v>17.7</v>
      </c>
      <c r="O496" s="7">
        <v>17550</v>
      </c>
      <c r="P496" s="4">
        <v>44994</v>
      </c>
      <c r="Q496" s="4">
        <v>45000</v>
      </c>
      <c r="R496" s="1" t="s">
        <v>80</v>
      </c>
      <c r="AO496" s="7">
        <v>17550</v>
      </c>
      <c r="AP496" s="5">
        <v>7.5</v>
      </c>
      <c r="AQ496" s="5">
        <v>139</v>
      </c>
      <c r="AR496" s="5">
        <v>43</v>
      </c>
      <c r="AS496" s="5">
        <v>2.2</v>
      </c>
      <c r="AT496" s="5">
        <v>24</v>
      </c>
      <c r="AU496" s="5">
        <v>23</v>
      </c>
      <c r="AV496" s="5">
        <v>42.3</v>
      </c>
      <c r="AW496" s="5">
        <v>6.38</v>
      </c>
      <c r="AX496" s="5">
        <v>83</v>
      </c>
      <c r="AY496" s="5">
        <v>83.28</v>
      </c>
      <c r="AZ496" s="5" t="s">
        <v>75</v>
      </c>
      <c r="BA496" s="5">
        <v>2.99</v>
      </c>
      <c r="BB496" s="12" t="s">
        <v>76</v>
      </c>
      <c r="BC496" s="5">
        <v>3.71</v>
      </c>
      <c r="BD496" s="5">
        <v>139</v>
      </c>
      <c r="BE496" s="5">
        <v>0.86</v>
      </c>
      <c r="BF496" s="5">
        <v>1.64</v>
      </c>
      <c r="BG496" s="15">
        <v>36.5</v>
      </c>
      <c r="BH496" s="5">
        <v>58</v>
      </c>
      <c r="BI496" s="5">
        <v>58</v>
      </c>
      <c r="BJ496" s="5">
        <v>18</v>
      </c>
      <c r="BK496" s="5">
        <v>145</v>
      </c>
      <c r="BL496" s="5">
        <v>67</v>
      </c>
      <c r="BM496" s="5">
        <v>65</v>
      </c>
      <c r="BN496" s="5">
        <v>168</v>
      </c>
      <c r="BO496" s="5">
        <f t="shared" si="7"/>
        <v>23.0300453514739</v>
      </c>
      <c r="BP496" s="5" t="s">
        <v>78</v>
      </c>
      <c r="BQ496" s="5">
        <v>5.6</v>
      </c>
      <c r="BR496" s="5">
        <v>1627</v>
      </c>
    </row>
    <row r="497" s="1" customFormat="1" spans="1:70">
      <c r="A497" s="1">
        <v>3319357</v>
      </c>
      <c r="B497" s="1" t="s">
        <v>1453</v>
      </c>
      <c r="D497" s="4">
        <v>45016</v>
      </c>
      <c r="E497" s="4">
        <v>45022</v>
      </c>
      <c r="F497" s="7">
        <v>17588</v>
      </c>
      <c r="G497" s="1">
        <v>37</v>
      </c>
      <c r="H497" s="1">
        <v>9</v>
      </c>
      <c r="I497" s="1">
        <v>48</v>
      </c>
      <c r="J497" s="1">
        <v>9</v>
      </c>
      <c r="K497" s="1">
        <v>52</v>
      </c>
      <c r="L497" s="1">
        <v>26</v>
      </c>
      <c r="M497" s="1">
        <v>1.43</v>
      </c>
      <c r="N497" s="10">
        <v>14</v>
      </c>
      <c r="O497" s="7">
        <v>17588</v>
      </c>
      <c r="P497" s="4">
        <v>45016</v>
      </c>
      <c r="Q497" s="4">
        <v>45022</v>
      </c>
      <c r="R497" s="1" t="s">
        <v>80</v>
      </c>
      <c r="AO497" s="7">
        <v>17588</v>
      </c>
      <c r="AP497" s="5">
        <v>8.5</v>
      </c>
      <c r="AQ497" s="5">
        <v>144</v>
      </c>
      <c r="AR497" s="5">
        <v>44.2</v>
      </c>
      <c r="AS497" s="5">
        <v>94.8</v>
      </c>
      <c r="AT497" s="5">
        <v>61</v>
      </c>
      <c r="AU497" s="5">
        <v>42</v>
      </c>
      <c r="AV497" s="5">
        <v>38.8</v>
      </c>
      <c r="AW497" s="5">
        <v>9.6</v>
      </c>
      <c r="AX497" s="5">
        <v>143</v>
      </c>
      <c r="AY497" s="5">
        <v>58.93</v>
      </c>
      <c r="AZ497" s="5" t="s">
        <v>804</v>
      </c>
      <c r="BA497" s="5">
        <v>5.25</v>
      </c>
      <c r="BB497" s="12" t="s">
        <v>76</v>
      </c>
      <c r="BC497" s="5">
        <v>7.05</v>
      </c>
      <c r="BD497" s="5">
        <v>144</v>
      </c>
      <c r="BE497" s="5" t="s">
        <v>76</v>
      </c>
      <c r="BF497" s="5" t="s">
        <v>76</v>
      </c>
      <c r="BG497" s="15">
        <v>36.5</v>
      </c>
      <c r="BH497" s="5" t="s">
        <v>76</v>
      </c>
      <c r="BI497" s="5">
        <v>100</v>
      </c>
      <c r="BJ497" s="5">
        <v>16</v>
      </c>
      <c r="BK497" s="5">
        <v>127</v>
      </c>
      <c r="BL497" s="5">
        <v>80</v>
      </c>
      <c r="BM497" s="5">
        <v>105</v>
      </c>
      <c r="BN497" s="5">
        <v>170</v>
      </c>
      <c r="BO497" s="5">
        <f t="shared" si="7"/>
        <v>36.3321799307959</v>
      </c>
      <c r="BP497" s="5" t="s">
        <v>394</v>
      </c>
      <c r="BQ497" s="5">
        <v>10</v>
      </c>
      <c r="BR497" s="5">
        <v>6018</v>
      </c>
    </row>
    <row r="498" s="1" customFormat="1" spans="1:70">
      <c r="A498" s="1">
        <v>3275913</v>
      </c>
      <c r="B498" s="1" t="s">
        <v>1454</v>
      </c>
      <c r="D498" s="4">
        <v>44957</v>
      </c>
      <c r="E498" s="4">
        <v>44978</v>
      </c>
      <c r="F498" s="7">
        <v>17593</v>
      </c>
      <c r="G498" s="1">
        <v>38</v>
      </c>
      <c r="H498" s="1">
        <v>7</v>
      </c>
      <c r="I498" s="1">
        <v>47</v>
      </c>
      <c r="J498" s="1">
        <v>7</v>
      </c>
      <c r="K498" s="1">
        <v>67</v>
      </c>
      <c r="L498" s="1">
        <v>37</v>
      </c>
      <c r="M498" s="1">
        <v>0.6</v>
      </c>
      <c r="N498" s="1">
        <v>12</v>
      </c>
      <c r="O498" s="7">
        <v>17593</v>
      </c>
      <c r="P498" s="4">
        <v>44957</v>
      </c>
      <c r="Q498" s="4">
        <v>44978</v>
      </c>
      <c r="R498" s="1" t="s">
        <v>73</v>
      </c>
      <c r="AO498" s="7">
        <v>17593</v>
      </c>
      <c r="AP498" s="5">
        <v>9.7</v>
      </c>
      <c r="AQ498" s="5">
        <v>98</v>
      </c>
      <c r="AR498" s="5">
        <v>40.1</v>
      </c>
      <c r="AS498" s="5">
        <v>88.8</v>
      </c>
      <c r="AT498" s="5">
        <v>99</v>
      </c>
      <c r="AU498" s="5">
        <v>78</v>
      </c>
      <c r="AV498" s="5">
        <v>36.5</v>
      </c>
      <c r="AW498" s="5">
        <v>9.68</v>
      </c>
      <c r="AX498" s="5" t="s">
        <v>1455</v>
      </c>
      <c r="AY498" s="5" t="s">
        <v>125</v>
      </c>
      <c r="AZ498" s="5" t="s">
        <v>75</v>
      </c>
      <c r="BA498" s="5" t="s">
        <v>76</v>
      </c>
      <c r="BB498" s="12" t="s">
        <v>76</v>
      </c>
      <c r="BC498" s="5">
        <v>5.43</v>
      </c>
      <c r="BD498" s="5">
        <v>98</v>
      </c>
      <c r="BE498" s="5" t="s">
        <v>76</v>
      </c>
      <c r="BF498" s="5" t="s">
        <v>76</v>
      </c>
      <c r="BG498" s="15">
        <v>37</v>
      </c>
      <c r="BH498" s="5" t="s">
        <v>76</v>
      </c>
      <c r="BI498" s="5">
        <v>95</v>
      </c>
      <c r="BJ498" s="5">
        <v>15</v>
      </c>
      <c r="BK498" s="5">
        <v>174</v>
      </c>
      <c r="BL498" s="5">
        <v>97</v>
      </c>
      <c r="BM498" s="5">
        <v>40</v>
      </c>
      <c r="BN498" s="5">
        <v>150</v>
      </c>
      <c r="BO498" s="5">
        <f t="shared" si="7"/>
        <v>17.7777777777778</v>
      </c>
      <c r="BP498" s="5" t="s">
        <v>453</v>
      </c>
      <c r="BQ498" s="5" t="s">
        <v>76</v>
      </c>
      <c r="BR498" s="5">
        <v>9764</v>
      </c>
    </row>
    <row r="499" s="1" customFormat="1" spans="1:70">
      <c r="A499" s="1">
        <v>3278780</v>
      </c>
      <c r="B499" s="1" t="s">
        <v>1456</v>
      </c>
      <c r="D499" s="4">
        <v>44962</v>
      </c>
      <c r="E499" s="4">
        <v>44972</v>
      </c>
      <c r="F499" s="7">
        <v>17595</v>
      </c>
      <c r="G499" s="1">
        <v>39</v>
      </c>
      <c r="H499" s="1">
        <v>12</v>
      </c>
      <c r="I499" s="1">
        <v>47</v>
      </c>
      <c r="J499" s="1">
        <v>12</v>
      </c>
      <c r="K499" s="1">
        <v>65</v>
      </c>
      <c r="L499" s="1">
        <v>35</v>
      </c>
      <c r="M499" s="1">
        <v>0.71</v>
      </c>
      <c r="N499" s="1">
        <v>19.4</v>
      </c>
      <c r="O499" s="7">
        <v>17595</v>
      </c>
      <c r="P499" s="4">
        <v>44962</v>
      </c>
      <c r="Q499" s="4">
        <v>44972</v>
      </c>
      <c r="R499" s="1" t="s">
        <v>73</v>
      </c>
      <c r="AO499" s="7">
        <v>17595</v>
      </c>
      <c r="AP499" s="5">
        <v>5</v>
      </c>
      <c r="AQ499" s="5">
        <v>99</v>
      </c>
      <c r="AR499" s="5">
        <v>32.2</v>
      </c>
      <c r="AS499" s="5">
        <v>62.2</v>
      </c>
      <c r="AT499" s="5">
        <v>12</v>
      </c>
      <c r="AU499" s="5">
        <v>6</v>
      </c>
      <c r="AV499" s="5">
        <v>32.8</v>
      </c>
      <c r="AW499" s="5">
        <v>1.89</v>
      </c>
      <c r="AX499" s="5">
        <v>26</v>
      </c>
      <c r="AY499" s="5" t="s">
        <v>125</v>
      </c>
      <c r="AZ499" s="5" t="s">
        <v>75</v>
      </c>
      <c r="BA499" s="5">
        <v>5.13</v>
      </c>
      <c r="BB499" s="12" t="s">
        <v>76</v>
      </c>
      <c r="BC499" s="5">
        <v>3.77</v>
      </c>
      <c r="BD499" s="5">
        <v>99</v>
      </c>
      <c r="BE499" s="5">
        <v>0.83</v>
      </c>
      <c r="BF499" s="5">
        <v>3.77</v>
      </c>
      <c r="BG499" s="15">
        <v>37.1</v>
      </c>
      <c r="BH499" s="5">
        <v>70</v>
      </c>
      <c r="BI499" s="5" t="s">
        <v>76</v>
      </c>
      <c r="BJ499" s="5">
        <v>20</v>
      </c>
      <c r="BK499" s="5">
        <v>169</v>
      </c>
      <c r="BL499" s="5">
        <v>74</v>
      </c>
      <c r="BM499" s="5">
        <v>45</v>
      </c>
      <c r="BN499" s="5">
        <v>150</v>
      </c>
      <c r="BO499" s="5">
        <f t="shared" si="7"/>
        <v>20</v>
      </c>
      <c r="BP499" s="5" t="s">
        <v>144</v>
      </c>
      <c r="BQ499" s="5" t="s">
        <v>76</v>
      </c>
      <c r="BR499" s="5">
        <v>1407</v>
      </c>
    </row>
    <row r="500" s="1" customFormat="1" spans="1:70">
      <c r="A500" s="1">
        <v>3328563</v>
      </c>
      <c r="B500" s="1" t="s">
        <v>1457</v>
      </c>
      <c r="D500" s="4">
        <v>45029</v>
      </c>
      <c r="E500" s="4">
        <v>45036</v>
      </c>
      <c r="F500" s="7">
        <v>17604</v>
      </c>
      <c r="G500" s="1">
        <v>43</v>
      </c>
      <c r="H500" s="1">
        <v>9</v>
      </c>
      <c r="I500" s="1">
        <v>47</v>
      </c>
      <c r="J500" s="1">
        <v>9</v>
      </c>
      <c r="K500" s="1">
        <v>58</v>
      </c>
      <c r="L500" s="1">
        <v>31</v>
      </c>
      <c r="N500" s="1">
        <v>14.1</v>
      </c>
      <c r="O500" s="7">
        <v>17604</v>
      </c>
      <c r="P500" s="4">
        <v>45029</v>
      </c>
      <c r="Q500" s="4">
        <v>45036</v>
      </c>
      <c r="R500" s="1" t="s">
        <v>73</v>
      </c>
      <c r="AO500" s="7">
        <v>17604</v>
      </c>
      <c r="AP500" s="5">
        <v>7.7</v>
      </c>
      <c r="AQ500" s="5">
        <v>121</v>
      </c>
      <c r="AR500" s="5">
        <v>37.3</v>
      </c>
      <c r="AS500" s="5">
        <v>22.8</v>
      </c>
      <c r="AT500" s="5">
        <v>21</v>
      </c>
      <c r="AU500" s="5">
        <v>12</v>
      </c>
      <c r="AV500" s="5">
        <v>39.5</v>
      </c>
      <c r="AW500" s="5">
        <v>4.2</v>
      </c>
      <c r="AX500" s="5">
        <v>52</v>
      </c>
      <c r="AY500" s="5">
        <v>105.99</v>
      </c>
      <c r="AZ500" s="5">
        <v>4.91</v>
      </c>
      <c r="BA500" s="5">
        <v>4.42</v>
      </c>
      <c r="BB500" s="12" t="s">
        <v>76</v>
      </c>
      <c r="BC500" s="5" t="s">
        <v>76</v>
      </c>
      <c r="BD500" s="5">
        <v>121</v>
      </c>
      <c r="BE500" s="5">
        <v>1.13</v>
      </c>
      <c r="BF500" s="5">
        <v>3.12</v>
      </c>
      <c r="BG500" s="15">
        <v>36.1</v>
      </c>
      <c r="BH500" s="5" t="s">
        <v>76</v>
      </c>
      <c r="BI500" s="5">
        <v>106</v>
      </c>
      <c r="BJ500" s="5">
        <v>16</v>
      </c>
      <c r="BK500" s="5">
        <v>166</v>
      </c>
      <c r="BL500" s="5">
        <v>107</v>
      </c>
      <c r="BM500" s="5">
        <v>72</v>
      </c>
      <c r="BN500" s="5">
        <v>156</v>
      </c>
      <c r="BO500" s="5">
        <f t="shared" si="7"/>
        <v>29.585798816568</v>
      </c>
      <c r="BP500" s="5" t="s">
        <v>357</v>
      </c>
      <c r="BQ500" s="5">
        <v>6</v>
      </c>
      <c r="BR500" s="5">
        <v>2706</v>
      </c>
    </row>
    <row r="501" s="1" customFormat="1" spans="1:70">
      <c r="A501" s="1">
        <v>3246720</v>
      </c>
      <c r="B501" s="1" t="s">
        <v>1458</v>
      </c>
      <c r="D501" s="4">
        <v>44894</v>
      </c>
      <c r="E501" s="4">
        <v>44902</v>
      </c>
      <c r="F501" s="7">
        <v>17628</v>
      </c>
      <c r="G501" s="1">
        <v>33</v>
      </c>
      <c r="H501" s="1">
        <v>8</v>
      </c>
      <c r="I501" s="1">
        <v>43</v>
      </c>
      <c r="J501" s="1">
        <v>8</v>
      </c>
      <c r="K501" s="1">
        <v>64</v>
      </c>
      <c r="L501" s="1">
        <v>34</v>
      </c>
      <c r="M501" s="1">
        <v>1.17</v>
      </c>
      <c r="N501" s="1">
        <v>11.1</v>
      </c>
      <c r="O501" s="7">
        <v>17628</v>
      </c>
      <c r="P501" s="4">
        <v>44894</v>
      </c>
      <c r="Q501" s="4">
        <v>44902</v>
      </c>
      <c r="R501" s="1" t="s">
        <v>80</v>
      </c>
      <c r="AO501" s="7">
        <v>17628</v>
      </c>
      <c r="AP501" s="5">
        <v>9.3</v>
      </c>
      <c r="AQ501" s="5">
        <v>70</v>
      </c>
      <c r="AR501" s="5">
        <v>25</v>
      </c>
      <c r="AS501" s="5">
        <v>7.8</v>
      </c>
      <c r="AT501" s="5">
        <v>38</v>
      </c>
      <c r="AU501" s="5">
        <v>6</v>
      </c>
      <c r="AV501" s="5">
        <v>35.9</v>
      </c>
      <c r="AW501" s="5">
        <v>8.92</v>
      </c>
      <c r="AX501" s="5">
        <v>76</v>
      </c>
      <c r="AY501" s="5">
        <v>92.44</v>
      </c>
      <c r="AZ501" s="5" t="s">
        <v>75</v>
      </c>
      <c r="BA501" s="5" t="s">
        <v>76</v>
      </c>
      <c r="BB501" s="12" t="s">
        <v>76</v>
      </c>
      <c r="BC501" s="5">
        <v>4.15</v>
      </c>
      <c r="BD501" s="5">
        <v>70</v>
      </c>
      <c r="BE501" s="5" t="s">
        <v>76</v>
      </c>
      <c r="BF501" s="5" t="s">
        <v>76</v>
      </c>
      <c r="BG501" s="15">
        <v>36.8</v>
      </c>
      <c r="BH501" s="5">
        <v>96</v>
      </c>
      <c r="BI501" s="5" t="s">
        <v>76</v>
      </c>
      <c r="BJ501" s="5">
        <v>16</v>
      </c>
      <c r="BK501" s="5">
        <v>131</v>
      </c>
      <c r="BL501" s="5">
        <v>53</v>
      </c>
      <c r="BM501" s="5">
        <v>55</v>
      </c>
      <c r="BN501" s="5">
        <v>165</v>
      </c>
      <c r="BO501" s="5">
        <f t="shared" si="7"/>
        <v>20.2020202020202</v>
      </c>
      <c r="BP501" s="5" t="s">
        <v>109</v>
      </c>
      <c r="BQ501" s="5">
        <v>6.7</v>
      </c>
      <c r="BR501" s="5">
        <v>986</v>
      </c>
    </row>
    <row r="502" s="1" customFormat="1" spans="1:70">
      <c r="A502" s="1">
        <v>3264101</v>
      </c>
      <c r="B502" s="1" t="s">
        <v>1459</v>
      </c>
      <c r="D502" s="4">
        <v>44935</v>
      </c>
      <c r="E502" s="4">
        <v>44946</v>
      </c>
      <c r="F502" s="7">
        <v>17630</v>
      </c>
      <c r="G502" s="1">
        <v>42</v>
      </c>
      <c r="H502" s="1">
        <v>10</v>
      </c>
      <c r="I502" s="1">
        <v>63</v>
      </c>
      <c r="J502" s="1">
        <v>9</v>
      </c>
      <c r="K502" s="1">
        <v>41</v>
      </c>
      <c r="L502" s="1">
        <v>21</v>
      </c>
      <c r="M502" s="1">
        <v>0.45</v>
      </c>
      <c r="N502" s="1">
        <v>13.4</v>
      </c>
      <c r="O502" s="7">
        <v>17630</v>
      </c>
      <c r="P502" s="4">
        <v>44935</v>
      </c>
      <c r="Q502" s="4">
        <v>44946</v>
      </c>
      <c r="R502" s="1" t="s">
        <v>80</v>
      </c>
      <c r="AO502" s="7">
        <v>17630</v>
      </c>
      <c r="AP502" s="5">
        <v>8.1</v>
      </c>
      <c r="AQ502" s="5">
        <v>154</v>
      </c>
      <c r="AR502" s="5">
        <v>46.8</v>
      </c>
      <c r="AS502" s="5">
        <v>9.9</v>
      </c>
      <c r="AT502" s="5">
        <v>30</v>
      </c>
      <c r="AU502" s="5">
        <v>21</v>
      </c>
      <c r="AV502" s="5">
        <v>37.1</v>
      </c>
      <c r="AW502" s="5">
        <v>7.93</v>
      </c>
      <c r="AX502" s="5">
        <v>80</v>
      </c>
      <c r="AY502" s="5">
        <v>92.44</v>
      </c>
      <c r="AZ502" s="5" t="s">
        <v>375</v>
      </c>
      <c r="BA502" s="5" t="s">
        <v>76</v>
      </c>
      <c r="BB502" s="12" t="s">
        <v>76</v>
      </c>
      <c r="BC502" s="5">
        <v>4.53</v>
      </c>
      <c r="BD502" s="5">
        <v>154</v>
      </c>
      <c r="BE502" s="5" t="s">
        <v>76</v>
      </c>
      <c r="BF502" s="5" t="s">
        <v>76</v>
      </c>
      <c r="BG502" s="15">
        <v>37.2</v>
      </c>
      <c r="BH502" s="5">
        <v>80</v>
      </c>
      <c r="BI502" s="5">
        <v>80</v>
      </c>
      <c r="BJ502" s="5">
        <v>17</v>
      </c>
      <c r="BK502" s="5">
        <v>117</v>
      </c>
      <c r="BL502" s="5">
        <v>93</v>
      </c>
      <c r="BM502" s="5">
        <v>80</v>
      </c>
      <c r="BN502" s="5">
        <v>170</v>
      </c>
      <c r="BO502" s="5">
        <f t="shared" si="7"/>
        <v>27.681660899654</v>
      </c>
      <c r="BP502" s="5" t="s">
        <v>78</v>
      </c>
      <c r="BQ502" s="5">
        <v>9.5</v>
      </c>
      <c r="BR502" s="5">
        <v>1952</v>
      </c>
    </row>
    <row r="503" s="1" customFormat="1" spans="1:70">
      <c r="A503" s="1">
        <v>3259852</v>
      </c>
      <c r="B503" s="1" t="s">
        <v>1460</v>
      </c>
      <c r="D503" s="4">
        <v>44928</v>
      </c>
      <c r="E503" s="4">
        <v>44932</v>
      </c>
      <c r="F503" s="7">
        <v>17630</v>
      </c>
      <c r="G503" s="1">
        <v>41</v>
      </c>
      <c r="H503" s="1">
        <v>9</v>
      </c>
      <c r="I503" s="1">
        <v>47</v>
      </c>
      <c r="J503" s="1">
        <v>9</v>
      </c>
      <c r="K503" s="1">
        <v>66</v>
      </c>
      <c r="L503" s="1">
        <v>37</v>
      </c>
      <c r="M503" s="1">
        <v>0.64</v>
      </c>
      <c r="N503" s="1">
        <v>8.8</v>
      </c>
      <c r="O503" s="7">
        <v>17630</v>
      </c>
      <c r="P503" s="4">
        <v>44928</v>
      </c>
      <c r="Q503" s="4">
        <v>44932</v>
      </c>
      <c r="R503" s="1" t="s">
        <v>73</v>
      </c>
      <c r="AO503" s="7">
        <v>17630</v>
      </c>
      <c r="AP503" s="5">
        <v>6.8</v>
      </c>
      <c r="AQ503" s="5">
        <v>117</v>
      </c>
      <c r="AR503" s="5">
        <v>37.7</v>
      </c>
      <c r="AS503" s="5">
        <v>7.6</v>
      </c>
      <c r="AT503" s="5">
        <v>15</v>
      </c>
      <c r="AU503" s="5">
        <v>11</v>
      </c>
      <c r="AV503" s="5">
        <v>40.7</v>
      </c>
      <c r="AW503" s="5">
        <v>5.92</v>
      </c>
      <c r="AX503" s="5">
        <v>50</v>
      </c>
      <c r="AY503" s="5" t="s">
        <v>76</v>
      </c>
      <c r="AZ503" s="5" t="s">
        <v>75</v>
      </c>
      <c r="BA503" s="5">
        <v>4.17</v>
      </c>
      <c r="BB503" s="12" t="s">
        <v>76</v>
      </c>
      <c r="BC503" s="5">
        <v>4.18</v>
      </c>
      <c r="BD503" s="5">
        <v>117</v>
      </c>
      <c r="BE503" s="5">
        <v>1.48</v>
      </c>
      <c r="BF503" s="5">
        <v>2.24</v>
      </c>
      <c r="BG503" s="15">
        <v>36.3</v>
      </c>
      <c r="BH503" s="5">
        <v>72</v>
      </c>
      <c r="BI503" s="5">
        <v>72</v>
      </c>
      <c r="BJ503" s="5">
        <v>17</v>
      </c>
      <c r="BK503" s="5">
        <v>125</v>
      </c>
      <c r="BL503" s="5">
        <v>86</v>
      </c>
      <c r="BM503" s="5">
        <v>55</v>
      </c>
      <c r="BN503" s="5">
        <v>165</v>
      </c>
      <c r="BO503" s="5">
        <f t="shared" si="7"/>
        <v>20.2020202020202</v>
      </c>
      <c r="BP503" s="5" t="s">
        <v>107</v>
      </c>
      <c r="BQ503" s="5" t="s">
        <v>76</v>
      </c>
      <c r="BR503" s="5">
        <v>1532</v>
      </c>
    </row>
    <row r="504" s="1" customFormat="1" spans="1:70">
      <c r="A504" s="1">
        <v>3234411</v>
      </c>
      <c r="B504" s="1" t="s">
        <v>1461</v>
      </c>
      <c r="D504" s="4">
        <v>44873</v>
      </c>
      <c r="E504" s="4">
        <v>44897</v>
      </c>
      <c r="F504" s="7">
        <v>17633</v>
      </c>
      <c r="G504" s="1">
        <v>32</v>
      </c>
      <c r="H504" s="1">
        <v>9</v>
      </c>
      <c r="I504" s="1">
        <v>43</v>
      </c>
      <c r="J504" s="1">
        <v>9</v>
      </c>
      <c r="K504" s="1">
        <v>59</v>
      </c>
      <c r="L504" s="1">
        <v>31</v>
      </c>
      <c r="M504" s="1">
        <v>0.77</v>
      </c>
      <c r="N504" s="1">
        <v>11.4</v>
      </c>
      <c r="O504" s="7">
        <v>17633</v>
      </c>
      <c r="P504" s="4">
        <v>44873</v>
      </c>
      <c r="Q504" s="4">
        <v>44897</v>
      </c>
      <c r="R504" s="1" t="s">
        <v>73</v>
      </c>
      <c r="AO504" s="7">
        <v>17633</v>
      </c>
      <c r="AP504" s="5">
        <v>9.8</v>
      </c>
      <c r="AQ504" s="5">
        <v>98</v>
      </c>
      <c r="AR504" s="5">
        <v>39.5</v>
      </c>
      <c r="AS504" s="5">
        <v>8.8</v>
      </c>
      <c r="AT504" s="5">
        <v>42</v>
      </c>
      <c r="AU504" s="5">
        <v>9</v>
      </c>
      <c r="AV504" s="5">
        <v>47.4</v>
      </c>
      <c r="AW504" s="5">
        <v>8.04</v>
      </c>
      <c r="AX504" s="5">
        <v>62</v>
      </c>
      <c r="AY504" s="5" t="s">
        <v>125</v>
      </c>
      <c r="AZ504" s="5">
        <v>9.6</v>
      </c>
      <c r="BA504" s="5">
        <v>3.39</v>
      </c>
      <c r="BB504" s="12" t="s">
        <v>76</v>
      </c>
      <c r="BC504" s="5">
        <v>5.41</v>
      </c>
      <c r="BD504" s="5">
        <v>98</v>
      </c>
      <c r="BE504" s="5">
        <v>0.85</v>
      </c>
      <c r="BF504" s="5">
        <v>1.84</v>
      </c>
      <c r="BG504" s="15">
        <v>36.5</v>
      </c>
      <c r="BH504" s="5">
        <v>78</v>
      </c>
      <c r="BI504" s="5">
        <v>78</v>
      </c>
      <c r="BJ504" s="5">
        <v>18</v>
      </c>
      <c r="BK504" s="5">
        <v>120</v>
      </c>
      <c r="BL504" s="5">
        <v>64</v>
      </c>
      <c r="BM504" s="5">
        <v>55</v>
      </c>
      <c r="BN504" s="5">
        <v>150</v>
      </c>
      <c r="BO504" s="5">
        <f t="shared" si="7"/>
        <v>24.4444444444444</v>
      </c>
      <c r="BP504" s="5" t="s">
        <v>1450</v>
      </c>
      <c r="BQ504" s="5">
        <v>7</v>
      </c>
      <c r="BR504" s="5">
        <v>996</v>
      </c>
    </row>
    <row r="505" s="1" customFormat="1" spans="1:70">
      <c r="A505" s="1">
        <v>3310448</v>
      </c>
      <c r="B505" s="1" t="s">
        <v>1462</v>
      </c>
      <c r="D505" s="4">
        <v>45005</v>
      </c>
      <c r="E505" s="4">
        <v>45037</v>
      </c>
      <c r="F505" s="7">
        <v>17638</v>
      </c>
      <c r="G505" s="1">
        <v>27</v>
      </c>
      <c r="H505" s="1">
        <v>8</v>
      </c>
      <c r="I505" s="1">
        <v>40</v>
      </c>
      <c r="J505" s="1">
        <v>8</v>
      </c>
      <c r="K505" s="1">
        <v>60</v>
      </c>
      <c r="L505" s="1">
        <v>32</v>
      </c>
      <c r="M505" s="1">
        <v>1.09</v>
      </c>
      <c r="N505" s="1">
        <v>11.3</v>
      </c>
      <c r="O505" s="7">
        <v>17638</v>
      </c>
      <c r="P505" s="4">
        <v>45005</v>
      </c>
      <c r="Q505" s="4">
        <v>45037</v>
      </c>
      <c r="R505" s="1" t="s">
        <v>80</v>
      </c>
      <c r="AO505" s="7">
        <v>17638</v>
      </c>
      <c r="AP505" s="5">
        <v>9.8</v>
      </c>
      <c r="AQ505" s="5">
        <v>98</v>
      </c>
      <c r="AR505" s="5">
        <v>44</v>
      </c>
      <c r="AS505" s="5">
        <v>91.5</v>
      </c>
      <c r="AT505" s="5">
        <v>86</v>
      </c>
      <c r="AU505" s="5">
        <v>78</v>
      </c>
      <c r="AV505" s="5">
        <v>42.8</v>
      </c>
      <c r="AW505" s="5">
        <v>9.62</v>
      </c>
      <c r="AX505" s="5" t="s">
        <v>1455</v>
      </c>
      <c r="AY505" s="5" t="s">
        <v>125</v>
      </c>
      <c r="AZ505" s="5" t="s">
        <v>75</v>
      </c>
      <c r="BA505" s="5">
        <v>2.19</v>
      </c>
      <c r="BB505" s="12" t="s">
        <v>76</v>
      </c>
      <c r="BC505" s="5">
        <v>4.87</v>
      </c>
      <c r="BD505" s="5">
        <v>98</v>
      </c>
      <c r="BE505" s="5" t="s">
        <v>76</v>
      </c>
      <c r="BF505" s="5" t="s">
        <v>76</v>
      </c>
      <c r="BG505" s="15">
        <v>36.5</v>
      </c>
      <c r="BH505" s="5">
        <v>70</v>
      </c>
      <c r="BI505" s="5">
        <v>70</v>
      </c>
      <c r="BJ505" s="5">
        <v>19</v>
      </c>
      <c r="BK505" s="5">
        <v>130</v>
      </c>
      <c r="BL505" s="5">
        <v>90</v>
      </c>
      <c r="BM505" s="5">
        <v>60</v>
      </c>
      <c r="BN505" s="5">
        <v>171</v>
      </c>
      <c r="BO505" s="5">
        <f t="shared" si="7"/>
        <v>20.5191340925413</v>
      </c>
      <c r="BP505" s="5" t="s">
        <v>618</v>
      </c>
      <c r="BQ505" s="5" t="s">
        <v>76</v>
      </c>
      <c r="BR505" s="5">
        <v>9117</v>
      </c>
    </row>
    <row r="506" s="1" customFormat="1" spans="1:70">
      <c r="A506" s="1">
        <v>3486475</v>
      </c>
      <c r="B506" s="1" t="s">
        <v>1463</v>
      </c>
      <c r="D506" s="4">
        <v>45249</v>
      </c>
      <c r="E506" s="4">
        <v>45285</v>
      </c>
      <c r="F506" s="7">
        <v>17648</v>
      </c>
      <c r="G506" s="1">
        <v>33</v>
      </c>
      <c r="H506" s="1">
        <v>8</v>
      </c>
      <c r="I506" s="1">
        <v>45</v>
      </c>
      <c r="J506" s="1">
        <v>8</v>
      </c>
      <c r="K506" s="1">
        <v>68</v>
      </c>
      <c r="L506" s="1">
        <v>34</v>
      </c>
      <c r="M506" s="1">
        <v>1.18</v>
      </c>
      <c r="N506" s="1">
        <v>15.6</v>
      </c>
      <c r="O506" s="7">
        <v>17648</v>
      </c>
      <c r="P506" s="4">
        <v>45249</v>
      </c>
      <c r="Q506" s="4">
        <v>45285</v>
      </c>
      <c r="R506" s="1" t="s">
        <v>73</v>
      </c>
      <c r="AO506" s="7">
        <v>17648</v>
      </c>
      <c r="AP506" s="5">
        <v>8.4</v>
      </c>
      <c r="AQ506" s="5">
        <v>99</v>
      </c>
      <c r="AR506" s="5">
        <v>41.6</v>
      </c>
      <c r="AS506" s="5">
        <v>9</v>
      </c>
      <c r="AT506" s="5">
        <v>37</v>
      </c>
      <c r="AU506" s="5">
        <v>9</v>
      </c>
      <c r="AV506" s="5">
        <v>42</v>
      </c>
      <c r="AW506" s="5">
        <v>8.8</v>
      </c>
      <c r="AX506" s="5">
        <v>88</v>
      </c>
      <c r="AY506" s="5" t="s">
        <v>125</v>
      </c>
      <c r="AZ506" s="5">
        <v>9.3</v>
      </c>
      <c r="BA506" s="5">
        <v>6.01</v>
      </c>
      <c r="BB506" s="12" t="s">
        <v>76</v>
      </c>
      <c r="BC506" s="5">
        <v>4.79</v>
      </c>
      <c r="BD506" s="5">
        <v>99</v>
      </c>
      <c r="BE506" s="5">
        <v>1.24</v>
      </c>
      <c r="BF506" s="5">
        <v>2.96</v>
      </c>
      <c r="BG506" s="15">
        <v>36.6</v>
      </c>
      <c r="BH506" s="5" t="s">
        <v>76</v>
      </c>
      <c r="BI506" s="5">
        <v>71</v>
      </c>
      <c r="BJ506" s="5">
        <v>10</v>
      </c>
      <c r="BK506" s="5">
        <v>176</v>
      </c>
      <c r="BL506" s="5">
        <v>102</v>
      </c>
      <c r="BM506" s="5">
        <v>50</v>
      </c>
      <c r="BN506" s="5">
        <v>156</v>
      </c>
      <c r="BO506" s="5">
        <f t="shared" si="7"/>
        <v>20.5456936226167</v>
      </c>
      <c r="BP506" s="5" t="s">
        <v>113</v>
      </c>
      <c r="BQ506" s="5" t="s">
        <v>76</v>
      </c>
      <c r="BR506" s="5">
        <v>7802</v>
      </c>
    </row>
    <row r="507" s="1" customFormat="1" spans="1:70">
      <c r="A507" s="1">
        <v>3263149</v>
      </c>
      <c r="B507" s="1" t="s">
        <v>1464</v>
      </c>
      <c r="D507" s="4">
        <v>44933</v>
      </c>
      <c r="E507" s="4">
        <v>44944</v>
      </c>
      <c r="F507" s="7">
        <v>17652</v>
      </c>
      <c r="G507" s="1">
        <v>40</v>
      </c>
      <c r="H507" s="1">
        <v>8</v>
      </c>
      <c r="I507" s="1">
        <v>58</v>
      </c>
      <c r="J507" s="1">
        <v>8</v>
      </c>
      <c r="K507" s="1">
        <v>33</v>
      </c>
      <c r="L507" s="1">
        <v>16</v>
      </c>
      <c r="M507" s="1">
        <v>3.12</v>
      </c>
      <c r="N507" s="1">
        <v>32</v>
      </c>
      <c r="O507" s="7">
        <v>17652</v>
      </c>
      <c r="P507" s="4">
        <v>44933</v>
      </c>
      <c r="Q507" s="4">
        <v>44944</v>
      </c>
      <c r="R507" s="1" t="s">
        <v>80</v>
      </c>
      <c r="AO507" s="7">
        <v>17652</v>
      </c>
      <c r="AP507" s="5">
        <v>9.5</v>
      </c>
      <c r="AQ507" s="5">
        <v>138</v>
      </c>
      <c r="AR507" s="5">
        <v>42.3</v>
      </c>
      <c r="AS507" s="5">
        <v>77</v>
      </c>
      <c r="AT507" s="5">
        <v>92</v>
      </c>
      <c r="AU507" s="5">
        <v>58</v>
      </c>
      <c r="AV507" s="5">
        <v>41.1</v>
      </c>
      <c r="AW507" s="5">
        <v>9.9</v>
      </c>
      <c r="AX507" s="5">
        <v>285</v>
      </c>
      <c r="AY507" s="5">
        <v>63.66</v>
      </c>
      <c r="AZ507" s="5" t="s">
        <v>75</v>
      </c>
      <c r="BA507" s="5">
        <v>3.91</v>
      </c>
      <c r="BB507" s="12" t="s">
        <v>76</v>
      </c>
      <c r="BC507" s="5">
        <v>5.01</v>
      </c>
      <c r="BD507" s="5">
        <v>138</v>
      </c>
      <c r="BE507" s="5">
        <v>0.98</v>
      </c>
      <c r="BF507" s="5">
        <v>2.7</v>
      </c>
      <c r="BG507" s="15">
        <v>36.3</v>
      </c>
      <c r="BH507" s="5">
        <v>103</v>
      </c>
      <c r="BI507" s="5">
        <v>103</v>
      </c>
      <c r="BJ507" s="5">
        <v>18</v>
      </c>
      <c r="BK507" s="5">
        <v>112</v>
      </c>
      <c r="BL507" s="5">
        <v>82</v>
      </c>
      <c r="BM507" s="5">
        <v>70</v>
      </c>
      <c r="BN507" s="5">
        <v>170</v>
      </c>
      <c r="BO507" s="5">
        <f t="shared" si="7"/>
        <v>24.2214532871972</v>
      </c>
      <c r="BP507" s="5" t="s">
        <v>156</v>
      </c>
      <c r="BQ507" s="5">
        <v>8.6</v>
      </c>
      <c r="BR507" s="5">
        <v>8908</v>
      </c>
    </row>
    <row r="508" s="1" customFormat="1" spans="1:70">
      <c r="A508" s="1">
        <v>3258918</v>
      </c>
      <c r="B508" s="1" t="s">
        <v>1465</v>
      </c>
      <c r="D508" s="4">
        <v>44926</v>
      </c>
      <c r="E508" s="4">
        <v>44953</v>
      </c>
      <c r="F508" s="7">
        <v>17657</v>
      </c>
      <c r="G508" s="1">
        <v>43</v>
      </c>
      <c r="H508" s="1">
        <v>8</v>
      </c>
      <c r="I508" s="1">
        <v>61</v>
      </c>
      <c r="J508" s="1">
        <v>8</v>
      </c>
      <c r="K508" s="1">
        <v>39</v>
      </c>
      <c r="L508" s="1">
        <v>19</v>
      </c>
      <c r="M508" s="1">
        <v>0.84</v>
      </c>
      <c r="N508" s="1">
        <v>29.1</v>
      </c>
      <c r="O508" s="7">
        <v>17657</v>
      </c>
      <c r="P508" s="4">
        <v>44926</v>
      </c>
      <c r="Q508" s="4">
        <v>44953</v>
      </c>
      <c r="R508" s="1" t="s">
        <v>80</v>
      </c>
      <c r="AO508" s="7">
        <v>17657</v>
      </c>
      <c r="AP508" s="5">
        <v>8.5</v>
      </c>
      <c r="AQ508" s="5">
        <v>135</v>
      </c>
      <c r="AR508" s="5">
        <v>40</v>
      </c>
      <c r="AS508" s="5">
        <v>318.4</v>
      </c>
      <c r="AT508" s="5">
        <v>51</v>
      </c>
      <c r="AU508" s="5">
        <v>94</v>
      </c>
      <c r="AV508" s="5">
        <v>39.8</v>
      </c>
      <c r="AW508" s="5">
        <v>9.9</v>
      </c>
      <c r="AX508" s="5">
        <v>72</v>
      </c>
      <c r="AY508" s="5" t="s">
        <v>76</v>
      </c>
      <c r="AZ508" s="5" t="s">
        <v>75</v>
      </c>
      <c r="BA508" s="5">
        <v>7.38</v>
      </c>
      <c r="BB508" s="12" t="s">
        <v>76</v>
      </c>
      <c r="BC508" s="5">
        <v>3.99</v>
      </c>
      <c r="BD508" s="5">
        <v>135</v>
      </c>
      <c r="BE508" s="5" t="s">
        <v>76</v>
      </c>
      <c r="BF508" s="5" t="s">
        <v>76</v>
      </c>
      <c r="BG508" s="15">
        <v>36.6</v>
      </c>
      <c r="BH508" s="5">
        <v>82</v>
      </c>
      <c r="BI508" s="5" t="s">
        <v>76</v>
      </c>
      <c r="BJ508" s="5">
        <v>18</v>
      </c>
      <c r="BK508" s="5">
        <v>107</v>
      </c>
      <c r="BL508" s="5">
        <v>72</v>
      </c>
      <c r="BM508" s="5">
        <v>62</v>
      </c>
      <c r="BN508" s="5">
        <v>150</v>
      </c>
      <c r="BO508" s="5">
        <f t="shared" si="7"/>
        <v>27.5555555555556</v>
      </c>
      <c r="BP508" s="5" t="s">
        <v>622</v>
      </c>
      <c r="BQ508" s="5" t="s">
        <v>76</v>
      </c>
      <c r="BR508" s="5">
        <v>9433</v>
      </c>
    </row>
    <row r="509" s="1" customFormat="1" spans="1:70">
      <c r="A509" s="1">
        <v>3334109</v>
      </c>
      <c r="B509" s="1" t="s">
        <v>1466</v>
      </c>
      <c r="D509" s="4">
        <v>45037</v>
      </c>
      <c r="E509" s="4">
        <v>45046</v>
      </c>
      <c r="F509" s="7">
        <v>17659</v>
      </c>
      <c r="G509" s="1">
        <v>36</v>
      </c>
      <c r="H509" s="1">
        <v>9</v>
      </c>
      <c r="I509" s="1">
        <v>46</v>
      </c>
      <c r="J509" s="1">
        <v>9</v>
      </c>
      <c r="K509" s="1">
        <v>60</v>
      </c>
      <c r="L509" s="1">
        <v>32</v>
      </c>
      <c r="M509" s="1">
        <v>0.56</v>
      </c>
      <c r="N509" s="1">
        <v>10.7</v>
      </c>
      <c r="O509" s="7">
        <v>17659</v>
      </c>
      <c r="P509" s="4">
        <v>45037</v>
      </c>
      <c r="Q509" s="4">
        <v>45046</v>
      </c>
      <c r="R509" s="1" t="s">
        <v>73</v>
      </c>
      <c r="AO509" s="7">
        <v>17659</v>
      </c>
      <c r="AP509" s="5">
        <v>8.6</v>
      </c>
      <c r="AQ509" s="5">
        <v>97</v>
      </c>
      <c r="AR509" s="5">
        <v>32.8</v>
      </c>
      <c r="AS509" s="5">
        <v>12.3</v>
      </c>
      <c r="AT509" s="5">
        <v>17</v>
      </c>
      <c r="AU509" s="5">
        <v>8</v>
      </c>
      <c r="AV509" s="5">
        <v>37.7</v>
      </c>
      <c r="AW509" s="5">
        <v>4.8</v>
      </c>
      <c r="AX509" s="5">
        <v>23</v>
      </c>
      <c r="AY509" s="5" t="s">
        <v>76</v>
      </c>
      <c r="AZ509" s="5" t="s">
        <v>75</v>
      </c>
      <c r="BA509" s="5">
        <v>4.16</v>
      </c>
      <c r="BB509" s="12" t="s">
        <v>76</v>
      </c>
      <c r="BC509" s="5">
        <v>3.06</v>
      </c>
      <c r="BD509" s="5">
        <v>97</v>
      </c>
      <c r="BE509" s="5">
        <v>1.12</v>
      </c>
      <c r="BF509" s="5">
        <v>2.38</v>
      </c>
      <c r="BG509" s="15">
        <v>36.5</v>
      </c>
      <c r="BH509" s="5">
        <v>78</v>
      </c>
      <c r="BI509" s="5">
        <v>78</v>
      </c>
      <c r="BJ509" s="5">
        <v>18</v>
      </c>
      <c r="BK509" s="5">
        <v>140</v>
      </c>
      <c r="BL509" s="5">
        <v>90</v>
      </c>
      <c r="BM509" s="5" t="s">
        <v>77</v>
      </c>
      <c r="BN509" s="5" t="s">
        <v>77</v>
      </c>
      <c r="BO509" s="5" t="e">
        <f t="shared" si="7"/>
        <v>#VALUE!</v>
      </c>
      <c r="BP509" s="5" t="s">
        <v>639</v>
      </c>
      <c r="BQ509" s="5" t="s">
        <v>76</v>
      </c>
      <c r="BR509" s="5">
        <v>2125</v>
      </c>
    </row>
    <row r="510" s="1" customFormat="1" spans="1:70">
      <c r="A510" s="1">
        <v>3322206</v>
      </c>
      <c r="B510" s="1" t="s">
        <v>1467</v>
      </c>
      <c r="D510" s="4">
        <v>45021</v>
      </c>
      <c r="E510" s="4">
        <v>45023</v>
      </c>
      <c r="F510" s="7">
        <v>17665</v>
      </c>
      <c r="G510" s="1">
        <v>43</v>
      </c>
      <c r="H510" s="1">
        <v>10</v>
      </c>
      <c r="I510" s="1">
        <v>49</v>
      </c>
      <c r="J510" s="1">
        <v>10</v>
      </c>
      <c r="K510" s="1">
        <v>64</v>
      </c>
      <c r="L510" s="1">
        <v>36</v>
      </c>
      <c r="M510" s="1">
        <v>1.92</v>
      </c>
      <c r="N510" s="1">
        <v>11.4</v>
      </c>
      <c r="O510" s="7">
        <v>17665</v>
      </c>
      <c r="P510" s="4">
        <v>45021</v>
      </c>
      <c r="Q510" s="4">
        <v>45023</v>
      </c>
      <c r="R510" s="1" t="s">
        <v>80</v>
      </c>
      <c r="S510" s="1">
        <v>74</v>
      </c>
      <c r="T510" s="1" t="s">
        <v>1468</v>
      </c>
      <c r="Z510" s="1">
        <v>1</v>
      </c>
      <c r="AH510" s="1">
        <v>1</v>
      </c>
      <c r="AK510" s="1">
        <v>1</v>
      </c>
      <c r="AM510" s="1">
        <v>1</v>
      </c>
      <c r="AO510" s="7">
        <v>17665</v>
      </c>
      <c r="AP510" s="5">
        <v>5.2</v>
      </c>
      <c r="AQ510" s="5">
        <v>148</v>
      </c>
      <c r="AR510" s="5">
        <v>45.5</v>
      </c>
      <c r="AS510" s="5">
        <v>1.9</v>
      </c>
      <c r="AT510" s="5">
        <v>28</v>
      </c>
      <c r="AU510" s="5">
        <v>21</v>
      </c>
      <c r="AV510" s="5">
        <v>42.1</v>
      </c>
      <c r="AW510" s="5">
        <v>4.91</v>
      </c>
      <c r="AX510" s="5">
        <v>76</v>
      </c>
      <c r="AY510" s="5">
        <v>92.44</v>
      </c>
      <c r="AZ510" s="5">
        <v>4.91</v>
      </c>
      <c r="BA510" s="5">
        <v>4.22</v>
      </c>
      <c r="BB510" s="12" t="s">
        <v>76</v>
      </c>
      <c r="BC510" s="5">
        <v>4.31</v>
      </c>
      <c r="BD510" s="5">
        <v>148</v>
      </c>
      <c r="BE510" s="5">
        <v>0.84</v>
      </c>
      <c r="BF510" s="5">
        <v>2.81</v>
      </c>
      <c r="BG510" s="15">
        <v>36.5</v>
      </c>
      <c r="BH510" s="5">
        <v>60</v>
      </c>
      <c r="BI510" s="5">
        <v>60</v>
      </c>
      <c r="BJ510" s="5">
        <v>19</v>
      </c>
      <c r="BK510" s="5">
        <v>112</v>
      </c>
      <c r="BL510" s="5">
        <v>68</v>
      </c>
      <c r="BM510" s="5">
        <v>68</v>
      </c>
      <c r="BN510" s="5">
        <v>165</v>
      </c>
      <c r="BO510" s="5">
        <f t="shared" si="7"/>
        <v>24.9770431588613</v>
      </c>
      <c r="BP510" s="5" t="s">
        <v>107</v>
      </c>
      <c r="BQ510" s="5">
        <v>5.5</v>
      </c>
      <c r="BR510" s="5">
        <v>1239</v>
      </c>
    </row>
    <row r="511" s="1" customFormat="1" spans="1:70">
      <c r="A511" s="1" t="s">
        <v>1469</v>
      </c>
      <c r="B511" s="1" t="s">
        <v>1470</v>
      </c>
      <c r="D511" s="4">
        <v>44964</v>
      </c>
      <c r="E511" s="4">
        <v>44968</v>
      </c>
      <c r="F511" s="7">
        <v>17673</v>
      </c>
      <c r="G511" s="1">
        <v>45</v>
      </c>
      <c r="H511" s="1">
        <v>10</v>
      </c>
      <c r="I511" s="1">
        <v>49</v>
      </c>
      <c r="J511" s="1">
        <v>10</v>
      </c>
      <c r="K511" s="1">
        <v>58</v>
      </c>
      <c r="L511" s="1">
        <v>31</v>
      </c>
      <c r="N511" s="1">
        <v>19.4</v>
      </c>
      <c r="O511" s="7">
        <v>17673</v>
      </c>
      <c r="P511" s="4">
        <v>44964</v>
      </c>
      <c r="Q511" s="4">
        <v>44968</v>
      </c>
      <c r="R511" s="1" t="s">
        <v>73</v>
      </c>
      <c r="AO511" s="7">
        <v>17673</v>
      </c>
      <c r="AP511" s="5" t="s">
        <v>1353</v>
      </c>
      <c r="AQ511" s="5" t="s">
        <v>284</v>
      </c>
      <c r="AR511" s="5" t="s">
        <v>420</v>
      </c>
      <c r="AS511" s="5" t="s">
        <v>1471</v>
      </c>
      <c r="AT511" s="5" t="s">
        <v>246</v>
      </c>
      <c r="AU511" s="5" t="s">
        <v>769</v>
      </c>
      <c r="AV511" s="5" t="s">
        <v>730</v>
      </c>
      <c r="AW511" s="5" t="s">
        <v>1472</v>
      </c>
      <c r="AX511" s="5" t="s">
        <v>204</v>
      </c>
      <c r="AY511" s="5" t="s">
        <v>76</v>
      </c>
      <c r="AZ511" s="5" t="s">
        <v>75</v>
      </c>
      <c r="BA511" s="5" t="s">
        <v>1473</v>
      </c>
      <c r="BB511" s="12" t="s">
        <v>76</v>
      </c>
      <c r="BC511" s="5" t="s">
        <v>539</v>
      </c>
      <c r="BD511" s="5" t="s">
        <v>284</v>
      </c>
      <c r="BE511" s="5" t="s">
        <v>76</v>
      </c>
      <c r="BF511" s="5" t="s">
        <v>76</v>
      </c>
      <c r="BG511" s="15">
        <v>36.4</v>
      </c>
      <c r="BH511" s="5" t="s">
        <v>1474</v>
      </c>
      <c r="BI511" s="5" t="s">
        <v>572</v>
      </c>
      <c r="BJ511" s="5" t="s">
        <v>1475</v>
      </c>
      <c r="BK511" s="5" t="s">
        <v>351</v>
      </c>
      <c r="BL511" s="5" t="s">
        <v>572</v>
      </c>
      <c r="BM511" s="5" t="s">
        <v>336</v>
      </c>
      <c r="BN511" s="5">
        <v>160</v>
      </c>
      <c r="BO511" s="5">
        <f t="shared" si="7"/>
        <v>29.296875</v>
      </c>
      <c r="BP511" s="5" t="s">
        <v>1268</v>
      </c>
      <c r="BQ511" s="5" t="s">
        <v>76</v>
      </c>
      <c r="BR511" s="5">
        <v>3216</v>
      </c>
    </row>
    <row r="512" s="1" customFormat="1" spans="1:70">
      <c r="A512" s="1">
        <v>3330916</v>
      </c>
      <c r="B512" s="1" t="s">
        <v>1476</v>
      </c>
      <c r="D512" s="4">
        <v>45033</v>
      </c>
      <c r="E512" s="4">
        <v>45040</v>
      </c>
      <c r="F512" s="7">
        <v>17678</v>
      </c>
      <c r="G512" s="1">
        <v>36</v>
      </c>
      <c r="H512" s="1">
        <v>10</v>
      </c>
      <c r="I512" s="1">
        <v>59</v>
      </c>
      <c r="J512" s="1">
        <v>10</v>
      </c>
      <c r="K512" s="1">
        <v>36</v>
      </c>
      <c r="M512" s="1">
        <v>0.64</v>
      </c>
      <c r="O512" s="7">
        <v>17678</v>
      </c>
      <c r="P512" s="4">
        <v>45033</v>
      </c>
      <c r="Q512" s="4">
        <v>45040</v>
      </c>
      <c r="R512" s="1" t="s">
        <v>80</v>
      </c>
      <c r="AO512" s="7">
        <v>17678</v>
      </c>
      <c r="AP512" s="5">
        <v>9.3</v>
      </c>
      <c r="AQ512" s="5">
        <v>171</v>
      </c>
      <c r="AR512" s="5">
        <v>54.8</v>
      </c>
      <c r="AS512" s="5">
        <v>98.3</v>
      </c>
      <c r="AT512" s="5">
        <v>46</v>
      </c>
      <c r="AU512" s="5">
        <v>77</v>
      </c>
      <c r="AV512" s="5">
        <v>33.1</v>
      </c>
      <c r="AW512" s="5">
        <v>23.89</v>
      </c>
      <c r="AX512" s="5">
        <v>175</v>
      </c>
      <c r="AY512" s="5">
        <v>44.22</v>
      </c>
      <c r="AZ512" s="5">
        <v>9.1</v>
      </c>
      <c r="BA512" s="5" t="s">
        <v>76</v>
      </c>
      <c r="BB512" s="12" t="s">
        <v>76</v>
      </c>
      <c r="BC512" s="5">
        <v>5.42</v>
      </c>
      <c r="BD512" s="5">
        <v>171</v>
      </c>
      <c r="BE512" s="5" t="s">
        <v>76</v>
      </c>
      <c r="BF512" s="5" t="s">
        <v>76</v>
      </c>
      <c r="BG512" s="15">
        <v>36.5</v>
      </c>
      <c r="BH512" s="5" t="s">
        <v>76</v>
      </c>
      <c r="BI512" s="5">
        <v>119</v>
      </c>
      <c r="BJ512" s="5">
        <v>12</v>
      </c>
      <c r="BK512" s="5">
        <v>126</v>
      </c>
      <c r="BL512" s="5">
        <v>92</v>
      </c>
      <c r="BM512" s="5" t="s">
        <v>77</v>
      </c>
      <c r="BN512" s="5" t="s">
        <v>77</v>
      </c>
      <c r="BO512" s="5" t="e">
        <f t="shared" si="7"/>
        <v>#VALUE!</v>
      </c>
      <c r="BP512" s="5" t="s">
        <v>117</v>
      </c>
      <c r="BQ512" s="5" t="s">
        <v>76</v>
      </c>
      <c r="BR512" s="5">
        <v>8992</v>
      </c>
    </row>
    <row r="513" s="1" customFormat="1" spans="1:70">
      <c r="A513" s="1">
        <v>3296927</v>
      </c>
      <c r="B513" s="1" t="s">
        <v>1477</v>
      </c>
      <c r="D513" s="4">
        <v>44986</v>
      </c>
      <c r="E513" s="4">
        <v>44999</v>
      </c>
      <c r="F513" s="7">
        <v>17678</v>
      </c>
      <c r="G513" s="1">
        <v>36</v>
      </c>
      <c r="H513" s="1">
        <v>10</v>
      </c>
      <c r="I513" s="1">
        <v>50</v>
      </c>
      <c r="J513" s="1">
        <v>10</v>
      </c>
      <c r="K513" s="1">
        <v>52</v>
      </c>
      <c r="L513" s="1">
        <v>27</v>
      </c>
      <c r="M513" s="1">
        <v>0.59</v>
      </c>
      <c r="N513" s="1">
        <v>10.6</v>
      </c>
      <c r="O513" s="7">
        <v>17678</v>
      </c>
      <c r="P513" s="4">
        <v>44986</v>
      </c>
      <c r="Q513" s="4">
        <v>44999</v>
      </c>
      <c r="R513" s="1" t="s">
        <v>80</v>
      </c>
      <c r="S513" s="1">
        <v>74</v>
      </c>
      <c r="T513" s="1" t="s">
        <v>1478</v>
      </c>
      <c r="V513" s="1">
        <v>1</v>
      </c>
      <c r="Z513" s="1">
        <v>1</v>
      </c>
      <c r="AA513" s="1">
        <v>1</v>
      </c>
      <c r="AG513" s="1">
        <v>1</v>
      </c>
      <c r="AI513" s="1">
        <v>1</v>
      </c>
      <c r="AK513" s="1">
        <v>1</v>
      </c>
      <c r="AO513" s="7">
        <v>17678</v>
      </c>
      <c r="AP513" s="5">
        <v>9.3</v>
      </c>
      <c r="AQ513" s="5">
        <v>96</v>
      </c>
      <c r="AR513" s="5">
        <v>39.3</v>
      </c>
      <c r="AS513" s="5">
        <v>64.7</v>
      </c>
      <c r="AT513" s="5">
        <v>64</v>
      </c>
      <c r="AU513" s="5">
        <v>61</v>
      </c>
      <c r="AV513" s="5">
        <v>34.2</v>
      </c>
      <c r="AW513" s="5">
        <v>9.18</v>
      </c>
      <c r="AX513" s="5">
        <v>179</v>
      </c>
      <c r="AY513" s="5">
        <v>60.33</v>
      </c>
      <c r="AZ513" s="5" t="s">
        <v>75</v>
      </c>
      <c r="BA513" s="5">
        <v>3.92</v>
      </c>
      <c r="BB513" s="12" t="s">
        <v>76</v>
      </c>
      <c r="BC513" s="5">
        <v>4.47</v>
      </c>
      <c r="BD513" s="5">
        <v>96</v>
      </c>
      <c r="BE513" s="5">
        <v>0.81</v>
      </c>
      <c r="BF513" s="5">
        <v>2.25</v>
      </c>
      <c r="BG513" s="15">
        <v>36.6</v>
      </c>
      <c r="BH513" s="5">
        <v>96</v>
      </c>
      <c r="BI513" s="5">
        <v>96</v>
      </c>
      <c r="BJ513" s="5">
        <v>24</v>
      </c>
      <c r="BK513" s="5">
        <v>189</v>
      </c>
      <c r="BL513" s="5">
        <v>58</v>
      </c>
      <c r="BM513" s="5" t="s">
        <v>77</v>
      </c>
      <c r="BN513" s="5" t="s">
        <v>77</v>
      </c>
      <c r="BO513" s="5" t="e">
        <f t="shared" si="7"/>
        <v>#VALUE!</v>
      </c>
      <c r="BP513" s="5" t="s">
        <v>107</v>
      </c>
      <c r="BQ513" s="5">
        <v>5.8</v>
      </c>
      <c r="BR513" s="5">
        <v>5753</v>
      </c>
    </row>
    <row r="514" s="1" customFormat="1" spans="1:70">
      <c r="A514" s="1">
        <v>3491921</v>
      </c>
      <c r="B514" s="1" t="s">
        <v>1479</v>
      </c>
      <c r="D514" s="4">
        <v>45256</v>
      </c>
      <c r="E514" s="4">
        <v>45294</v>
      </c>
      <c r="F514" s="7">
        <v>17678</v>
      </c>
      <c r="G514" s="1">
        <v>29</v>
      </c>
      <c r="H514" s="1">
        <v>9</v>
      </c>
      <c r="I514" s="1">
        <v>41</v>
      </c>
      <c r="J514" s="1">
        <v>9</v>
      </c>
      <c r="K514" s="1">
        <v>58</v>
      </c>
      <c r="L514" s="1">
        <v>30</v>
      </c>
      <c r="M514" s="1">
        <v>0.78</v>
      </c>
      <c r="O514" s="7">
        <v>17678</v>
      </c>
      <c r="P514" s="4">
        <v>45256</v>
      </c>
      <c r="Q514" s="4">
        <v>45294</v>
      </c>
      <c r="R514" s="1" t="s">
        <v>80</v>
      </c>
      <c r="AO514" s="7">
        <v>17678</v>
      </c>
      <c r="AP514" s="5">
        <v>8.6</v>
      </c>
      <c r="AQ514" s="5">
        <v>99</v>
      </c>
      <c r="AR514" s="5" t="s">
        <v>1480</v>
      </c>
      <c r="AS514" s="5" t="s">
        <v>1481</v>
      </c>
      <c r="AT514" s="5">
        <v>99</v>
      </c>
      <c r="AU514" s="5">
        <v>95</v>
      </c>
      <c r="AV514" s="5">
        <v>37.4</v>
      </c>
      <c r="AW514" s="5">
        <v>9.99</v>
      </c>
      <c r="AX514" s="5">
        <v>93</v>
      </c>
      <c r="AY514" s="5" t="s">
        <v>125</v>
      </c>
      <c r="AZ514" s="5" t="s">
        <v>75</v>
      </c>
      <c r="BA514" s="5" t="s">
        <v>76</v>
      </c>
      <c r="BB514" s="12" t="s">
        <v>76</v>
      </c>
      <c r="BC514" s="5">
        <v>5.33</v>
      </c>
      <c r="BD514" s="5">
        <v>99</v>
      </c>
      <c r="BE514" s="5" t="s">
        <v>76</v>
      </c>
      <c r="BF514" s="5" t="s">
        <v>76</v>
      </c>
      <c r="BG514" s="15">
        <v>36.6</v>
      </c>
      <c r="BH514" s="5">
        <v>78</v>
      </c>
      <c r="BI514" s="5">
        <v>78</v>
      </c>
      <c r="BJ514" s="5">
        <v>20</v>
      </c>
      <c r="BK514" s="5">
        <v>150</v>
      </c>
      <c r="BL514" s="5">
        <v>58</v>
      </c>
      <c r="BM514" s="5">
        <v>68</v>
      </c>
      <c r="BN514" s="5">
        <v>173</v>
      </c>
      <c r="BO514" s="5">
        <f t="shared" si="7"/>
        <v>22.7204383708109</v>
      </c>
      <c r="BP514" s="5" t="s">
        <v>174</v>
      </c>
      <c r="BQ514" s="5" t="s">
        <v>76</v>
      </c>
      <c r="BR514" s="5">
        <v>915</v>
      </c>
    </row>
    <row r="515" s="1" customFormat="1" spans="1:70">
      <c r="A515" s="1">
        <v>3244867</v>
      </c>
      <c r="B515" s="1" t="s">
        <v>1482</v>
      </c>
      <c r="D515" s="4">
        <v>44890</v>
      </c>
      <c r="E515" s="4">
        <v>44897</v>
      </c>
      <c r="F515" s="7">
        <v>17689</v>
      </c>
      <c r="G515" s="1">
        <v>58</v>
      </c>
      <c r="H515" s="1">
        <v>10</v>
      </c>
      <c r="I515" s="1">
        <v>60</v>
      </c>
      <c r="J515" s="1">
        <v>7</v>
      </c>
      <c r="K515" s="1">
        <v>46</v>
      </c>
      <c r="N515" s="1">
        <v>9.5</v>
      </c>
      <c r="O515" s="7">
        <v>17689</v>
      </c>
      <c r="P515" s="4">
        <v>44890</v>
      </c>
      <c r="Q515" s="4">
        <v>44897</v>
      </c>
      <c r="R515" s="1" t="s">
        <v>80</v>
      </c>
      <c r="AO515" s="7">
        <v>17689</v>
      </c>
      <c r="AP515" s="5">
        <v>5.7</v>
      </c>
      <c r="AQ515" s="5">
        <v>125</v>
      </c>
      <c r="AR515" s="5">
        <v>37.9</v>
      </c>
      <c r="AS515" s="5">
        <v>1.1</v>
      </c>
      <c r="AT515" s="5">
        <v>38</v>
      </c>
      <c r="AU515" s="5">
        <v>67</v>
      </c>
      <c r="AV515" s="5">
        <v>46.5</v>
      </c>
      <c r="AW515" s="5">
        <v>9.1</v>
      </c>
      <c r="AX515" s="5">
        <v>98</v>
      </c>
      <c r="AY515" s="5">
        <v>74.15</v>
      </c>
      <c r="AZ515" s="5">
        <v>5.97</v>
      </c>
      <c r="BA515" s="5">
        <v>2.74</v>
      </c>
      <c r="BB515" s="12" t="s">
        <v>76</v>
      </c>
      <c r="BC515" s="5">
        <v>4.26</v>
      </c>
      <c r="BD515" s="5">
        <v>125</v>
      </c>
      <c r="BE515" s="5">
        <v>1.12</v>
      </c>
      <c r="BF515" s="5">
        <v>0.85</v>
      </c>
      <c r="BG515" s="15">
        <v>36.6</v>
      </c>
      <c r="BH515" s="5">
        <v>90</v>
      </c>
      <c r="BI515" s="5">
        <v>126</v>
      </c>
      <c r="BJ515" s="5">
        <v>19</v>
      </c>
      <c r="BK515" s="5">
        <v>115</v>
      </c>
      <c r="BL515" s="5">
        <v>100</v>
      </c>
      <c r="BM515" s="5">
        <v>105</v>
      </c>
      <c r="BN515" s="5">
        <v>172</v>
      </c>
      <c r="BO515" s="5">
        <f t="shared" ref="BO515:BO578" si="8">BM515/(BN515/100)^2</f>
        <v>35.4921579232017</v>
      </c>
      <c r="BP515" s="5" t="s">
        <v>156</v>
      </c>
      <c r="BQ515" s="5">
        <v>5.7</v>
      </c>
      <c r="BR515" s="5">
        <v>4083</v>
      </c>
    </row>
    <row r="516" s="1" customFormat="1" spans="1:70">
      <c r="A516" s="1">
        <v>3493281</v>
      </c>
      <c r="B516" s="1" t="s">
        <v>1483</v>
      </c>
      <c r="D516" s="4">
        <v>45258</v>
      </c>
      <c r="E516" s="4">
        <v>45264</v>
      </c>
      <c r="F516" s="7">
        <v>17715</v>
      </c>
      <c r="G516" s="1">
        <v>53</v>
      </c>
      <c r="H516" s="1">
        <v>9</v>
      </c>
      <c r="I516" s="1">
        <v>40</v>
      </c>
      <c r="J516" s="1">
        <v>9</v>
      </c>
      <c r="K516" s="1">
        <v>52</v>
      </c>
      <c r="L516" s="1">
        <v>26</v>
      </c>
      <c r="N516" s="1">
        <v>19.4</v>
      </c>
      <c r="O516" s="7">
        <v>17715</v>
      </c>
      <c r="P516" s="4">
        <v>45258</v>
      </c>
      <c r="Q516" s="4">
        <v>45264</v>
      </c>
      <c r="R516" s="1" t="s">
        <v>73</v>
      </c>
      <c r="AO516" s="7">
        <v>17715</v>
      </c>
      <c r="AP516" s="5">
        <v>5.8</v>
      </c>
      <c r="AQ516" s="5">
        <v>80</v>
      </c>
      <c r="AR516" s="5">
        <v>28.9</v>
      </c>
      <c r="AS516" s="5">
        <v>5.9</v>
      </c>
      <c r="AT516" s="5">
        <v>19</v>
      </c>
      <c r="AU516" s="5">
        <v>12</v>
      </c>
      <c r="AV516" s="5">
        <v>37.8</v>
      </c>
      <c r="AW516" s="5">
        <v>11.33</v>
      </c>
      <c r="AX516" s="5">
        <v>68</v>
      </c>
      <c r="AY516" s="5">
        <v>77.77</v>
      </c>
      <c r="AZ516" s="5" t="s">
        <v>75</v>
      </c>
      <c r="BA516" s="5">
        <v>3.2</v>
      </c>
      <c r="BB516" s="12" t="s">
        <v>76</v>
      </c>
      <c r="BC516" s="5">
        <v>4.58</v>
      </c>
      <c r="BD516" s="5">
        <v>80</v>
      </c>
      <c r="BE516" s="5" t="s">
        <v>76</v>
      </c>
      <c r="BF516" s="5" t="s">
        <v>76</v>
      </c>
      <c r="BG516" s="15">
        <v>36.4</v>
      </c>
      <c r="BH516" s="5">
        <v>72</v>
      </c>
      <c r="BI516" s="5">
        <v>86</v>
      </c>
      <c r="BJ516" s="5">
        <v>20</v>
      </c>
      <c r="BK516" s="5">
        <v>125</v>
      </c>
      <c r="BL516" s="5">
        <v>67</v>
      </c>
      <c r="BM516" s="5">
        <v>45</v>
      </c>
      <c r="BN516" s="5">
        <v>158</v>
      </c>
      <c r="BO516" s="5">
        <f t="shared" si="8"/>
        <v>18.0259573786252</v>
      </c>
      <c r="BP516" s="5" t="s">
        <v>107</v>
      </c>
      <c r="BQ516" s="5">
        <v>5.6</v>
      </c>
      <c r="BR516" s="5">
        <v>4338.08</v>
      </c>
    </row>
    <row r="517" s="1" customFormat="1" spans="1:70">
      <c r="A517" s="1">
        <v>3512458</v>
      </c>
      <c r="B517" s="1" t="s">
        <v>1484</v>
      </c>
      <c r="D517" s="4">
        <v>45284</v>
      </c>
      <c r="E517" s="4">
        <v>45295</v>
      </c>
      <c r="F517" s="7">
        <v>17726</v>
      </c>
      <c r="G517" s="1">
        <v>40</v>
      </c>
      <c r="H517" s="1">
        <v>8</v>
      </c>
      <c r="I517" s="1">
        <v>52</v>
      </c>
      <c r="J517" s="1">
        <v>8</v>
      </c>
      <c r="K517" s="1">
        <v>41</v>
      </c>
      <c r="L517" s="1">
        <v>21</v>
      </c>
      <c r="M517" s="1">
        <v>0.98</v>
      </c>
      <c r="N517" s="1">
        <v>12.6</v>
      </c>
      <c r="O517" s="7">
        <v>17726</v>
      </c>
      <c r="P517" s="4">
        <v>45284</v>
      </c>
      <c r="Q517" s="4">
        <v>45295</v>
      </c>
      <c r="R517" s="1" t="s">
        <v>73</v>
      </c>
      <c r="AO517" s="7">
        <v>17726</v>
      </c>
      <c r="AP517" s="5">
        <v>5.5</v>
      </c>
      <c r="AQ517" s="5">
        <v>149</v>
      </c>
      <c r="AR517" s="5">
        <v>47.7</v>
      </c>
      <c r="AS517" s="5">
        <v>9.5</v>
      </c>
      <c r="AT517" s="5">
        <v>90</v>
      </c>
      <c r="AU517" s="5">
        <v>86</v>
      </c>
      <c r="AV517" s="5">
        <v>36</v>
      </c>
      <c r="AW517" s="5">
        <v>8.67</v>
      </c>
      <c r="AX517" s="5">
        <v>85</v>
      </c>
      <c r="AY517" s="5" t="s">
        <v>125</v>
      </c>
      <c r="AZ517" s="5" t="s">
        <v>75</v>
      </c>
      <c r="BA517" s="5" t="s">
        <v>76</v>
      </c>
      <c r="BB517" s="12" t="s">
        <v>76</v>
      </c>
      <c r="BC517" s="5">
        <v>3.87</v>
      </c>
      <c r="BD517" s="5">
        <v>149</v>
      </c>
      <c r="BE517" s="5" t="s">
        <v>76</v>
      </c>
      <c r="BF517" s="5" t="s">
        <v>76</v>
      </c>
      <c r="BG517" s="15">
        <v>36.3</v>
      </c>
      <c r="BH517" s="5" t="s">
        <v>76</v>
      </c>
      <c r="BI517" s="5">
        <v>95</v>
      </c>
      <c r="BJ517" s="5">
        <v>19</v>
      </c>
      <c r="BK517" s="5">
        <v>105</v>
      </c>
      <c r="BL517" s="5">
        <v>64</v>
      </c>
      <c r="BM517" s="5" t="s">
        <v>77</v>
      </c>
      <c r="BN517" s="5" t="s">
        <v>77</v>
      </c>
      <c r="BO517" s="5" t="e">
        <f t="shared" si="8"/>
        <v>#VALUE!</v>
      </c>
      <c r="BP517" s="5" t="s">
        <v>109</v>
      </c>
      <c r="BQ517" s="5">
        <v>6.1</v>
      </c>
      <c r="BR517" s="5">
        <v>9926</v>
      </c>
    </row>
    <row r="518" s="1" customFormat="1" spans="1:70">
      <c r="A518" s="1">
        <v>3323106</v>
      </c>
      <c r="B518" s="1" t="s">
        <v>1485</v>
      </c>
      <c r="D518" s="4">
        <v>45022</v>
      </c>
      <c r="E518" s="4">
        <v>45026</v>
      </c>
      <c r="F518" s="7">
        <v>17730</v>
      </c>
      <c r="G518" s="1">
        <v>37</v>
      </c>
      <c r="H518" s="1">
        <v>9</v>
      </c>
      <c r="I518" s="1">
        <v>48</v>
      </c>
      <c r="J518" s="1">
        <v>9</v>
      </c>
      <c r="K518" s="1">
        <v>63</v>
      </c>
      <c r="L518" s="1">
        <v>34</v>
      </c>
      <c r="M518" s="1">
        <v>0.79</v>
      </c>
      <c r="N518" s="1">
        <v>9.3</v>
      </c>
      <c r="O518" s="7">
        <v>17730</v>
      </c>
      <c r="P518" s="4">
        <v>45022</v>
      </c>
      <c r="Q518" s="4">
        <v>45026</v>
      </c>
      <c r="R518" s="1" t="s">
        <v>73</v>
      </c>
      <c r="AO518" s="7">
        <v>17730</v>
      </c>
      <c r="AP518" s="5">
        <v>4.4</v>
      </c>
      <c r="AQ518" s="5">
        <v>151</v>
      </c>
      <c r="AR518" s="5">
        <v>51.2</v>
      </c>
      <c r="AS518" s="5">
        <v>10.3</v>
      </c>
      <c r="AT518" s="5">
        <v>21</v>
      </c>
      <c r="AU518" s="5">
        <v>18</v>
      </c>
      <c r="AV518" s="5">
        <v>39.7</v>
      </c>
      <c r="AW518" s="5">
        <v>12.9</v>
      </c>
      <c r="AX518" s="5">
        <v>44</v>
      </c>
      <c r="AY518" s="5" t="s">
        <v>76</v>
      </c>
      <c r="AZ518" s="5">
        <v>4.54</v>
      </c>
      <c r="BA518" s="5">
        <v>3.28</v>
      </c>
      <c r="BB518" s="12" t="s">
        <v>76</v>
      </c>
      <c r="BC518" s="5">
        <v>3.09</v>
      </c>
      <c r="BD518" s="5">
        <v>151</v>
      </c>
      <c r="BE518" s="5" t="s">
        <v>76</v>
      </c>
      <c r="BF518" s="5" t="s">
        <v>76</v>
      </c>
      <c r="BG518" s="15">
        <v>36.6</v>
      </c>
      <c r="BH518" s="5">
        <v>97</v>
      </c>
      <c r="BI518" s="5">
        <v>97</v>
      </c>
      <c r="BJ518" s="5">
        <v>16</v>
      </c>
      <c r="BK518" s="5">
        <v>140</v>
      </c>
      <c r="BL518" s="5">
        <v>79</v>
      </c>
      <c r="BM518" s="5" t="s">
        <v>82</v>
      </c>
      <c r="BN518" s="5" t="s">
        <v>82</v>
      </c>
      <c r="BO518" s="5" t="e">
        <f t="shared" si="8"/>
        <v>#VALUE!</v>
      </c>
      <c r="BP518" s="5" t="s">
        <v>1486</v>
      </c>
      <c r="BQ518" s="5" t="s">
        <v>76</v>
      </c>
      <c r="BR518" s="5">
        <v>2862</v>
      </c>
    </row>
    <row r="519" s="1" customFormat="1" spans="1:70">
      <c r="A519" s="1" t="s">
        <v>1487</v>
      </c>
      <c r="B519" s="1" t="s">
        <v>1488</v>
      </c>
      <c r="D519" s="4">
        <v>44923</v>
      </c>
      <c r="E519" s="4">
        <v>44944</v>
      </c>
      <c r="F519" s="7">
        <v>17736</v>
      </c>
      <c r="G519" s="1">
        <v>32</v>
      </c>
      <c r="H519" s="1">
        <v>10</v>
      </c>
      <c r="I519" s="1">
        <v>4</v>
      </c>
      <c r="J519" s="1">
        <v>10</v>
      </c>
      <c r="K519" s="1">
        <v>57</v>
      </c>
      <c r="L519" s="1">
        <v>30</v>
      </c>
      <c r="M519" s="1">
        <v>0.67</v>
      </c>
      <c r="N519" s="1">
        <v>19</v>
      </c>
      <c r="O519" s="7">
        <v>17736</v>
      </c>
      <c r="P519" s="4">
        <v>44923</v>
      </c>
      <c r="Q519" s="4">
        <v>44944</v>
      </c>
      <c r="R519" s="1" t="s">
        <v>73</v>
      </c>
      <c r="S519" s="1">
        <v>74</v>
      </c>
      <c r="T519" s="1" t="s">
        <v>1489</v>
      </c>
      <c r="AI519" s="1">
        <v>1</v>
      </c>
      <c r="AO519" s="7">
        <v>17736</v>
      </c>
      <c r="AP519" s="5" t="s">
        <v>608</v>
      </c>
      <c r="AQ519" s="5" t="s">
        <v>1222</v>
      </c>
      <c r="AR519" s="5" t="s">
        <v>1490</v>
      </c>
      <c r="AS519" s="5" t="s">
        <v>1491</v>
      </c>
      <c r="AT519" s="5" t="s">
        <v>391</v>
      </c>
      <c r="AU519" s="5" t="s">
        <v>131</v>
      </c>
      <c r="AV519" s="5" t="s">
        <v>1492</v>
      </c>
      <c r="AW519" s="5" t="s">
        <v>1493</v>
      </c>
      <c r="AX519" s="5" t="s">
        <v>131</v>
      </c>
      <c r="AY519" s="5" t="s">
        <v>125</v>
      </c>
      <c r="AZ519" s="5" t="s">
        <v>1494</v>
      </c>
      <c r="BA519" s="5" t="s">
        <v>1343</v>
      </c>
      <c r="BB519" s="12" t="s">
        <v>76</v>
      </c>
      <c r="BC519" s="5" t="s">
        <v>1495</v>
      </c>
      <c r="BD519" s="5" t="s">
        <v>1222</v>
      </c>
      <c r="BE519" s="5" t="s">
        <v>1496</v>
      </c>
      <c r="BF519" s="5" t="s">
        <v>1497</v>
      </c>
      <c r="BG519" s="15">
        <v>37.4</v>
      </c>
      <c r="BH519" s="5" t="s">
        <v>419</v>
      </c>
      <c r="BI519" s="5" t="s">
        <v>1006</v>
      </c>
      <c r="BJ519" s="5" t="s">
        <v>1498</v>
      </c>
      <c r="BK519" s="5" t="s">
        <v>1120</v>
      </c>
      <c r="BL519" s="5" t="s">
        <v>290</v>
      </c>
      <c r="BM519" s="5" t="s">
        <v>195</v>
      </c>
      <c r="BN519" s="5">
        <v>150</v>
      </c>
      <c r="BO519" s="5">
        <f t="shared" si="8"/>
        <v>22.2222222222222</v>
      </c>
      <c r="BP519" s="5" t="s">
        <v>501</v>
      </c>
      <c r="BQ519" s="5" t="s">
        <v>1029</v>
      </c>
      <c r="BR519" s="5">
        <v>4943</v>
      </c>
    </row>
    <row r="520" s="1" customFormat="1" spans="1:70">
      <c r="A520" s="1">
        <v>3293792</v>
      </c>
      <c r="B520" s="1" t="s">
        <v>1499</v>
      </c>
      <c r="D520" s="4">
        <v>44982</v>
      </c>
      <c r="E520" s="4">
        <v>45006</v>
      </c>
      <c r="F520" s="7">
        <v>17755</v>
      </c>
      <c r="G520" s="1">
        <v>38</v>
      </c>
      <c r="H520" s="1">
        <v>10</v>
      </c>
      <c r="I520" s="1">
        <v>46</v>
      </c>
      <c r="J520" s="1">
        <v>9</v>
      </c>
      <c r="K520" s="1">
        <v>52</v>
      </c>
      <c r="L520" s="1">
        <v>27</v>
      </c>
      <c r="O520" s="7">
        <v>17755</v>
      </c>
      <c r="P520" s="4">
        <v>44982</v>
      </c>
      <c r="Q520" s="4">
        <v>45006</v>
      </c>
      <c r="R520" s="1" t="s">
        <v>73</v>
      </c>
      <c r="AO520" s="7">
        <v>17755</v>
      </c>
      <c r="AP520" s="5">
        <v>9.7</v>
      </c>
      <c r="AQ520" s="5">
        <v>99</v>
      </c>
      <c r="AR520" s="5">
        <v>44.1</v>
      </c>
      <c r="AS520" s="5">
        <v>98.8</v>
      </c>
      <c r="AT520" s="5">
        <v>67</v>
      </c>
      <c r="AU520" s="5">
        <v>60</v>
      </c>
      <c r="AV520" s="5">
        <v>35.1</v>
      </c>
      <c r="AW520" s="5">
        <v>9.89</v>
      </c>
      <c r="AX520" s="5">
        <v>96</v>
      </c>
      <c r="AY520" s="5">
        <v>56.43</v>
      </c>
      <c r="AZ520" s="5" t="s">
        <v>75</v>
      </c>
      <c r="BA520" s="5">
        <v>2.79</v>
      </c>
      <c r="BB520" s="12" t="s">
        <v>76</v>
      </c>
      <c r="BC520" s="5">
        <v>4.77</v>
      </c>
      <c r="BD520" s="5">
        <v>99</v>
      </c>
      <c r="BE520" s="5" t="s">
        <v>76</v>
      </c>
      <c r="BF520" s="5" t="s">
        <v>76</v>
      </c>
      <c r="BG520" s="15">
        <v>38.9</v>
      </c>
      <c r="BH520" s="5">
        <v>113</v>
      </c>
      <c r="BI520" s="5">
        <v>113</v>
      </c>
      <c r="BJ520" s="5">
        <v>27</v>
      </c>
      <c r="BK520" s="5">
        <v>84</v>
      </c>
      <c r="BL520" s="5">
        <v>52</v>
      </c>
      <c r="BM520" s="5" t="s">
        <v>77</v>
      </c>
      <c r="BN520" s="5" t="s">
        <v>77</v>
      </c>
      <c r="BO520" s="5" t="e">
        <f t="shared" si="8"/>
        <v>#VALUE!</v>
      </c>
      <c r="BP520" s="5" t="s">
        <v>262</v>
      </c>
      <c r="BQ520" s="5" t="s">
        <v>76</v>
      </c>
      <c r="BR520" s="5" t="s">
        <v>118</v>
      </c>
    </row>
    <row r="521" s="1" customFormat="1" spans="1:70">
      <c r="A521" s="1">
        <v>3329526</v>
      </c>
      <c r="B521" s="1" t="s">
        <v>1500</v>
      </c>
      <c r="D521" s="4">
        <v>45032</v>
      </c>
      <c r="E521" s="4">
        <v>45039</v>
      </c>
      <c r="F521" s="7">
        <v>17757</v>
      </c>
      <c r="G521" s="1">
        <v>30</v>
      </c>
      <c r="H521" s="1">
        <v>8</v>
      </c>
      <c r="I521" s="1">
        <v>49</v>
      </c>
      <c r="J521" s="1">
        <v>8</v>
      </c>
      <c r="K521" s="1">
        <v>44</v>
      </c>
      <c r="L521" s="1">
        <v>22</v>
      </c>
      <c r="M521" s="1">
        <v>0.58</v>
      </c>
      <c r="O521" s="7">
        <v>17757</v>
      </c>
      <c r="P521" s="4">
        <v>45032</v>
      </c>
      <c r="Q521" s="4">
        <v>45039</v>
      </c>
      <c r="R521" s="1" t="s">
        <v>80</v>
      </c>
      <c r="AO521" s="7">
        <v>17757</v>
      </c>
      <c r="AP521" s="5">
        <v>9.6</v>
      </c>
      <c r="AQ521" s="5">
        <v>140</v>
      </c>
      <c r="AR521" s="5">
        <v>48</v>
      </c>
      <c r="AS521" s="5">
        <v>41.3</v>
      </c>
      <c r="AT521" s="5">
        <v>93</v>
      </c>
      <c r="AU521" s="5">
        <v>63</v>
      </c>
      <c r="AV521" s="5">
        <v>46.1</v>
      </c>
      <c r="AW521" s="5">
        <v>6.6</v>
      </c>
      <c r="AX521" s="5">
        <v>65</v>
      </c>
      <c r="AY521" s="5">
        <v>60.97</v>
      </c>
      <c r="AZ521" s="5" t="s">
        <v>75</v>
      </c>
      <c r="BA521" s="5" t="s">
        <v>76</v>
      </c>
      <c r="BB521" s="12" t="s">
        <v>76</v>
      </c>
      <c r="BC521" s="5">
        <v>4.6</v>
      </c>
      <c r="BD521" s="5">
        <v>140</v>
      </c>
      <c r="BE521" s="5" t="s">
        <v>76</v>
      </c>
      <c r="BF521" s="5" t="s">
        <v>76</v>
      </c>
      <c r="BG521" s="15">
        <v>36.8</v>
      </c>
      <c r="BH521" s="5">
        <v>100</v>
      </c>
      <c r="BI521" s="5">
        <v>100</v>
      </c>
      <c r="BJ521" s="5">
        <v>20</v>
      </c>
      <c r="BK521" s="5">
        <v>163</v>
      </c>
      <c r="BL521" s="5">
        <v>93</v>
      </c>
      <c r="BM521" s="5" t="s">
        <v>77</v>
      </c>
      <c r="BN521" s="5" t="s">
        <v>77</v>
      </c>
      <c r="BO521" s="5" t="e">
        <f t="shared" si="8"/>
        <v>#VALUE!</v>
      </c>
      <c r="BP521" s="5" t="s">
        <v>117</v>
      </c>
      <c r="BQ521" s="5" t="s">
        <v>76</v>
      </c>
      <c r="BR521" s="5">
        <v>6547</v>
      </c>
    </row>
    <row r="522" s="1" customFormat="1" spans="1:70">
      <c r="A522" s="1">
        <v>3279654</v>
      </c>
      <c r="B522" s="1" t="s">
        <v>1501</v>
      </c>
      <c r="D522" s="4">
        <v>44964</v>
      </c>
      <c r="E522" s="4">
        <v>44968</v>
      </c>
      <c r="F522" s="7">
        <v>17784</v>
      </c>
      <c r="G522" s="1">
        <v>45</v>
      </c>
      <c r="H522" s="1">
        <v>9</v>
      </c>
      <c r="I522" s="1">
        <v>68</v>
      </c>
      <c r="J522" s="1">
        <v>9</v>
      </c>
      <c r="K522" s="1">
        <v>24</v>
      </c>
      <c r="L522" s="1">
        <v>12</v>
      </c>
      <c r="M522" s="1">
        <v>0.56</v>
      </c>
      <c r="N522" s="1">
        <v>8.5</v>
      </c>
      <c r="O522" s="7">
        <v>17784</v>
      </c>
      <c r="P522" s="4">
        <v>44964</v>
      </c>
      <c r="Q522" s="4">
        <v>44968</v>
      </c>
      <c r="R522" s="1" t="s">
        <v>80</v>
      </c>
      <c r="AO522" s="7">
        <v>17784</v>
      </c>
      <c r="AP522" s="5">
        <v>5.6</v>
      </c>
      <c r="AQ522" s="5">
        <v>91</v>
      </c>
      <c r="AR522" s="5">
        <v>28.1</v>
      </c>
      <c r="AS522" s="5">
        <v>74.9</v>
      </c>
      <c r="AT522" s="5">
        <v>13</v>
      </c>
      <c r="AU522" s="5">
        <v>10</v>
      </c>
      <c r="AV522" s="5">
        <v>28.4</v>
      </c>
      <c r="AW522" s="5">
        <v>6.4</v>
      </c>
      <c r="AX522" s="5">
        <v>54</v>
      </c>
      <c r="AY522" s="5" t="s">
        <v>125</v>
      </c>
      <c r="AZ522" s="5">
        <v>4.37</v>
      </c>
      <c r="BA522" s="5">
        <v>4.01</v>
      </c>
      <c r="BB522" s="12" t="s">
        <v>76</v>
      </c>
      <c r="BC522" s="5">
        <v>3.58</v>
      </c>
      <c r="BD522" s="5">
        <v>91</v>
      </c>
      <c r="BE522" s="5">
        <v>1.03</v>
      </c>
      <c r="BF522" s="5">
        <v>2.87</v>
      </c>
      <c r="BG522" s="15">
        <v>36.4</v>
      </c>
      <c r="BH522" s="5">
        <v>94</v>
      </c>
      <c r="BI522" s="5" t="s">
        <v>76</v>
      </c>
      <c r="BJ522" s="5">
        <v>16</v>
      </c>
      <c r="BK522" s="5">
        <v>99</v>
      </c>
      <c r="BL522" s="5">
        <v>62</v>
      </c>
      <c r="BM522" s="5">
        <v>50</v>
      </c>
      <c r="BN522" s="5">
        <v>160</v>
      </c>
      <c r="BO522" s="5">
        <f t="shared" si="8"/>
        <v>19.53125</v>
      </c>
      <c r="BP522" s="5" t="s">
        <v>357</v>
      </c>
      <c r="BQ522" s="5">
        <v>6</v>
      </c>
      <c r="BR522" s="5">
        <v>5971</v>
      </c>
    </row>
    <row r="523" s="1" customFormat="1" spans="1:70">
      <c r="A523" s="1">
        <v>3516153</v>
      </c>
      <c r="B523" s="1" t="s">
        <v>1502</v>
      </c>
      <c r="D523" s="4">
        <v>45288</v>
      </c>
      <c r="E523" s="4">
        <v>45299</v>
      </c>
      <c r="F523" s="7">
        <v>17788</v>
      </c>
      <c r="G523" s="1">
        <v>48</v>
      </c>
      <c r="H523" s="1">
        <v>12</v>
      </c>
      <c r="I523" s="1">
        <v>41</v>
      </c>
      <c r="J523" s="1">
        <v>12</v>
      </c>
      <c r="K523" s="1">
        <v>56</v>
      </c>
      <c r="L523" s="1">
        <v>29</v>
      </c>
      <c r="N523" s="1">
        <v>19.4</v>
      </c>
      <c r="O523" s="7">
        <v>17788</v>
      </c>
      <c r="P523" s="4">
        <v>45288</v>
      </c>
      <c r="Q523" s="4">
        <v>45299</v>
      </c>
      <c r="R523" s="1" t="s">
        <v>80</v>
      </c>
      <c r="AO523" s="7">
        <v>17788</v>
      </c>
      <c r="AP523" s="5">
        <v>9</v>
      </c>
      <c r="AQ523" s="5">
        <v>98</v>
      </c>
      <c r="AR523" s="5">
        <v>39.2</v>
      </c>
      <c r="AS523" s="5" t="s">
        <v>76</v>
      </c>
      <c r="AT523" s="5">
        <v>89</v>
      </c>
      <c r="AU523" s="5">
        <v>86</v>
      </c>
      <c r="AV523" s="5">
        <v>36.6</v>
      </c>
      <c r="AW523" s="5">
        <v>9.51</v>
      </c>
      <c r="AX523" s="5">
        <v>65</v>
      </c>
      <c r="AY523" s="5" t="s">
        <v>125</v>
      </c>
      <c r="AZ523" s="5" t="s">
        <v>75</v>
      </c>
      <c r="BA523" s="5" t="s">
        <v>76</v>
      </c>
      <c r="BB523" s="12" t="s">
        <v>76</v>
      </c>
      <c r="BC523" s="5">
        <v>3.87</v>
      </c>
      <c r="BD523" s="5">
        <v>98</v>
      </c>
      <c r="BE523" s="5" t="s">
        <v>76</v>
      </c>
      <c r="BF523" s="5" t="s">
        <v>76</v>
      </c>
      <c r="BG523" s="5" t="s">
        <v>76</v>
      </c>
      <c r="BH523" s="5" t="s">
        <v>76</v>
      </c>
      <c r="BI523" s="5" t="s">
        <v>76</v>
      </c>
      <c r="BJ523" s="5" t="s">
        <v>76</v>
      </c>
      <c r="BK523" s="5" t="s">
        <v>76</v>
      </c>
      <c r="BL523" s="5" t="s">
        <v>76</v>
      </c>
      <c r="BM523" s="5" t="s">
        <v>76</v>
      </c>
      <c r="BN523" s="5" t="s">
        <v>76</v>
      </c>
      <c r="BO523" s="5" t="e">
        <f t="shared" si="8"/>
        <v>#VALUE!</v>
      </c>
      <c r="BP523" s="5" t="s">
        <v>85</v>
      </c>
      <c r="BQ523" s="5" t="s">
        <v>76</v>
      </c>
      <c r="BR523" s="5">
        <v>29695</v>
      </c>
    </row>
    <row r="524" s="1" customFormat="1" spans="1:70">
      <c r="A524" s="1">
        <v>3260253</v>
      </c>
      <c r="B524" s="1" t="s">
        <v>1503</v>
      </c>
      <c r="D524" s="4">
        <v>44929</v>
      </c>
      <c r="E524" s="4">
        <v>44942</v>
      </c>
      <c r="F524" s="7">
        <v>17807</v>
      </c>
      <c r="G524" s="1">
        <v>54</v>
      </c>
      <c r="H524" s="1">
        <v>10</v>
      </c>
      <c r="I524" s="1">
        <v>53</v>
      </c>
      <c r="J524" s="1">
        <v>10</v>
      </c>
      <c r="K524" s="1">
        <v>61</v>
      </c>
      <c r="L524" s="1">
        <v>33</v>
      </c>
      <c r="N524" s="1">
        <v>21.1</v>
      </c>
      <c r="O524" s="7">
        <v>17807</v>
      </c>
      <c r="P524" s="4">
        <v>44929</v>
      </c>
      <c r="Q524" s="4">
        <v>44942</v>
      </c>
      <c r="R524" s="1" t="s">
        <v>80</v>
      </c>
      <c r="AO524" s="7">
        <v>17807</v>
      </c>
      <c r="AP524" s="5">
        <v>9.3</v>
      </c>
      <c r="AQ524" s="5">
        <v>118</v>
      </c>
      <c r="AR524" s="5">
        <v>41</v>
      </c>
      <c r="AS524" s="5">
        <v>9.5</v>
      </c>
      <c r="AT524" s="5">
        <v>58</v>
      </c>
      <c r="AU524" s="5">
        <v>65</v>
      </c>
      <c r="AV524" s="5">
        <v>38</v>
      </c>
      <c r="AW524" s="5">
        <v>8.61</v>
      </c>
      <c r="AX524" s="5">
        <v>52</v>
      </c>
      <c r="AY524" s="5" t="s">
        <v>125</v>
      </c>
      <c r="AZ524" s="5" t="s">
        <v>75</v>
      </c>
      <c r="BA524" s="5">
        <v>3.61</v>
      </c>
      <c r="BB524" s="12" t="s">
        <v>76</v>
      </c>
      <c r="BC524" s="5">
        <v>4.32</v>
      </c>
      <c r="BD524" s="5">
        <v>118</v>
      </c>
      <c r="BE524" s="5" t="s">
        <v>76</v>
      </c>
      <c r="BF524" s="5" t="s">
        <v>76</v>
      </c>
      <c r="BG524" s="15">
        <v>37</v>
      </c>
      <c r="BH524" s="5" t="s">
        <v>76</v>
      </c>
      <c r="BI524" s="5">
        <v>73</v>
      </c>
      <c r="BJ524" s="5">
        <v>29</v>
      </c>
      <c r="BK524" s="5">
        <v>154</v>
      </c>
      <c r="BL524" s="5">
        <v>73</v>
      </c>
      <c r="BM524" s="5" t="s">
        <v>77</v>
      </c>
      <c r="BN524" s="5">
        <v>170</v>
      </c>
      <c r="BO524" s="5" t="e">
        <f t="shared" si="8"/>
        <v>#VALUE!</v>
      </c>
      <c r="BP524" s="5" t="s">
        <v>174</v>
      </c>
      <c r="BQ524" s="5" t="s">
        <v>76</v>
      </c>
      <c r="BR524" s="5">
        <v>2117</v>
      </c>
    </row>
    <row r="525" s="1" customFormat="1" spans="1:70">
      <c r="A525" s="1">
        <v>3305406</v>
      </c>
      <c r="B525" s="1" t="s">
        <v>1504</v>
      </c>
      <c r="D525" s="4">
        <v>44998</v>
      </c>
      <c r="E525" s="4">
        <v>45005</v>
      </c>
      <c r="F525" s="7">
        <v>17811</v>
      </c>
      <c r="G525" s="1">
        <v>39</v>
      </c>
      <c r="H525" s="1">
        <v>9</v>
      </c>
      <c r="I525" s="1">
        <v>61</v>
      </c>
      <c r="J525" s="1">
        <v>9</v>
      </c>
      <c r="K525" s="1">
        <v>46</v>
      </c>
      <c r="L525" s="1">
        <v>24</v>
      </c>
      <c r="M525" s="1">
        <v>0.41</v>
      </c>
      <c r="N525" s="1">
        <v>10.6</v>
      </c>
      <c r="O525" s="7">
        <v>17811</v>
      </c>
      <c r="P525" s="4">
        <v>44998</v>
      </c>
      <c r="Q525" s="4">
        <v>45005</v>
      </c>
      <c r="R525" s="1" t="s">
        <v>73</v>
      </c>
      <c r="AO525" s="7">
        <v>17811</v>
      </c>
      <c r="AP525" s="5">
        <v>6.8</v>
      </c>
      <c r="AQ525" s="5">
        <v>146</v>
      </c>
      <c r="AR525" s="5">
        <v>46.4</v>
      </c>
      <c r="AS525" s="5" t="s">
        <v>76</v>
      </c>
      <c r="AT525" s="5">
        <v>24</v>
      </c>
      <c r="AU525" s="5">
        <v>19</v>
      </c>
      <c r="AV525" s="5">
        <v>39.5</v>
      </c>
      <c r="AW525" s="5">
        <v>4.92</v>
      </c>
      <c r="AX525" s="5">
        <v>49</v>
      </c>
      <c r="AY525" s="5">
        <v>113.83</v>
      </c>
      <c r="AZ525" s="5" t="s">
        <v>75</v>
      </c>
      <c r="BA525" s="5">
        <v>6.41</v>
      </c>
      <c r="BB525" s="12" t="s">
        <v>76</v>
      </c>
      <c r="BC525" s="5">
        <v>4.17</v>
      </c>
      <c r="BD525" s="5">
        <v>146</v>
      </c>
      <c r="BE525" s="5">
        <v>1.24</v>
      </c>
      <c r="BF525" s="5">
        <v>4.79</v>
      </c>
      <c r="BG525" s="15">
        <v>36.4</v>
      </c>
      <c r="BH525" s="5">
        <v>80</v>
      </c>
      <c r="BI525" s="5">
        <v>80</v>
      </c>
      <c r="BJ525" s="5">
        <v>20</v>
      </c>
      <c r="BK525" s="5">
        <v>191</v>
      </c>
      <c r="BL525" s="5">
        <v>91</v>
      </c>
      <c r="BM525" s="5">
        <v>65</v>
      </c>
      <c r="BN525" s="5">
        <v>155</v>
      </c>
      <c r="BO525" s="5">
        <f t="shared" si="8"/>
        <v>27.0551508844953</v>
      </c>
      <c r="BP525" s="5" t="s">
        <v>121</v>
      </c>
      <c r="BQ525" s="5">
        <v>5.9</v>
      </c>
      <c r="BR525" s="5">
        <v>2754</v>
      </c>
    </row>
    <row r="526" s="1" customFormat="1" spans="1:70">
      <c r="A526" s="1">
        <v>3296847</v>
      </c>
      <c r="B526" s="1" t="s">
        <v>1505</v>
      </c>
      <c r="D526" s="4">
        <v>44986</v>
      </c>
      <c r="E526" s="4">
        <v>44991</v>
      </c>
      <c r="F526" s="7">
        <v>17811</v>
      </c>
      <c r="G526" s="1">
        <v>36</v>
      </c>
      <c r="H526" s="1">
        <v>10</v>
      </c>
      <c r="I526" s="1">
        <v>51</v>
      </c>
      <c r="J526" s="1">
        <v>9</v>
      </c>
      <c r="K526" s="1">
        <v>58</v>
      </c>
      <c r="L526" s="1">
        <v>31</v>
      </c>
      <c r="M526" s="1">
        <v>1.19</v>
      </c>
      <c r="N526" s="1">
        <v>22.3</v>
      </c>
      <c r="O526" s="7">
        <v>17811</v>
      </c>
      <c r="P526" s="4">
        <v>44986</v>
      </c>
      <c r="Q526" s="4">
        <v>44991</v>
      </c>
      <c r="R526" s="1" t="s">
        <v>80</v>
      </c>
      <c r="AO526" s="7">
        <v>17811</v>
      </c>
      <c r="AP526" s="5">
        <v>2.9</v>
      </c>
      <c r="AQ526" s="5">
        <v>109</v>
      </c>
      <c r="AR526" s="5">
        <v>35</v>
      </c>
      <c r="AS526" s="5">
        <v>0.9</v>
      </c>
      <c r="AT526" s="5">
        <v>29</v>
      </c>
      <c r="AU526" s="5">
        <v>22</v>
      </c>
      <c r="AV526" s="5">
        <v>39.6</v>
      </c>
      <c r="AW526" s="5">
        <v>8.43</v>
      </c>
      <c r="AX526" s="5">
        <v>151</v>
      </c>
      <c r="AY526" s="5">
        <v>48.89</v>
      </c>
      <c r="AZ526" s="5" t="s">
        <v>375</v>
      </c>
      <c r="BA526" s="5" t="s">
        <v>76</v>
      </c>
      <c r="BB526" s="12" t="s">
        <v>76</v>
      </c>
      <c r="BC526" s="5" t="s">
        <v>4</v>
      </c>
      <c r="BD526" s="5">
        <v>109</v>
      </c>
      <c r="BE526" s="5" t="s">
        <v>76</v>
      </c>
      <c r="BF526" s="5" t="s">
        <v>76</v>
      </c>
      <c r="BG526" s="15">
        <v>36.6</v>
      </c>
      <c r="BH526" s="5">
        <v>81</v>
      </c>
      <c r="BI526" s="5" t="s">
        <v>76</v>
      </c>
      <c r="BJ526" s="5">
        <v>16</v>
      </c>
      <c r="BK526" s="5">
        <v>146</v>
      </c>
      <c r="BL526" s="5">
        <v>62</v>
      </c>
      <c r="BM526" s="5">
        <v>70</v>
      </c>
      <c r="BN526" s="5">
        <v>170</v>
      </c>
      <c r="BO526" s="5">
        <f t="shared" si="8"/>
        <v>24.2214532871972</v>
      </c>
      <c r="BP526" s="5" t="s">
        <v>300</v>
      </c>
      <c r="BQ526" s="5">
        <v>6.6</v>
      </c>
      <c r="BR526" s="5">
        <v>1838</v>
      </c>
    </row>
    <row r="527" s="1" customFormat="1" spans="1:70">
      <c r="A527" s="1">
        <v>3332449</v>
      </c>
      <c r="B527" s="1" t="s">
        <v>1506</v>
      </c>
      <c r="D527" s="4">
        <v>45035</v>
      </c>
      <c r="E527" s="4">
        <v>45044</v>
      </c>
      <c r="F527" s="7">
        <v>17812</v>
      </c>
      <c r="G527" s="1">
        <v>34</v>
      </c>
      <c r="H527" s="1">
        <v>9</v>
      </c>
      <c r="I527" s="1">
        <v>49</v>
      </c>
      <c r="J527" s="1">
        <v>9</v>
      </c>
      <c r="K527" s="1">
        <v>59</v>
      </c>
      <c r="L527" s="1">
        <v>31</v>
      </c>
      <c r="M527" s="1">
        <v>0.81</v>
      </c>
      <c r="N527" s="1">
        <v>22.6</v>
      </c>
      <c r="O527" s="7">
        <v>17812</v>
      </c>
      <c r="P527" s="4">
        <v>45035</v>
      </c>
      <c r="Q527" s="4">
        <v>45044</v>
      </c>
      <c r="R527" s="1" t="s">
        <v>80</v>
      </c>
      <c r="AO527" s="7">
        <v>17812</v>
      </c>
      <c r="AP527" s="5">
        <v>9.7</v>
      </c>
      <c r="AQ527" s="5">
        <v>94</v>
      </c>
      <c r="AR527" s="5">
        <v>47.9</v>
      </c>
      <c r="AS527" s="5">
        <v>224.3</v>
      </c>
      <c r="AT527" s="5">
        <v>9</v>
      </c>
      <c r="AU527" s="5">
        <v>9</v>
      </c>
      <c r="AV527" s="5">
        <v>27.8</v>
      </c>
      <c r="AW527" s="5">
        <v>8.52</v>
      </c>
      <c r="AX527" s="5">
        <v>78</v>
      </c>
      <c r="AY527" s="5" t="s">
        <v>125</v>
      </c>
      <c r="AZ527" s="5">
        <v>9.1</v>
      </c>
      <c r="BA527" s="5" t="s">
        <v>76</v>
      </c>
      <c r="BB527" s="12" t="s">
        <v>76</v>
      </c>
      <c r="BC527" s="5">
        <v>4.54</v>
      </c>
      <c r="BD527" s="5">
        <v>94</v>
      </c>
      <c r="BE527" s="5" t="s">
        <v>76</v>
      </c>
      <c r="BF527" s="5" t="s">
        <v>76</v>
      </c>
      <c r="BG527" s="15">
        <v>36.5</v>
      </c>
      <c r="BH527" s="5" t="s">
        <v>76</v>
      </c>
      <c r="BI527" s="5">
        <v>110</v>
      </c>
      <c r="BJ527" s="5">
        <v>18</v>
      </c>
      <c r="BK527" s="5">
        <v>132</v>
      </c>
      <c r="BL527" s="5">
        <v>72</v>
      </c>
      <c r="BM527" s="5" t="s">
        <v>77</v>
      </c>
      <c r="BN527" s="5" t="s">
        <v>77</v>
      </c>
      <c r="BO527" s="5" t="e">
        <f t="shared" si="8"/>
        <v>#VALUE!</v>
      </c>
      <c r="BP527" s="5" t="s">
        <v>369</v>
      </c>
      <c r="BQ527" s="5">
        <v>8.4</v>
      </c>
      <c r="BR527" s="5">
        <v>986</v>
      </c>
    </row>
    <row r="528" s="1" customFormat="1" spans="1:70">
      <c r="A528" s="1">
        <v>3307533</v>
      </c>
      <c r="B528" s="1" t="s">
        <v>1507</v>
      </c>
      <c r="D528" s="4">
        <v>45000</v>
      </c>
      <c r="E528" s="4">
        <v>45037</v>
      </c>
      <c r="F528" s="7">
        <v>17817</v>
      </c>
      <c r="G528" s="1">
        <v>37</v>
      </c>
      <c r="H528" s="1">
        <v>9</v>
      </c>
      <c r="I528" s="1">
        <v>50</v>
      </c>
      <c r="J528" s="1">
        <v>9</v>
      </c>
      <c r="K528" s="1">
        <v>58</v>
      </c>
      <c r="L528" s="1">
        <v>31</v>
      </c>
      <c r="M528" s="1">
        <v>0.89</v>
      </c>
      <c r="O528" s="7">
        <v>17817</v>
      </c>
      <c r="P528" s="4">
        <v>45000</v>
      </c>
      <c r="Q528" s="4">
        <v>45037</v>
      </c>
      <c r="R528" s="1" t="s">
        <v>80</v>
      </c>
      <c r="AO528" s="7">
        <v>17817</v>
      </c>
      <c r="AP528" s="5">
        <v>9.9</v>
      </c>
      <c r="AQ528" s="5">
        <v>99</v>
      </c>
      <c r="AR528" s="5">
        <v>35.4</v>
      </c>
      <c r="AS528" s="5">
        <v>95.1</v>
      </c>
      <c r="AT528" s="5">
        <v>83</v>
      </c>
      <c r="AU528" s="5">
        <v>97</v>
      </c>
      <c r="AV528" s="5">
        <v>45.8</v>
      </c>
      <c r="AW528" s="5">
        <v>9.7</v>
      </c>
      <c r="AX528" s="5">
        <v>94</v>
      </c>
      <c r="AY528" s="5" t="s">
        <v>125</v>
      </c>
      <c r="AZ528" s="5" t="s">
        <v>75</v>
      </c>
      <c r="BA528" s="5">
        <v>2.97</v>
      </c>
      <c r="BB528" s="12" t="s">
        <v>76</v>
      </c>
      <c r="BC528" s="5">
        <v>4.99</v>
      </c>
      <c r="BD528" s="5">
        <v>99</v>
      </c>
      <c r="BE528" s="5">
        <v>0.73</v>
      </c>
      <c r="BF528" s="5">
        <v>1.61</v>
      </c>
      <c r="BG528" s="15">
        <v>36.2</v>
      </c>
      <c r="BH528" s="5">
        <v>106</v>
      </c>
      <c r="BI528" s="5">
        <v>106</v>
      </c>
      <c r="BJ528" s="5">
        <v>14</v>
      </c>
      <c r="BK528" s="5">
        <v>136</v>
      </c>
      <c r="BL528" s="5">
        <v>68</v>
      </c>
      <c r="BM528" s="5">
        <v>60</v>
      </c>
      <c r="BN528" s="5">
        <v>175</v>
      </c>
      <c r="BO528" s="5">
        <f t="shared" si="8"/>
        <v>19.5918367346939</v>
      </c>
      <c r="BP528" s="5" t="s">
        <v>639</v>
      </c>
      <c r="BQ528" s="5" t="s">
        <v>76</v>
      </c>
      <c r="BR528" s="5">
        <v>8512</v>
      </c>
    </row>
    <row r="529" s="1" customFormat="1" spans="1:70">
      <c r="A529" s="1">
        <v>3491206</v>
      </c>
      <c r="B529" s="1" t="s">
        <v>1508</v>
      </c>
      <c r="D529" s="4">
        <v>45254</v>
      </c>
      <c r="E529" s="4">
        <v>45274</v>
      </c>
      <c r="F529" s="7">
        <v>17817</v>
      </c>
      <c r="G529" s="1">
        <v>39</v>
      </c>
      <c r="H529" s="1">
        <v>9</v>
      </c>
      <c r="I529" s="1">
        <v>50</v>
      </c>
      <c r="J529" s="1">
        <v>9</v>
      </c>
      <c r="K529" s="1">
        <v>59</v>
      </c>
      <c r="L529" s="1">
        <v>31</v>
      </c>
      <c r="M529" s="1">
        <v>0.76</v>
      </c>
      <c r="N529" s="1">
        <v>14</v>
      </c>
      <c r="O529" s="7">
        <v>17817</v>
      </c>
      <c r="P529" s="4">
        <v>45254</v>
      </c>
      <c r="Q529" s="4">
        <v>45274</v>
      </c>
      <c r="R529" s="1" t="s">
        <v>80</v>
      </c>
      <c r="S529" s="1">
        <v>75</v>
      </c>
      <c r="T529" s="1" t="s">
        <v>1509</v>
      </c>
      <c r="AC529" s="1">
        <v>1</v>
      </c>
      <c r="AI529" s="1">
        <v>1</v>
      </c>
      <c r="AM529" s="1">
        <v>1</v>
      </c>
      <c r="AO529" s="7">
        <v>17817</v>
      </c>
      <c r="AP529" s="5">
        <v>3.5</v>
      </c>
      <c r="AQ529" s="5">
        <v>85</v>
      </c>
      <c r="AR529" s="5">
        <v>31</v>
      </c>
      <c r="AS529" s="5">
        <v>7.6</v>
      </c>
      <c r="AT529" s="5">
        <v>87</v>
      </c>
      <c r="AU529" s="5">
        <v>53</v>
      </c>
      <c r="AV529" s="5">
        <v>36.9</v>
      </c>
      <c r="AW529" s="5">
        <v>6.61</v>
      </c>
      <c r="AX529" s="5">
        <v>65</v>
      </c>
      <c r="AY529" s="5" t="s">
        <v>125</v>
      </c>
      <c r="AZ529" s="5">
        <v>5.6</v>
      </c>
      <c r="BA529" s="5">
        <v>3.26</v>
      </c>
      <c r="BB529" s="12" t="s">
        <v>76</v>
      </c>
      <c r="BC529" s="5">
        <v>4.21</v>
      </c>
      <c r="BD529" s="5">
        <v>85</v>
      </c>
      <c r="BE529" s="5">
        <v>0.82</v>
      </c>
      <c r="BF529" s="5">
        <v>1.28</v>
      </c>
      <c r="BG529" s="15">
        <v>36.2</v>
      </c>
      <c r="BH529" s="5">
        <v>92</v>
      </c>
      <c r="BI529" s="5">
        <v>92</v>
      </c>
      <c r="BJ529" s="5">
        <v>17</v>
      </c>
      <c r="BK529" s="5">
        <v>146</v>
      </c>
      <c r="BL529" s="5">
        <v>78</v>
      </c>
      <c r="BM529" s="5" t="s">
        <v>77</v>
      </c>
      <c r="BN529" s="5" t="s">
        <v>77</v>
      </c>
      <c r="BO529" s="5" t="e">
        <f t="shared" si="8"/>
        <v>#VALUE!</v>
      </c>
      <c r="BP529" s="5" t="s">
        <v>83</v>
      </c>
      <c r="BQ529" s="5" t="s">
        <v>76</v>
      </c>
      <c r="BR529" s="5">
        <v>3145</v>
      </c>
    </row>
    <row r="530" s="1" customFormat="1" spans="1:70">
      <c r="A530" s="1">
        <v>3510444</v>
      </c>
      <c r="B530" s="1" t="s">
        <v>1510</v>
      </c>
      <c r="D530" s="4">
        <v>45280</v>
      </c>
      <c r="E530" s="4">
        <v>45285</v>
      </c>
      <c r="F530" s="7">
        <v>17819</v>
      </c>
      <c r="G530" s="1">
        <v>46</v>
      </c>
      <c r="H530" s="1">
        <v>9</v>
      </c>
      <c r="I530" s="1">
        <v>68</v>
      </c>
      <c r="J530" s="1">
        <v>9</v>
      </c>
      <c r="K530" s="1">
        <v>45</v>
      </c>
      <c r="L530" s="1">
        <v>24</v>
      </c>
      <c r="M530" s="1">
        <v>0.79</v>
      </c>
      <c r="O530" s="7">
        <v>17819</v>
      </c>
      <c r="P530" s="4">
        <v>45280</v>
      </c>
      <c r="Q530" s="4">
        <v>45285</v>
      </c>
      <c r="R530" s="1" t="s">
        <v>80</v>
      </c>
      <c r="AO530" s="7">
        <v>17819</v>
      </c>
      <c r="AP530" s="5">
        <v>9.9</v>
      </c>
      <c r="AQ530" s="5">
        <v>136</v>
      </c>
      <c r="AR530" s="5">
        <v>43.4</v>
      </c>
      <c r="AS530" s="5" t="s">
        <v>76</v>
      </c>
      <c r="AT530" s="5">
        <v>51</v>
      </c>
      <c r="AU530" s="5">
        <v>9</v>
      </c>
      <c r="AV530" s="5">
        <v>38.1</v>
      </c>
      <c r="AW530" s="5">
        <v>9.74</v>
      </c>
      <c r="AX530" s="5">
        <v>91</v>
      </c>
      <c r="AY530" s="5">
        <v>92.19</v>
      </c>
      <c r="AZ530" s="5">
        <v>9.9</v>
      </c>
      <c r="BA530" s="5" t="s">
        <v>76</v>
      </c>
      <c r="BB530" s="12" t="s">
        <v>76</v>
      </c>
      <c r="BC530" s="5">
        <v>4.02</v>
      </c>
      <c r="BD530" s="5">
        <v>136</v>
      </c>
      <c r="BE530" s="5" t="s">
        <v>76</v>
      </c>
      <c r="BF530" s="5" t="s">
        <v>76</v>
      </c>
      <c r="BG530" s="5" t="s">
        <v>76</v>
      </c>
      <c r="BH530" s="5" t="s">
        <v>76</v>
      </c>
      <c r="BI530" s="5" t="s">
        <v>76</v>
      </c>
      <c r="BJ530" s="5" t="s">
        <v>76</v>
      </c>
      <c r="BK530" s="5" t="s">
        <v>76</v>
      </c>
      <c r="BL530" s="5" t="s">
        <v>76</v>
      </c>
      <c r="BM530" s="5" t="s">
        <v>76</v>
      </c>
      <c r="BN530" s="5" t="s">
        <v>76</v>
      </c>
      <c r="BO530" s="5" t="e">
        <f t="shared" si="8"/>
        <v>#VALUE!</v>
      </c>
      <c r="BP530" s="5" t="s">
        <v>85</v>
      </c>
      <c r="BQ530" s="5" t="s">
        <v>76</v>
      </c>
      <c r="BR530" s="5">
        <v>8458</v>
      </c>
    </row>
    <row r="531" s="1" customFormat="1" spans="1:70">
      <c r="A531" s="1">
        <v>3272017</v>
      </c>
      <c r="B531" s="1" t="s">
        <v>1511</v>
      </c>
      <c r="D531" s="4">
        <v>44954</v>
      </c>
      <c r="E531" s="4">
        <v>44986</v>
      </c>
      <c r="F531" s="7">
        <v>17824</v>
      </c>
      <c r="G531" s="1">
        <v>40</v>
      </c>
      <c r="H531" s="1">
        <v>9</v>
      </c>
      <c r="I531" s="1">
        <v>58</v>
      </c>
      <c r="J531" s="1">
        <v>9</v>
      </c>
      <c r="K531" s="1">
        <v>35</v>
      </c>
      <c r="L531" s="1">
        <v>17</v>
      </c>
      <c r="M531" s="1">
        <v>0.38</v>
      </c>
      <c r="N531" s="1">
        <v>4.3</v>
      </c>
      <c r="O531" s="7">
        <v>17824</v>
      </c>
      <c r="P531" s="4">
        <v>44954</v>
      </c>
      <c r="Q531" s="4">
        <v>44986</v>
      </c>
      <c r="R531" s="1" t="s">
        <v>80</v>
      </c>
      <c r="AO531" s="7">
        <v>17824</v>
      </c>
      <c r="AP531" s="5">
        <v>9</v>
      </c>
      <c r="AQ531" s="5">
        <v>95</v>
      </c>
      <c r="AR531" s="5">
        <v>60</v>
      </c>
      <c r="AS531" s="5">
        <v>6</v>
      </c>
      <c r="AT531" s="5">
        <v>80</v>
      </c>
      <c r="AU531" s="5">
        <v>85</v>
      </c>
      <c r="AV531" s="5">
        <v>46.2</v>
      </c>
      <c r="AW531" s="5">
        <v>9.98</v>
      </c>
      <c r="AX531" s="5">
        <v>96</v>
      </c>
      <c r="AY531" s="5" t="s">
        <v>125</v>
      </c>
      <c r="AZ531" s="5">
        <v>9.86</v>
      </c>
      <c r="BA531" s="5">
        <v>5.37</v>
      </c>
      <c r="BB531" s="12" t="s">
        <v>76</v>
      </c>
      <c r="BC531" s="5">
        <v>5.32</v>
      </c>
      <c r="BD531" s="5">
        <v>95</v>
      </c>
      <c r="BE531" s="5">
        <v>0.71</v>
      </c>
      <c r="BF531" s="5">
        <v>3.8</v>
      </c>
      <c r="BG531" s="15">
        <v>36.6</v>
      </c>
      <c r="BH531" s="5">
        <v>96</v>
      </c>
      <c r="BI531" s="5">
        <v>96</v>
      </c>
      <c r="BJ531" s="5">
        <v>18</v>
      </c>
      <c r="BK531" s="5">
        <v>117</v>
      </c>
      <c r="BL531" s="5">
        <v>72</v>
      </c>
      <c r="BM531" s="5">
        <v>60</v>
      </c>
      <c r="BN531" s="5">
        <v>162</v>
      </c>
      <c r="BO531" s="5">
        <f t="shared" si="8"/>
        <v>22.8623685413809</v>
      </c>
      <c r="BP531" s="5" t="s">
        <v>1450</v>
      </c>
      <c r="BQ531" s="5">
        <v>8.5</v>
      </c>
      <c r="BR531" s="5">
        <v>8076</v>
      </c>
    </row>
    <row r="532" s="1" customFormat="1" spans="1:70">
      <c r="A532" s="1">
        <v>3515902</v>
      </c>
      <c r="B532" s="1" t="s">
        <v>1512</v>
      </c>
      <c r="D532" s="4">
        <v>45288</v>
      </c>
      <c r="E532" s="4">
        <v>45294</v>
      </c>
      <c r="F532" s="7">
        <v>17826</v>
      </c>
      <c r="G532" s="1">
        <v>41</v>
      </c>
      <c r="H532" s="1">
        <v>8</v>
      </c>
      <c r="I532" s="1">
        <v>61</v>
      </c>
      <c r="J532" s="1">
        <v>8</v>
      </c>
      <c r="K532" s="1">
        <v>48</v>
      </c>
      <c r="L532" s="1">
        <v>25</v>
      </c>
      <c r="M532" s="1">
        <v>0.79</v>
      </c>
      <c r="N532" s="1">
        <v>18.7</v>
      </c>
      <c r="O532" s="7">
        <v>17826</v>
      </c>
      <c r="P532" s="4">
        <v>45288</v>
      </c>
      <c r="Q532" s="4">
        <v>45294</v>
      </c>
      <c r="R532" s="1" t="s">
        <v>80</v>
      </c>
      <c r="AO532" s="7">
        <v>17826</v>
      </c>
      <c r="AP532" s="5">
        <v>9.9</v>
      </c>
      <c r="AQ532" s="5">
        <v>128</v>
      </c>
      <c r="AR532" s="5">
        <v>39.8</v>
      </c>
      <c r="AS532" s="5">
        <v>0.5</v>
      </c>
      <c r="AT532" s="5">
        <v>25</v>
      </c>
      <c r="AU532" s="5">
        <v>21</v>
      </c>
      <c r="AV532" s="5">
        <v>45.8</v>
      </c>
      <c r="AW532" s="5">
        <v>9</v>
      </c>
      <c r="AX532" s="5">
        <v>71</v>
      </c>
      <c r="AY532" s="5">
        <v>99.72</v>
      </c>
      <c r="AZ532" s="5" t="s">
        <v>75</v>
      </c>
      <c r="BA532" s="5" t="s">
        <v>76</v>
      </c>
      <c r="BB532" s="12" t="s">
        <v>76</v>
      </c>
      <c r="BC532" s="5">
        <v>4.36</v>
      </c>
      <c r="BD532" s="5">
        <v>128</v>
      </c>
      <c r="BE532" s="5" t="s">
        <v>76</v>
      </c>
      <c r="BF532" s="5" t="s">
        <v>76</v>
      </c>
      <c r="BG532" s="15">
        <v>36.7</v>
      </c>
      <c r="BH532" s="5">
        <v>66</v>
      </c>
      <c r="BI532" s="5">
        <v>66</v>
      </c>
      <c r="BJ532" s="5">
        <v>16</v>
      </c>
      <c r="BK532" s="5">
        <v>102</v>
      </c>
      <c r="BL532" s="5">
        <v>54</v>
      </c>
      <c r="BM532" s="5">
        <v>64</v>
      </c>
      <c r="BN532" s="5">
        <v>170</v>
      </c>
      <c r="BO532" s="5">
        <f t="shared" si="8"/>
        <v>22.1453287197232</v>
      </c>
      <c r="BP532" s="5" t="s">
        <v>149</v>
      </c>
      <c r="BQ532" s="5" t="s">
        <v>76</v>
      </c>
      <c r="BR532" s="5">
        <v>2842</v>
      </c>
    </row>
    <row r="533" s="1" customFormat="1" spans="1:70">
      <c r="A533" s="1">
        <v>3255971</v>
      </c>
      <c r="B533" s="1" t="s">
        <v>1513</v>
      </c>
      <c r="D533" s="4">
        <v>44921</v>
      </c>
      <c r="E533" s="4">
        <v>44925</v>
      </c>
      <c r="F533" s="7">
        <v>17826</v>
      </c>
      <c r="G533" s="1">
        <v>48</v>
      </c>
      <c r="H533" s="1">
        <v>8</v>
      </c>
      <c r="I533" s="1">
        <v>60</v>
      </c>
      <c r="J533" s="1">
        <v>8</v>
      </c>
      <c r="K533" s="1">
        <v>50</v>
      </c>
      <c r="L533" s="1">
        <v>26</v>
      </c>
      <c r="N533" s="1">
        <v>12.8</v>
      </c>
      <c r="O533" s="7">
        <v>17826</v>
      </c>
      <c r="P533" s="4">
        <v>44921</v>
      </c>
      <c r="Q533" s="4">
        <v>44925</v>
      </c>
      <c r="R533" s="1" t="s">
        <v>80</v>
      </c>
      <c r="AO533" s="7">
        <v>17826</v>
      </c>
      <c r="AP533" s="5">
        <v>9.2</v>
      </c>
      <c r="AQ533" s="5">
        <v>116</v>
      </c>
      <c r="AR533" s="5">
        <v>36</v>
      </c>
      <c r="AS533" s="5">
        <v>69.2</v>
      </c>
      <c r="AT533" s="5">
        <v>23</v>
      </c>
      <c r="AU533" s="5">
        <v>9</v>
      </c>
      <c r="AV533" s="5">
        <v>34.4</v>
      </c>
      <c r="AW533" s="5">
        <v>8.4</v>
      </c>
      <c r="AX533" s="5">
        <v>94</v>
      </c>
      <c r="AY533" s="5">
        <v>87.13</v>
      </c>
      <c r="AZ533" s="5">
        <v>9.23</v>
      </c>
      <c r="BA533" s="5">
        <v>3.67</v>
      </c>
      <c r="BB533" s="12" t="s">
        <v>76</v>
      </c>
      <c r="BC533" s="5">
        <v>4.71</v>
      </c>
      <c r="BD533" s="5">
        <v>116</v>
      </c>
      <c r="BE533" s="5" t="s">
        <v>76</v>
      </c>
      <c r="BF533" s="5" t="s">
        <v>76</v>
      </c>
      <c r="BG533" s="15">
        <v>36.5</v>
      </c>
      <c r="BH533" s="5">
        <v>98</v>
      </c>
      <c r="BI533" s="5">
        <v>98</v>
      </c>
      <c r="BJ533" s="5">
        <v>17</v>
      </c>
      <c r="BK533" s="5">
        <v>98</v>
      </c>
      <c r="BL533" s="5">
        <v>56</v>
      </c>
      <c r="BM533" s="5">
        <v>65</v>
      </c>
      <c r="BN533" s="5">
        <v>160</v>
      </c>
      <c r="BO533" s="5">
        <f t="shared" si="8"/>
        <v>25.390625</v>
      </c>
      <c r="BP533" s="5" t="s">
        <v>107</v>
      </c>
      <c r="BQ533" s="5" t="s">
        <v>76</v>
      </c>
      <c r="BR533" s="5">
        <v>7479</v>
      </c>
    </row>
    <row r="534" s="1" customFormat="1" spans="1:70">
      <c r="A534" s="1">
        <v>3499013</v>
      </c>
      <c r="B534" s="1" t="s">
        <v>1514</v>
      </c>
      <c r="D534" s="4">
        <v>45265</v>
      </c>
      <c r="E534" s="4">
        <v>45273</v>
      </c>
      <c r="F534" s="7">
        <v>17897</v>
      </c>
      <c r="G534" s="1">
        <v>48</v>
      </c>
      <c r="H534" s="1">
        <v>9</v>
      </c>
      <c r="I534" s="1">
        <v>48</v>
      </c>
      <c r="J534" s="1">
        <v>9</v>
      </c>
      <c r="K534" s="1">
        <v>66</v>
      </c>
      <c r="L534" s="1">
        <v>36</v>
      </c>
      <c r="M534" s="1">
        <v>1.15</v>
      </c>
      <c r="N534" s="10">
        <v>8.1</v>
      </c>
      <c r="O534" s="7">
        <v>17897</v>
      </c>
      <c r="P534" s="4">
        <v>45265</v>
      </c>
      <c r="Q534" s="4">
        <v>45273</v>
      </c>
      <c r="R534" s="1" t="s">
        <v>80</v>
      </c>
      <c r="AO534" s="7">
        <v>17897</v>
      </c>
      <c r="AP534" s="5">
        <v>9.5</v>
      </c>
      <c r="AQ534" s="5">
        <v>135</v>
      </c>
      <c r="AR534" s="5">
        <v>39.7</v>
      </c>
      <c r="AS534" s="5">
        <v>5</v>
      </c>
      <c r="AT534" s="5">
        <v>29</v>
      </c>
      <c r="AU534" s="5">
        <v>22</v>
      </c>
      <c r="AV534" s="5">
        <v>41</v>
      </c>
      <c r="AW534" s="5">
        <v>5.7</v>
      </c>
      <c r="AX534" s="5">
        <v>85</v>
      </c>
      <c r="AY534" s="5" t="s">
        <v>76</v>
      </c>
      <c r="AZ534" s="5" t="s">
        <v>75</v>
      </c>
      <c r="BA534" s="5">
        <v>3.14</v>
      </c>
      <c r="BB534" s="12" t="s">
        <v>76</v>
      </c>
      <c r="BC534" s="5">
        <v>4.03</v>
      </c>
      <c r="BD534" s="5">
        <v>135</v>
      </c>
      <c r="BE534" s="5">
        <v>1</v>
      </c>
      <c r="BF534" s="5">
        <v>1.26</v>
      </c>
      <c r="BG534" s="15">
        <v>36.5</v>
      </c>
      <c r="BH534" s="5">
        <v>91</v>
      </c>
      <c r="BI534" s="5">
        <v>91</v>
      </c>
      <c r="BJ534" s="5">
        <v>16</v>
      </c>
      <c r="BK534" s="5">
        <v>149</v>
      </c>
      <c r="BL534" s="5">
        <v>69</v>
      </c>
      <c r="BM534" s="5">
        <v>70</v>
      </c>
      <c r="BN534" s="5">
        <v>167</v>
      </c>
      <c r="BO534" s="5">
        <f t="shared" si="8"/>
        <v>25.0995015956112</v>
      </c>
      <c r="BP534" s="5" t="s">
        <v>357</v>
      </c>
      <c r="BQ534" s="5" t="s">
        <v>76</v>
      </c>
      <c r="BR534" s="5">
        <v>1213</v>
      </c>
    </row>
    <row r="535" s="1" customFormat="1" spans="1:70">
      <c r="A535" s="1" t="s">
        <v>1515</v>
      </c>
      <c r="B535" s="1" t="s">
        <v>1516</v>
      </c>
      <c r="D535" s="4">
        <v>44988</v>
      </c>
      <c r="E535" s="4">
        <v>45002</v>
      </c>
      <c r="F535" s="7">
        <v>17899</v>
      </c>
      <c r="G535" s="1">
        <v>65</v>
      </c>
      <c r="H535" s="1">
        <v>9</v>
      </c>
      <c r="I535" s="1">
        <v>56</v>
      </c>
      <c r="J535" s="1">
        <v>9</v>
      </c>
      <c r="K535" s="1">
        <v>64</v>
      </c>
      <c r="L535" s="1">
        <v>35</v>
      </c>
      <c r="N535" s="1">
        <v>6.3</v>
      </c>
      <c r="O535" s="7">
        <v>17899</v>
      </c>
      <c r="P535" s="4">
        <v>44988</v>
      </c>
      <c r="Q535" s="4">
        <v>45002</v>
      </c>
      <c r="R535" s="1" t="s">
        <v>80</v>
      </c>
      <c r="AO535" s="7">
        <v>17899</v>
      </c>
      <c r="AP535" s="5" t="s">
        <v>608</v>
      </c>
      <c r="AQ535" s="5" t="s">
        <v>1517</v>
      </c>
      <c r="AR535" s="5" t="s">
        <v>184</v>
      </c>
      <c r="AS535" s="5" t="s">
        <v>1518</v>
      </c>
      <c r="AT535" s="5" t="s">
        <v>892</v>
      </c>
      <c r="AU535" s="5" t="s">
        <v>225</v>
      </c>
      <c r="AV535" s="5" t="s">
        <v>595</v>
      </c>
      <c r="AW535" s="5" t="s">
        <v>514</v>
      </c>
      <c r="AX535" s="5" t="s">
        <v>129</v>
      </c>
      <c r="AY535" s="5" t="s">
        <v>76</v>
      </c>
      <c r="AZ535" s="5" t="s">
        <v>1519</v>
      </c>
      <c r="BA535" s="5" t="s">
        <v>76</v>
      </c>
      <c r="BB535" s="12" t="s">
        <v>76</v>
      </c>
      <c r="BC535" s="5" t="s">
        <v>1119</v>
      </c>
      <c r="BD535" s="5" t="s">
        <v>1517</v>
      </c>
      <c r="BE535" s="5" t="s">
        <v>76</v>
      </c>
      <c r="BF535" s="5" t="s">
        <v>76</v>
      </c>
      <c r="BG535" s="15">
        <v>36.5</v>
      </c>
      <c r="BH535" s="5" t="s">
        <v>129</v>
      </c>
      <c r="BI535" s="5" t="s">
        <v>129</v>
      </c>
      <c r="BJ535" s="5" t="s">
        <v>246</v>
      </c>
      <c r="BK535" s="5" t="s">
        <v>351</v>
      </c>
      <c r="BL535" s="5" t="s">
        <v>232</v>
      </c>
      <c r="BM535" s="5" t="s">
        <v>232</v>
      </c>
      <c r="BN535" s="5">
        <v>175</v>
      </c>
      <c r="BO535" s="5">
        <f t="shared" si="8"/>
        <v>29.3877551020408</v>
      </c>
      <c r="BP535" s="5" t="s">
        <v>1520</v>
      </c>
      <c r="BQ535" s="5" t="s">
        <v>76</v>
      </c>
      <c r="BR535" s="5">
        <v>3698</v>
      </c>
    </row>
    <row r="536" s="1" customFormat="1" spans="1:70">
      <c r="A536" s="1">
        <v>3513058</v>
      </c>
      <c r="B536" s="1" t="s">
        <v>1521</v>
      </c>
      <c r="D536" s="4">
        <v>45285</v>
      </c>
      <c r="E536" s="4">
        <v>45300</v>
      </c>
      <c r="F536" s="7">
        <v>17900</v>
      </c>
      <c r="G536" s="1">
        <v>33</v>
      </c>
      <c r="H536" s="1">
        <v>10</v>
      </c>
      <c r="I536" s="1">
        <v>47</v>
      </c>
      <c r="J536" s="1">
        <v>10</v>
      </c>
      <c r="K536" s="1">
        <v>58</v>
      </c>
      <c r="L536" s="1">
        <v>31</v>
      </c>
      <c r="M536" s="9">
        <v>0.8</v>
      </c>
      <c r="N536" s="10">
        <v>8</v>
      </c>
      <c r="O536" s="7">
        <v>17900</v>
      </c>
      <c r="P536" s="4">
        <v>45285</v>
      </c>
      <c r="Q536" s="4">
        <v>45300</v>
      </c>
      <c r="R536" s="1" t="s">
        <v>80</v>
      </c>
      <c r="AO536" s="7">
        <v>17900</v>
      </c>
      <c r="AP536" s="5">
        <v>9.6</v>
      </c>
      <c r="AQ536" s="5">
        <v>92</v>
      </c>
      <c r="AR536" s="5">
        <v>45</v>
      </c>
      <c r="AS536" s="5">
        <v>94.3</v>
      </c>
      <c r="AT536" s="5">
        <v>92</v>
      </c>
      <c r="AU536" s="5" t="s">
        <v>171</v>
      </c>
      <c r="AV536" s="5">
        <v>31.7</v>
      </c>
      <c r="AW536" s="5">
        <v>60.93</v>
      </c>
      <c r="AX536" s="5">
        <v>516</v>
      </c>
      <c r="AY536" s="5">
        <v>43.06</v>
      </c>
      <c r="AZ536" s="5">
        <v>9.9</v>
      </c>
      <c r="BA536" s="5" t="s">
        <v>76</v>
      </c>
      <c r="BB536" s="12" t="s">
        <v>76</v>
      </c>
      <c r="BC536" s="5" t="s">
        <v>4</v>
      </c>
      <c r="BD536" s="5">
        <v>92</v>
      </c>
      <c r="BE536" s="5" t="s">
        <v>76</v>
      </c>
      <c r="BF536" s="5" t="s">
        <v>76</v>
      </c>
      <c r="BG536" s="15">
        <v>36.5</v>
      </c>
      <c r="BH536" s="5" t="s">
        <v>76</v>
      </c>
      <c r="BI536" s="5">
        <v>61</v>
      </c>
      <c r="BJ536" s="5">
        <v>22</v>
      </c>
      <c r="BK536" s="5">
        <v>172</v>
      </c>
      <c r="BL536" s="5">
        <v>77</v>
      </c>
      <c r="BM536" s="5">
        <v>70</v>
      </c>
      <c r="BN536" s="5">
        <v>180</v>
      </c>
      <c r="BO536" s="5">
        <f t="shared" si="8"/>
        <v>21.6049382716049</v>
      </c>
      <c r="BP536" s="5" t="s">
        <v>117</v>
      </c>
      <c r="BQ536" s="5">
        <v>8.7</v>
      </c>
      <c r="BR536" s="5">
        <v>7952</v>
      </c>
    </row>
    <row r="537" s="1" customFormat="1" spans="1:70">
      <c r="A537" s="1">
        <v>3313332</v>
      </c>
      <c r="B537" s="1" t="s">
        <v>1522</v>
      </c>
      <c r="D537" s="4">
        <v>45008</v>
      </c>
      <c r="E537" s="4">
        <v>45026</v>
      </c>
      <c r="F537" s="7">
        <v>17906</v>
      </c>
      <c r="G537" s="1">
        <v>49</v>
      </c>
      <c r="H537" s="1">
        <v>10</v>
      </c>
      <c r="I537" s="1">
        <v>53</v>
      </c>
      <c r="J537" s="1">
        <v>10</v>
      </c>
      <c r="K537" s="1">
        <v>51</v>
      </c>
      <c r="L537" s="1">
        <v>26</v>
      </c>
      <c r="N537" s="1">
        <v>12.1</v>
      </c>
      <c r="O537" s="7">
        <v>17906</v>
      </c>
      <c r="P537" s="4">
        <v>45008</v>
      </c>
      <c r="Q537" s="4">
        <v>45026</v>
      </c>
      <c r="R537" s="1" t="s">
        <v>80</v>
      </c>
      <c r="AO537" s="7">
        <v>17906</v>
      </c>
      <c r="AP537" s="5">
        <v>6.5</v>
      </c>
      <c r="AQ537" s="5">
        <v>137</v>
      </c>
      <c r="AR537" s="5">
        <v>42.7</v>
      </c>
      <c r="AS537" s="5" t="s">
        <v>76</v>
      </c>
      <c r="AT537" s="5">
        <v>27</v>
      </c>
      <c r="AU537" s="5">
        <v>19</v>
      </c>
      <c r="AV537" s="5">
        <v>37.1</v>
      </c>
      <c r="AW537" s="5">
        <v>8.89</v>
      </c>
      <c r="AX537" s="5">
        <v>75</v>
      </c>
      <c r="AY537" s="5">
        <v>93.86</v>
      </c>
      <c r="AZ537" s="5" t="s">
        <v>75</v>
      </c>
      <c r="BA537" s="5">
        <v>3.82</v>
      </c>
      <c r="BB537" s="12" t="s">
        <v>76</v>
      </c>
      <c r="BC537" s="5">
        <v>4.17</v>
      </c>
      <c r="BD537" s="5">
        <v>137</v>
      </c>
      <c r="BE537" s="5">
        <v>0.94</v>
      </c>
      <c r="BF537" s="5">
        <v>2.36</v>
      </c>
      <c r="BG537" s="15">
        <v>36.5</v>
      </c>
      <c r="BH537" s="5">
        <v>120</v>
      </c>
      <c r="BI537" s="5">
        <v>120</v>
      </c>
      <c r="BJ537" s="5">
        <v>17</v>
      </c>
      <c r="BK537" s="5">
        <v>155</v>
      </c>
      <c r="BL537" s="5">
        <v>84</v>
      </c>
      <c r="BM537" s="5">
        <v>70</v>
      </c>
      <c r="BN537" s="5">
        <v>177</v>
      </c>
      <c r="BO537" s="5">
        <f t="shared" si="8"/>
        <v>22.343515592582</v>
      </c>
      <c r="BP537" s="5" t="s">
        <v>78</v>
      </c>
      <c r="BQ537" s="5" t="s">
        <v>76</v>
      </c>
      <c r="BR537" s="5">
        <v>3324</v>
      </c>
    </row>
    <row r="538" s="1" customFormat="1" spans="1:70">
      <c r="A538" s="1">
        <v>3293503</v>
      </c>
      <c r="B538" s="1" t="s">
        <v>1523</v>
      </c>
      <c r="D538" s="4">
        <v>44981</v>
      </c>
      <c r="E538" s="4">
        <v>44989</v>
      </c>
      <c r="F538" s="7">
        <v>17912</v>
      </c>
      <c r="G538" s="1">
        <v>44</v>
      </c>
      <c r="H538" s="1">
        <v>10</v>
      </c>
      <c r="I538" s="1">
        <v>52</v>
      </c>
      <c r="J538" s="1">
        <v>10</v>
      </c>
      <c r="K538" s="1">
        <v>53</v>
      </c>
      <c r="L538" s="1">
        <v>28</v>
      </c>
      <c r="M538" s="1">
        <v>0.73</v>
      </c>
      <c r="N538" s="1">
        <v>15.1</v>
      </c>
      <c r="O538" s="7">
        <v>17912</v>
      </c>
      <c r="P538" s="4">
        <v>44981</v>
      </c>
      <c r="Q538" s="4">
        <v>44989</v>
      </c>
      <c r="R538" s="1" t="s">
        <v>80</v>
      </c>
      <c r="AO538" s="7">
        <v>17912</v>
      </c>
      <c r="AP538" s="5">
        <v>9.2</v>
      </c>
      <c r="AQ538" s="5">
        <v>130</v>
      </c>
      <c r="AR538" s="5">
        <v>41.6</v>
      </c>
      <c r="AS538" s="5" t="s">
        <v>81</v>
      </c>
      <c r="AT538" s="5">
        <v>66</v>
      </c>
      <c r="AU538" s="5">
        <v>77</v>
      </c>
      <c r="AV538" s="5">
        <v>37</v>
      </c>
      <c r="AW538" s="5">
        <v>7.48</v>
      </c>
      <c r="AX538" s="5">
        <v>68</v>
      </c>
      <c r="AY538" s="5" t="s">
        <v>125</v>
      </c>
      <c r="AZ538" s="5">
        <v>7.21</v>
      </c>
      <c r="BA538" s="5">
        <v>4.75</v>
      </c>
      <c r="BB538" s="12" t="s">
        <v>76</v>
      </c>
      <c r="BC538" s="5">
        <v>4.18</v>
      </c>
      <c r="BD538" s="5">
        <v>130</v>
      </c>
      <c r="BE538" s="5">
        <v>0.6</v>
      </c>
      <c r="BF538" s="5">
        <v>2.37</v>
      </c>
      <c r="BG538" s="15">
        <v>36.5</v>
      </c>
      <c r="BH538" s="5" t="s">
        <v>76</v>
      </c>
      <c r="BI538" s="5">
        <v>62</v>
      </c>
      <c r="BJ538" s="5">
        <v>18</v>
      </c>
      <c r="BK538" s="5">
        <v>131</v>
      </c>
      <c r="BL538" s="5">
        <v>78</v>
      </c>
      <c r="BM538" s="5">
        <v>69</v>
      </c>
      <c r="BN538" s="5">
        <v>169</v>
      </c>
      <c r="BO538" s="5">
        <f t="shared" si="8"/>
        <v>24.1588179685585</v>
      </c>
      <c r="BP538" s="5" t="s">
        <v>323</v>
      </c>
      <c r="BQ538" s="5">
        <v>8.3</v>
      </c>
      <c r="BR538" s="5">
        <v>940</v>
      </c>
    </row>
    <row r="539" s="1" customFormat="1" spans="1:70">
      <c r="A539" s="1">
        <v>3288954</v>
      </c>
      <c r="B539" s="1" t="s">
        <v>1524</v>
      </c>
      <c r="D539" s="4">
        <v>44976</v>
      </c>
      <c r="E539" s="4">
        <v>44981</v>
      </c>
      <c r="F539" s="7">
        <v>17984</v>
      </c>
      <c r="G539" s="1">
        <v>69</v>
      </c>
      <c r="H539" s="1">
        <v>10</v>
      </c>
      <c r="I539" s="1">
        <v>67</v>
      </c>
      <c r="J539" s="1">
        <v>10</v>
      </c>
      <c r="K539" s="1">
        <v>52</v>
      </c>
      <c r="L539" s="1">
        <v>27</v>
      </c>
      <c r="N539" s="1">
        <v>13.1</v>
      </c>
      <c r="O539" s="7">
        <v>17984</v>
      </c>
      <c r="P539" s="4">
        <v>44976</v>
      </c>
      <c r="Q539" s="4">
        <v>44981</v>
      </c>
      <c r="R539" s="1" t="s">
        <v>80</v>
      </c>
      <c r="AO539" s="7">
        <v>17984</v>
      </c>
      <c r="AP539" s="5">
        <v>3.9</v>
      </c>
      <c r="AQ539" s="5">
        <v>131</v>
      </c>
      <c r="AR539" s="5">
        <v>42.6</v>
      </c>
      <c r="AS539" s="5">
        <v>22.1</v>
      </c>
      <c r="AT539" s="5">
        <v>22</v>
      </c>
      <c r="AU539" s="5">
        <v>17</v>
      </c>
      <c r="AV539" s="5">
        <v>42.8</v>
      </c>
      <c r="AW539" s="5">
        <v>8.16</v>
      </c>
      <c r="AX539" s="5">
        <v>53</v>
      </c>
      <c r="AY539" s="5" t="s">
        <v>125</v>
      </c>
      <c r="AZ539" s="5" t="s">
        <v>75</v>
      </c>
      <c r="BA539" s="5">
        <v>4.02</v>
      </c>
      <c r="BB539" s="12" t="s">
        <v>76</v>
      </c>
      <c r="BC539" s="5">
        <v>4.41</v>
      </c>
      <c r="BD539" s="5">
        <v>131</v>
      </c>
      <c r="BE539" s="5">
        <v>1.54</v>
      </c>
      <c r="BF539" s="5">
        <v>1.98</v>
      </c>
      <c r="BG539" s="15">
        <v>36.2</v>
      </c>
      <c r="BH539" s="5">
        <v>91</v>
      </c>
      <c r="BI539" s="5" t="s">
        <v>76</v>
      </c>
      <c r="BJ539" s="5">
        <v>20</v>
      </c>
      <c r="BK539" s="5">
        <v>111</v>
      </c>
      <c r="BL539" s="5">
        <v>64</v>
      </c>
      <c r="BM539" s="5">
        <v>60</v>
      </c>
      <c r="BN539" s="5">
        <v>169</v>
      </c>
      <c r="BO539" s="5">
        <f t="shared" si="8"/>
        <v>21.0076677987465</v>
      </c>
      <c r="BP539" s="5" t="s">
        <v>109</v>
      </c>
      <c r="BQ539" s="5" t="s">
        <v>76</v>
      </c>
      <c r="BR539" s="5">
        <v>2936</v>
      </c>
    </row>
    <row r="540" s="1" customFormat="1" spans="1:70">
      <c r="A540" s="1">
        <v>3329691</v>
      </c>
      <c r="B540" s="1" t="s">
        <v>1190</v>
      </c>
      <c r="D540" s="4">
        <v>45032</v>
      </c>
      <c r="E540" s="4">
        <v>45036</v>
      </c>
      <c r="F540" s="7">
        <v>18008</v>
      </c>
      <c r="G540" s="1">
        <v>39</v>
      </c>
      <c r="H540" s="1">
        <v>9</v>
      </c>
      <c r="I540" s="1">
        <v>50</v>
      </c>
      <c r="J540" s="1">
        <v>9</v>
      </c>
      <c r="K540" s="1">
        <v>50</v>
      </c>
      <c r="L540" s="1">
        <v>25</v>
      </c>
      <c r="M540" s="1">
        <v>0.35</v>
      </c>
      <c r="N540" s="1">
        <v>8</v>
      </c>
      <c r="O540" s="7">
        <v>18008</v>
      </c>
      <c r="P540" s="4">
        <v>45032</v>
      </c>
      <c r="Q540" s="4">
        <v>45036</v>
      </c>
      <c r="R540" s="1" t="s">
        <v>73</v>
      </c>
      <c r="S540" s="1">
        <v>73</v>
      </c>
      <c r="T540" s="1" t="s">
        <v>1525</v>
      </c>
      <c r="Z540" s="1">
        <v>1</v>
      </c>
      <c r="AH540" s="1">
        <v>1</v>
      </c>
      <c r="AI540" s="1">
        <v>1</v>
      </c>
      <c r="AK540" s="1">
        <v>1</v>
      </c>
      <c r="AL540" s="1">
        <v>1</v>
      </c>
      <c r="AO540" s="7">
        <v>18008</v>
      </c>
      <c r="AP540" s="5">
        <v>8.5</v>
      </c>
      <c r="AQ540" s="5">
        <v>128</v>
      </c>
      <c r="AR540" s="5">
        <v>36.9</v>
      </c>
      <c r="AS540" s="5">
        <v>42.2</v>
      </c>
      <c r="AT540" s="5">
        <v>45</v>
      </c>
      <c r="AU540" s="5">
        <v>42</v>
      </c>
      <c r="AV540" s="5">
        <v>42</v>
      </c>
      <c r="AW540" s="5">
        <v>6.63</v>
      </c>
      <c r="AX540" s="5">
        <v>68</v>
      </c>
      <c r="AY540" s="5">
        <v>88.65</v>
      </c>
      <c r="AZ540" s="5">
        <v>6.84</v>
      </c>
      <c r="BA540" s="5">
        <v>4.51</v>
      </c>
      <c r="BB540" s="12" t="s">
        <v>76</v>
      </c>
      <c r="BC540" s="5">
        <v>4.02</v>
      </c>
      <c r="BD540" s="5">
        <v>128</v>
      </c>
      <c r="BE540" s="5">
        <v>0.87</v>
      </c>
      <c r="BF540" s="5">
        <v>2.54</v>
      </c>
      <c r="BG540" s="15">
        <v>36.2</v>
      </c>
      <c r="BH540" s="5">
        <v>80</v>
      </c>
      <c r="BI540" s="5">
        <v>80</v>
      </c>
      <c r="BJ540" s="5">
        <v>18</v>
      </c>
      <c r="BK540" s="5">
        <v>126</v>
      </c>
      <c r="BL540" s="5">
        <v>80</v>
      </c>
      <c r="BM540" s="5">
        <v>60</v>
      </c>
      <c r="BN540" s="5">
        <v>150</v>
      </c>
      <c r="BO540" s="5">
        <f t="shared" si="8"/>
        <v>26.6666666666667</v>
      </c>
      <c r="BP540" s="5" t="s">
        <v>323</v>
      </c>
      <c r="BQ540" s="5">
        <v>6.3</v>
      </c>
      <c r="BR540" s="5">
        <v>962</v>
      </c>
    </row>
    <row r="541" s="1" customFormat="1" spans="1:70">
      <c r="A541" s="1">
        <v>3317585</v>
      </c>
      <c r="B541" s="1" t="s">
        <v>1526</v>
      </c>
      <c r="D541" s="4">
        <v>45014</v>
      </c>
      <c r="E541" s="4">
        <v>45020</v>
      </c>
      <c r="F541" s="7">
        <v>18008</v>
      </c>
      <c r="G541" s="1">
        <v>45</v>
      </c>
      <c r="H541" s="1">
        <v>9</v>
      </c>
      <c r="I541" s="1">
        <v>46</v>
      </c>
      <c r="J541" s="1">
        <v>9</v>
      </c>
      <c r="K541" s="1">
        <v>58</v>
      </c>
      <c r="L541" s="1">
        <v>31</v>
      </c>
      <c r="M541" s="1">
        <v>2.63</v>
      </c>
      <c r="O541" s="7">
        <v>18008</v>
      </c>
      <c r="P541" s="4">
        <v>45014</v>
      </c>
      <c r="Q541" s="4">
        <v>45020</v>
      </c>
      <c r="R541" s="1" t="s">
        <v>80</v>
      </c>
      <c r="AO541" s="7">
        <v>18008</v>
      </c>
      <c r="AP541" s="5">
        <v>8.4</v>
      </c>
      <c r="AQ541" s="5">
        <v>149</v>
      </c>
      <c r="AR541" s="5">
        <v>50.9</v>
      </c>
      <c r="AS541" s="5" t="s">
        <v>76</v>
      </c>
      <c r="AT541" s="5">
        <v>21</v>
      </c>
      <c r="AU541" s="5">
        <v>8</v>
      </c>
      <c r="AV541" s="5">
        <v>34.1</v>
      </c>
      <c r="AW541" s="5">
        <v>6.93</v>
      </c>
      <c r="AX541" s="5">
        <v>66</v>
      </c>
      <c r="AY541" s="5" t="s">
        <v>125</v>
      </c>
      <c r="AZ541" s="5">
        <v>9.3</v>
      </c>
      <c r="BA541" s="5" t="s">
        <v>76</v>
      </c>
      <c r="BB541" s="12" t="s">
        <v>76</v>
      </c>
      <c r="BC541" s="5">
        <v>4.44</v>
      </c>
      <c r="BD541" s="5">
        <v>149</v>
      </c>
      <c r="BE541" s="5" t="s">
        <v>76</v>
      </c>
      <c r="BF541" s="5" t="s">
        <v>76</v>
      </c>
      <c r="BG541" s="15">
        <v>36.8</v>
      </c>
      <c r="BH541" s="5" t="s">
        <v>76</v>
      </c>
      <c r="BI541" s="5">
        <v>81</v>
      </c>
      <c r="BJ541" s="5">
        <v>15</v>
      </c>
      <c r="BK541" s="5">
        <v>114</v>
      </c>
      <c r="BL541" s="5">
        <v>65</v>
      </c>
      <c r="BM541" s="5">
        <v>70</v>
      </c>
      <c r="BN541" s="5">
        <v>160</v>
      </c>
      <c r="BO541" s="5">
        <f t="shared" si="8"/>
        <v>27.34375</v>
      </c>
      <c r="BP541" s="5" t="s">
        <v>161</v>
      </c>
      <c r="BQ541" s="5" t="s">
        <v>76</v>
      </c>
      <c r="BR541" s="5">
        <v>911</v>
      </c>
    </row>
    <row r="542" s="1" customFormat="1" spans="1:70">
      <c r="A542" s="1">
        <v>3512112</v>
      </c>
      <c r="B542" s="1" t="s">
        <v>1527</v>
      </c>
      <c r="D542" s="4">
        <v>45283</v>
      </c>
      <c r="E542" s="4">
        <v>45288</v>
      </c>
      <c r="F542" s="7">
        <v>18024</v>
      </c>
      <c r="G542" s="1">
        <v>42</v>
      </c>
      <c r="H542" s="1">
        <v>6</v>
      </c>
      <c r="I542" s="1">
        <v>49</v>
      </c>
      <c r="J542" s="1">
        <v>6</v>
      </c>
      <c r="K542" s="1">
        <v>46</v>
      </c>
      <c r="L542" s="1">
        <v>23</v>
      </c>
      <c r="M542" s="1">
        <v>0.92</v>
      </c>
      <c r="N542" s="1">
        <v>17.3</v>
      </c>
      <c r="O542" s="7">
        <v>18024</v>
      </c>
      <c r="P542" s="4">
        <v>45283</v>
      </c>
      <c r="Q542" s="4">
        <v>45288</v>
      </c>
      <c r="R542" s="1" t="s">
        <v>73</v>
      </c>
      <c r="AO542" s="7">
        <v>18024</v>
      </c>
      <c r="AP542" s="5">
        <v>9.5</v>
      </c>
      <c r="AQ542" s="5">
        <v>115</v>
      </c>
      <c r="AR542" s="5">
        <v>36.3</v>
      </c>
      <c r="AS542" s="5">
        <v>79.5</v>
      </c>
      <c r="AT542" s="5">
        <v>40</v>
      </c>
      <c r="AU542" s="5">
        <v>11</v>
      </c>
      <c r="AV542" s="5">
        <v>33.2</v>
      </c>
      <c r="AW542" s="5">
        <v>10.4</v>
      </c>
      <c r="AX542" s="5">
        <v>73</v>
      </c>
      <c r="AY542" s="5">
        <v>71.85</v>
      </c>
      <c r="AZ542" s="5" t="s">
        <v>375</v>
      </c>
      <c r="BA542" s="5">
        <v>8.11</v>
      </c>
      <c r="BB542" s="12" t="s">
        <v>76</v>
      </c>
      <c r="BC542" s="5">
        <v>4.36</v>
      </c>
      <c r="BD542" s="5">
        <v>115</v>
      </c>
      <c r="BE542" s="5">
        <v>0.81</v>
      </c>
      <c r="BF542" s="5">
        <v>5.66</v>
      </c>
      <c r="BG542" s="15">
        <v>36.3</v>
      </c>
      <c r="BH542" s="5">
        <v>105</v>
      </c>
      <c r="BI542" s="5">
        <v>105</v>
      </c>
      <c r="BJ542" s="5">
        <v>19</v>
      </c>
      <c r="BK542" s="5">
        <v>160</v>
      </c>
      <c r="BL542" s="5">
        <v>81</v>
      </c>
      <c r="BM542" s="5">
        <v>65</v>
      </c>
      <c r="BN542" s="5">
        <v>150</v>
      </c>
      <c r="BO542" s="5">
        <f t="shared" si="8"/>
        <v>28.8888888888889</v>
      </c>
      <c r="BP542" s="5" t="s">
        <v>156</v>
      </c>
      <c r="BQ542" s="5">
        <v>10.8</v>
      </c>
      <c r="BR542" s="5">
        <v>21711</v>
      </c>
    </row>
    <row r="543" s="1" customFormat="1" spans="1:70">
      <c r="A543" s="1">
        <v>3490351</v>
      </c>
      <c r="B543" s="1" t="s">
        <v>1528</v>
      </c>
      <c r="D543" s="4">
        <v>45253</v>
      </c>
      <c r="E543" s="4">
        <v>45271</v>
      </c>
      <c r="F543" s="7">
        <v>18029</v>
      </c>
      <c r="G543" s="1">
        <v>40</v>
      </c>
      <c r="H543" s="1">
        <v>9</v>
      </c>
      <c r="I543" s="1">
        <v>52</v>
      </c>
      <c r="J543" s="1">
        <v>9</v>
      </c>
      <c r="K543" s="1">
        <v>55</v>
      </c>
      <c r="L543" s="1">
        <v>29</v>
      </c>
      <c r="M543" s="1">
        <v>0.85</v>
      </c>
      <c r="O543" s="7">
        <v>18029</v>
      </c>
      <c r="P543" s="4">
        <v>45253</v>
      </c>
      <c r="Q543" s="4">
        <v>45271</v>
      </c>
      <c r="R543" s="1" t="s">
        <v>80</v>
      </c>
      <c r="AO543" s="7">
        <v>18029</v>
      </c>
      <c r="AP543" s="5">
        <v>9.4</v>
      </c>
      <c r="AQ543" s="5">
        <v>146</v>
      </c>
      <c r="AR543" s="5">
        <v>45.5</v>
      </c>
      <c r="AS543" s="5">
        <v>67.1</v>
      </c>
      <c r="AT543" s="5">
        <v>55</v>
      </c>
      <c r="AU543" s="5">
        <v>78</v>
      </c>
      <c r="AV543" s="5">
        <v>31.6</v>
      </c>
      <c r="AW543" s="5">
        <v>9.66</v>
      </c>
      <c r="AX543" s="5">
        <v>96</v>
      </c>
      <c r="AY543" s="5">
        <v>88.4</v>
      </c>
      <c r="AZ543" s="5">
        <v>8.1</v>
      </c>
      <c r="BA543" s="5" t="s">
        <v>76</v>
      </c>
      <c r="BB543" s="12" t="s">
        <v>76</v>
      </c>
      <c r="BC543" s="5">
        <v>4.6</v>
      </c>
      <c r="BD543" s="5">
        <v>146</v>
      </c>
      <c r="BE543" s="5" t="s">
        <v>76</v>
      </c>
      <c r="BF543" s="5" t="s">
        <v>76</v>
      </c>
      <c r="BG543" s="5" t="s">
        <v>76</v>
      </c>
      <c r="BH543" s="5" t="s">
        <v>76</v>
      </c>
      <c r="BI543" s="5" t="s">
        <v>76</v>
      </c>
      <c r="BJ543" s="5" t="s">
        <v>76</v>
      </c>
      <c r="BK543" s="5" t="s">
        <v>76</v>
      </c>
      <c r="BL543" s="5" t="s">
        <v>76</v>
      </c>
      <c r="BM543" s="5" t="s">
        <v>76</v>
      </c>
      <c r="BN543" s="5" t="s">
        <v>76</v>
      </c>
      <c r="BO543" s="5" t="e">
        <f t="shared" si="8"/>
        <v>#VALUE!</v>
      </c>
      <c r="BP543" s="5" t="s">
        <v>107</v>
      </c>
      <c r="BQ543" s="5">
        <v>6.8</v>
      </c>
      <c r="BR543" s="5">
        <v>2487</v>
      </c>
    </row>
    <row r="544" s="1" customFormat="1" spans="1:70">
      <c r="A544" s="1">
        <v>3515168</v>
      </c>
      <c r="B544" s="1" t="s">
        <v>1529</v>
      </c>
      <c r="D544" s="4">
        <v>45287</v>
      </c>
      <c r="E544" s="4">
        <v>45294</v>
      </c>
      <c r="F544" s="7">
        <v>18033</v>
      </c>
      <c r="G544" s="1">
        <v>35</v>
      </c>
      <c r="H544" s="1">
        <v>9</v>
      </c>
      <c r="I544" s="1">
        <v>52</v>
      </c>
      <c r="J544" s="1">
        <v>5</v>
      </c>
      <c r="K544" s="1">
        <v>41</v>
      </c>
      <c r="L544" s="1">
        <v>20</v>
      </c>
      <c r="M544" s="1">
        <v>0.55</v>
      </c>
      <c r="N544" s="1">
        <v>10.5</v>
      </c>
      <c r="O544" s="7">
        <v>18033</v>
      </c>
      <c r="P544" s="4">
        <v>45287</v>
      </c>
      <c r="Q544" s="4">
        <v>45294</v>
      </c>
      <c r="R544" s="1" t="s">
        <v>73</v>
      </c>
      <c r="AO544" s="7">
        <v>18033</v>
      </c>
      <c r="AP544" s="5">
        <v>7.4</v>
      </c>
      <c r="AQ544" s="5">
        <v>110</v>
      </c>
      <c r="AR544" s="5">
        <v>31.9</v>
      </c>
      <c r="AS544" s="5">
        <v>2.9</v>
      </c>
      <c r="AT544" s="5">
        <v>14</v>
      </c>
      <c r="AU544" s="5">
        <v>7</v>
      </c>
      <c r="AV544" s="5">
        <v>46.2</v>
      </c>
      <c r="AW544" s="5">
        <v>11.86</v>
      </c>
      <c r="AX544" s="5">
        <v>86</v>
      </c>
      <c r="AY544" s="5">
        <v>59.47</v>
      </c>
      <c r="AZ544" s="5" t="s">
        <v>75</v>
      </c>
      <c r="BA544" s="5">
        <v>7.72</v>
      </c>
      <c r="BB544" s="12" t="s">
        <v>76</v>
      </c>
      <c r="BC544" s="5">
        <v>4.21</v>
      </c>
      <c r="BD544" s="5">
        <v>110</v>
      </c>
      <c r="BE544" s="5">
        <v>0.65</v>
      </c>
      <c r="BF544" s="5">
        <v>1.39</v>
      </c>
      <c r="BG544" s="15">
        <v>36.5</v>
      </c>
      <c r="BH544" s="5">
        <v>72</v>
      </c>
      <c r="BI544" s="5">
        <v>72</v>
      </c>
      <c r="BJ544" s="5">
        <v>18</v>
      </c>
      <c r="BK544" s="5">
        <v>150</v>
      </c>
      <c r="BL544" s="5">
        <v>90</v>
      </c>
      <c r="BM544" s="5">
        <v>46</v>
      </c>
      <c r="BN544" s="5">
        <v>156</v>
      </c>
      <c r="BO544" s="5">
        <f t="shared" si="8"/>
        <v>18.9020381328074</v>
      </c>
      <c r="BP544" s="5" t="s">
        <v>588</v>
      </c>
      <c r="BQ544" s="5">
        <v>8.6</v>
      </c>
      <c r="BR544" s="5">
        <v>1661</v>
      </c>
    </row>
    <row r="545" s="1" customFormat="1" spans="1:70">
      <c r="A545" s="1">
        <v>3277360</v>
      </c>
      <c r="B545" s="1" t="s">
        <v>1530</v>
      </c>
      <c r="D545" s="4">
        <v>44959</v>
      </c>
      <c r="E545" s="4">
        <v>44965</v>
      </c>
      <c r="F545" s="7">
        <v>18033</v>
      </c>
      <c r="G545" s="1">
        <v>37</v>
      </c>
      <c r="H545" s="1">
        <v>7</v>
      </c>
      <c r="I545" s="1">
        <v>47</v>
      </c>
      <c r="J545" s="1">
        <v>7</v>
      </c>
      <c r="K545" s="1">
        <v>64</v>
      </c>
      <c r="L545" s="1">
        <v>35</v>
      </c>
      <c r="M545" s="1">
        <v>0.89</v>
      </c>
      <c r="N545" s="1">
        <v>14.5</v>
      </c>
      <c r="O545" s="7">
        <v>18033</v>
      </c>
      <c r="P545" s="4">
        <v>44959</v>
      </c>
      <c r="Q545" s="4">
        <v>44965</v>
      </c>
      <c r="R545" s="1" t="s">
        <v>73</v>
      </c>
      <c r="AO545" s="7">
        <v>18033</v>
      </c>
      <c r="AP545" s="5">
        <v>9.3</v>
      </c>
      <c r="AQ545" s="5">
        <v>129</v>
      </c>
      <c r="AR545" s="5">
        <v>38.5</v>
      </c>
      <c r="AS545" s="5">
        <v>51.6</v>
      </c>
      <c r="AT545" s="5">
        <v>38</v>
      </c>
      <c r="AU545" s="5">
        <v>44</v>
      </c>
      <c r="AV545" s="5">
        <v>42.7</v>
      </c>
      <c r="AW545" s="5">
        <v>4.1</v>
      </c>
      <c r="AX545" s="5">
        <v>58</v>
      </c>
      <c r="AY545" s="5" t="s">
        <v>76</v>
      </c>
      <c r="AZ545" s="5" t="s">
        <v>75</v>
      </c>
      <c r="BA545" s="5" t="s">
        <v>76</v>
      </c>
      <c r="BB545" s="12" t="s">
        <v>76</v>
      </c>
      <c r="BC545" s="5">
        <v>4.26</v>
      </c>
      <c r="BD545" s="5">
        <v>129</v>
      </c>
      <c r="BE545" s="5" t="s">
        <v>76</v>
      </c>
      <c r="BF545" s="5" t="s">
        <v>76</v>
      </c>
      <c r="BG545" s="15">
        <v>36.9</v>
      </c>
      <c r="BH545" s="5">
        <v>94</v>
      </c>
      <c r="BI545" s="5" t="s">
        <v>76</v>
      </c>
      <c r="BJ545" s="5">
        <v>20</v>
      </c>
      <c r="BK545" s="5">
        <v>111</v>
      </c>
      <c r="BL545" s="5">
        <v>60</v>
      </c>
      <c r="BM545" s="5">
        <v>46</v>
      </c>
      <c r="BN545" s="5">
        <v>156</v>
      </c>
      <c r="BO545" s="5">
        <f t="shared" si="8"/>
        <v>18.9020381328074</v>
      </c>
      <c r="BP545" s="5" t="s">
        <v>149</v>
      </c>
      <c r="BQ545" s="5" t="s">
        <v>76</v>
      </c>
      <c r="BR545" s="5">
        <v>935</v>
      </c>
    </row>
    <row r="546" s="1" customFormat="1" spans="1:70">
      <c r="A546" s="1">
        <v>3323017</v>
      </c>
      <c r="B546" s="1" t="s">
        <v>1531</v>
      </c>
      <c r="D546" s="4">
        <v>45022</v>
      </c>
      <c r="E546" s="4">
        <v>45026</v>
      </c>
      <c r="F546" s="7">
        <v>18035</v>
      </c>
      <c r="G546" s="1">
        <v>36</v>
      </c>
      <c r="H546" s="1">
        <v>8</v>
      </c>
      <c r="I546" s="1">
        <v>45</v>
      </c>
      <c r="J546" s="1">
        <v>8</v>
      </c>
      <c r="K546" s="1">
        <v>50</v>
      </c>
      <c r="L546" s="1">
        <v>25</v>
      </c>
      <c r="N546" s="1">
        <v>11.4</v>
      </c>
      <c r="O546" s="7">
        <v>18035</v>
      </c>
      <c r="P546" s="4">
        <v>45022</v>
      </c>
      <c r="Q546" s="4">
        <v>45026</v>
      </c>
      <c r="R546" s="1" t="s">
        <v>80</v>
      </c>
      <c r="AO546" s="7">
        <v>18035</v>
      </c>
      <c r="AP546" s="5">
        <v>6.8</v>
      </c>
      <c r="AQ546" s="5">
        <v>124</v>
      </c>
      <c r="AR546" s="5">
        <v>39.6</v>
      </c>
      <c r="AS546" s="5">
        <v>46.5</v>
      </c>
      <c r="AT546" s="5">
        <v>10</v>
      </c>
      <c r="AU546" s="5">
        <v>12</v>
      </c>
      <c r="AV546" s="5">
        <v>32.2</v>
      </c>
      <c r="AW546" s="5">
        <v>6.49</v>
      </c>
      <c r="AX546" s="5">
        <v>42</v>
      </c>
      <c r="AY546" s="5" t="s">
        <v>125</v>
      </c>
      <c r="AZ546" s="5">
        <v>5.4</v>
      </c>
      <c r="BA546" s="5" t="s">
        <v>76</v>
      </c>
      <c r="BB546" s="12" t="s">
        <v>76</v>
      </c>
      <c r="BC546" s="5">
        <v>4.83</v>
      </c>
      <c r="BD546" s="5">
        <v>124</v>
      </c>
      <c r="BE546" s="5" t="s">
        <v>76</v>
      </c>
      <c r="BF546" s="5" t="s">
        <v>76</v>
      </c>
      <c r="BG546" s="15">
        <v>36.5</v>
      </c>
      <c r="BH546" s="5">
        <v>112</v>
      </c>
      <c r="BI546" s="5">
        <v>112</v>
      </c>
      <c r="BJ546" s="5">
        <v>23</v>
      </c>
      <c r="BK546" s="5">
        <v>124</v>
      </c>
      <c r="BL546" s="5">
        <v>90</v>
      </c>
      <c r="BM546" s="5">
        <v>51</v>
      </c>
      <c r="BN546" s="5">
        <v>162</v>
      </c>
      <c r="BO546" s="5">
        <f t="shared" si="8"/>
        <v>19.4330132601738</v>
      </c>
      <c r="BP546" s="5" t="s">
        <v>109</v>
      </c>
      <c r="BQ546" s="5" t="s">
        <v>76</v>
      </c>
      <c r="BR546" s="5">
        <v>1865</v>
      </c>
    </row>
    <row r="547" s="1" customFormat="1" spans="1:70">
      <c r="A547" s="1" t="s">
        <v>1532</v>
      </c>
      <c r="B547" s="1" t="s">
        <v>1533</v>
      </c>
      <c r="D547" s="4">
        <v>45281</v>
      </c>
      <c r="E547" s="4">
        <v>45295</v>
      </c>
      <c r="F547" s="7">
        <v>18057</v>
      </c>
      <c r="G547" s="1">
        <v>32</v>
      </c>
      <c r="H547" s="1">
        <v>8</v>
      </c>
      <c r="I547" s="1">
        <v>44</v>
      </c>
      <c r="J547" s="1">
        <v>8</v>
      </c>
      <c r="K547" s="1">
        <v>62</v>
      </c>
      <c r="L547" s="1">
        <v>33</v>
      </c>
      <c r="M547" s="1">
        <v>0.51</v>
      </c>
      <c r="N547" s="1">
        <v>7.2</v>
      </c>
      <c r="O547" s="7">
        <v>18057</v>
      </c>
      <c r="P547" s="4">
        <v>45281</v>
      </c>
      <c r="Q547" s="4">
        <v>45295</v>
      </c>
      <c r="R547" s="1" t="s">
        <v>73</v>
      </c>
      <c r="AO547" s="7">
        <v>18057</v>
      </c>
      <c r="AP547" s="5" t="s">
        <v>577</v>
      </c>
      <c r="AQ547" s="5" t="s">
        <v>201</v>
      </c>
      <c r="AR547" s="5" t="s">
        <v>526</v>
      </c>
      <c r="AS547" s="5" t="s">
        <v>739</v>
      </c>
      <c r="AT547" s="5" t="s">
        <v>243</v>
      </c>
      <c r="AU547" s="5" t="s">
        <v>482</v>
      </c>
      <c r="AV547" s="5" t="s">
        <v>1534</v>
      </c>
      <c r="AW547" s="5" t="s">
        <v>1535</v>
      </c>
      <c r="AX547" s="5" t="s">
        <v>347</v>
      </c>
      <c r="AY547" s="5" t="s">
        <v>1536</v>
      </c>
      <c r="AZ547" s="5" t="s">
        <v>1537</v>
      </c>
      <c r="BA547" s="5" t="s">
        <v>76</v>
      </c>
      <c r="BB547" s="12" t="s">
        <v>76</v>
      </c>
      <c r="BC547" s="5" t="s">
        <v>1538</v>
      </c>
      <c r="BD547" s="5" t="s">
        <v>201</v>
      </c>
      <c r="BE547" s="5" t="s">
        <v>76</v>
      </c>
      <c r="BF547" s="5" t="s">
        <v>76</v>
      </c>
      <c r="BG547" s="15">
        <v>36.5</v>
      </c>
      <c r="BH547" s="5" t="s">
        <v>327</v>
      </c>
      <c r="BI547" s="5" t="s">
        <v>327</v>
      </c>
      <c r="BJ547" s="5" t="s">
        <v>193</v>
      </c>
      <c r="BK547" s="5" t="s">
        <v>89</v>
      </c>
      <c r="BL547" s="5" t="s">
        <v>352</v>
      </c>
      <c r="BM547" s="5" t="s">
        <v>352</v>
      </c>
      <c r="BN547" s="5">
        <v>150</v>
      </c>
      <c r="BO547" s="5">
        <f t="shared" si="8"/>
        <v>24.4444444444444</v>
      </c>
      <c r="BP547" s="5" t="s">
        <v>1539</v>
      </c>
      <c r="BQ547" s="5" t="s">
        <v>517</v>
      </c>
      <c r="BR547" s="5">
        <v>5549</v>
      </c>
    </row>
    <row r="548" s="1" customFormat="1" spans="1:70">
      <c r="A548" s="1">
        <v>3263582</v>
      </c>
      <c r="B548" s="1" t="s">
        <v>1540</v>
      </c>
      <c r="D548" s="4">
        <v>44934</v>
      </c>
      <c r="E548" s="4">
        <v>44943</v>
      </c>
      <c r="F548" s="7">
        <v>18062</v>
      </c>
      <c r="G548" s="1">
        <v>43</v>
      </c>
      <c r="H548" s="1">
        <v>9</v>
      </c>
      <c r="I548" s="1">
        <v>50</v>
      </c>
      <c r="J548" s="1">
        <v>9</v>
      </c>
      <c r="K548" s="1">
        <v>62</v>
      </c>
      <c r="L548" s="1">
        <v>33</v>
      </c>
      <c r="M548" s="1">
        <v>1.39</v>
      </c>
      <c r="N548" s="1">
        <v>21.7</v>
      </c>
      <c r="O548" s="7">
        <v>18062</v>
      </c>
      <c r="P548" s="4">
        <v>44934</v>
      </c>
      <c r="Q548" s="4">
        <v>44943</v>
      </c>
      <c r="R548" s="1" t="s">
        <v>73</v>
      </c>
      <c r="AO548" s="7">
        <v>18062</v>
      </c>
      <c r="AP548" s="5">
        <v>8.9</v>
      </c>
      <c r="AQ548" s="5">
        <v>96</v>
      </c>
      <c r="AR548" s="5">
        <v>32.4</v>
      </c>
      <c r="AS548" s="5">
        <v>70.7</v>
      </c>
      <c r="AT548" s="5">
        <v>65</v>
      </c>
      <c r="AU548" s="5">
        <v>53</v>
      </c>
      <c r="AV548" s="5">
        <v>37.7</v>
      </c>
      <c r="AW548" s="5">
        <v>5.84</v>
      </c>
      <c r="AX548" s="5">
        <v>85</v>
      </c>
      <c r="AY548" s="5">
        <v>83.87</v>
      </c>
      <c r="AZ548" s="5" t="s">
        <v>75</v>
      </c>
      <c r="BA548" s="5">
        <v>4.35</v>
      </c>
      <c r="BB548" s="12" t="s">
        <v>76</v>
      </c>
      <c r="BC548" s="5">
        <v>3.69</v>
      </c>
      <c r="BD548" s="5">
        <v>96</v>
      </c>
      <c r="BE548" s="5">
        <v>0.93</v>
      </c>
      <c r="BF548" s="5">
        <v>2.8</v>
      </c>
      <c r="BG548" s="15">
        <v>36</v>
      </c>
      <c r="BH548" s="5" t="s">
        <v>76</v>
      </c>
      <c r="BI548" s="5">
        <v>92</v>
      </c>
      <c r="BJ548" s="5">
        <v>23</v>
      </c>
      <c r="BK548" s="5">
        <v>163</v>
      </c>
      <c r="BL548" s="5">
        <v>78</v>
      </c>
      <c r="BM548" s="5" t="s">
        <v>77</v>
      </c>
      <c r="BN548" s="5" t="s">
        <v>77</v>
      </c>
      <c r="BO548" s="5" t="e">
        <f t="shared" si="8"/>
        <v>#VALUE!</v>
      </c>
      <c r="BP548" s="5" t="s">
        <v>323</v>
      </c>
      <c r="BQ548" s="5">
        <v>5.7</v>
      </c>
      <c r="BR548" s="5">
        <v>940</v>
      </c>
    </row>
    <row r="549" s="1" customFormat="1" spans="1:70">
      <c r="A549" s="1">
        <v>3279861</v>
      </c>
      <c r="B549" s="1" t="s">
        <v>882</v>
      </c>
      <c r="D549" s="4">
        <v>44963</v>
      </c>
      <c r="E549" s="4">
        <v>44971</v>
      </c>
      <c r="F549" s="7">
        <v>18079</v>
      </c>
      <c r="G549" s="1">
        <v>37</v>
      </c>
      <c r="H549" s="1">
        <v>8</v>
      </c>
      <c r="I549" s="1">
        <v>43</v>
      </c>
      <c r="J549" s="1">
        <v>8</v>
      </c>
      <c r="K549" s="1">
        <v>70</v>
      </c>
      <c r="L549" s="1">
        <v>40</v>
      </c>
      <c r="M549" s="1">
        <v>1.1</v>
      </c>
      <c r="N549" s="1">
        <v>11.8</v>
      </c>
      <c r="O549" s="7">
        <v>18079</v>
      </c>
      <c r="P549" s="4">
        <v>44963</v>
      </c>
      <c r="Q549" s="4">
        <v>44971</v>
      </c>
      <c r="R549" s="1" t="s">
        <v>73</v>
      </c>
      <c r="AO549" s="7">
        <v>18079</v>
      </c>
      <c r="AP549" s="5">
        <v>8</v>
      </c>
      <c r="AQ549" s="5">
        <v>110</v>
      </c>
      <c r="AR549" s="5">
        <v>37.1</v>
      </c>
      <c r="AS549" s="5">
        <v>9.1</v>
      </c>
      <c r="AT549" s="5">
        <v>34</v>
      </c>
      <c r="AU549" s="5">
        <v>21</v>
      </c>
      <c r="AV549" s="5">
        <v>40</v>
      </c>
      <c r="AW549" s="5">
        <v>7.7</v>
      </c>
      <c r="AX549" s="5">
        <v>76</v>
      </c>
      <c r="AY549" s="5">
        <v>73.21</v>
      </c>
      <c r="AZ549" s="5" t="s">
        <v>75</v>
      </c>
      <c r="BA549" s="5" t="s">
        <v>76</v>
      </c>
      <c r="BB549" s="12" t="s">
        <v>76</v>
      </c>
      <c r="BC549" s="5">
        <v>4.16</v>
      </c>
      <c r="BD549" s="5">
        <v>110</v>
      </c>
      <c r="BE549" s="5" t="s">
        <v>76</v>
      </c>
      <c r="BF549" s="5" t="s">
        <v>76</v>
      </c>
      <c r="BG549" s="15">
        <v>36.5</v>
      </c>
      <c r="BH549" s="5">
        <v>76</v>
      </c>
      <c r="BI549" s="5" t="s">
        <v>76</v>
      </c>
      <c r="BJ549" s="5">
        <v>17</v>
      </c>
      <c r="BK549" s="5">
        <v>127</v>
      </c>
      <c r="BL549" s="5">
        <v>72</v>
      </c>
      <c r="BM549" s="5">
        <v>35</v>
      </c>
      <c r="BN549" s="5">
        <v>140</v>
      </c>
      <c r="BO549" s="5">
        <f t="shared" si="8"/>
        <v>17.8571428571429</v>
      </c>
      <c r="BP549" s="5" t="s">
        <v>149</v>
      </c>
      <c r="BQ549" s="5">
        <v>5.6</v>
      </c>
      <c r="BR549" s="5">
        <v>3209</v>
      </c>
    </row>
    <row r="550" s="1" customFormat="1" spans="1:70">
      <c r="A550" s="1">
        <v>3300902</v>
      </c>
      <c r="B550" s="1" t="s">
        <v>1541</v>
      </c>
      <c r="D550" s="4">
        <v>44992</v>
      </c>
      <c r="E550" s="4">
        <v>44999</v>
      </c>
      <c r="F550" s="7">
        <v>18081</v>
      </c>
      <c r="G550" s="1">
        <v>40</v>
      </c>
      <c r="H550" s="1">
        <v>10</v>
      </c>
      <c r="I550" s="1">
        <v>49</v>
      </c>
      <c r="J550" s="1">
        <v>6</v>
      </c>
      <c r="K550" s="1">
        <v>42</v>
      </c>
      <c r="L550" s="1">
        <v>21</v>
      </c>
      <c r="M550" s="1">
        <v>0.65</v>
      </c>
      <c r="N550" s="1">
        <v>14.1</v>
      </c>
      <c r="O550" s="7">
        <v>18081</v>
      </c>
      <c r="P550" s="4">
        <v>44992</v>
      </c>
      <c r="Q550" s="4">
        <v>44999</v>
      </c>
      <c r="R550" s="1" t="s">
        <v>73</v>
      </c>
      <c r="AO550" s="7">
        <v>18081</v>
      </c>
      <c r="AP550" s="5">
        <v>5.5</v>
      </c>
      <c r="AQ550" s="5">
        <v>87</v>
      </c>
      <c r="AR550" s="5">
        <v>30.8</v>
      </c>
      <c r="AS550" s="5" t="s">
        <v>76</v>
      </c>
      <c r="AT550" s="5">
        <v>18</v>
      </c>
      <c r="AU550" s="5">
        <v>14</v>
      </c>
      <c r="AV550" s="5">
        <v>36.2</v>
      </c>
      <c r="AW550" s="5">
        <v>5.79</v>
      </c>
      <c r="AX550" s="5">
        <v>55</v>
      </c>
      <c r="AY550" s="5">
        <v>99.9</v>
      </c>
      <c r="AZ550" s="5">
        <v>5.49</v>
      </c>
      <c r="BA550" s="5">
        <v>2.33</v>
      </c>
      <c r="BB550" s="12" t="s">
        <v>76</v>
      </c>
      <c r="BC550" s="5">
        <v>2.69</v>
      </c>
      <c r="BD550" s="5">
        <v>87</v>
      </c>
      <c r="BE550" s="5">
        <v>0.75</v>
      </c>
      <c r="BF550" s="5">
        <v>1.09</v>
      </c>
      <c r="BG550" s="15">
        <v>36.6</v>
      </c>
      <c r="BH550" s="5">
        <v>57</v>
      </c>
      <c r="BI550" s="5" t="s">
        <v>76</v>
      </c>
      <c r="BJ550" s="5" t="s">
        <v>76</v>
      </c>
      <c r="BK550" s="5">
        <v>111</v>
      </c>
      <c r="BL550" s="5">
        <v>60</v>
      </c>
      <c r="BM550" s="5">
        <v>52</v>
      </c>
      <c r="BN550" s="5">
        <v>155</v>
      </c>
      <c r="BO550" s="5">
        <f t="shared" si="8"/>
        <v>21.6441207075963</v>
      </c>
      <c r="BP550" s="5" t="s">
        <v>121</v>
      </c>
      <c r="BQ550" s="5">
        <v>8.9</v>
      </c>
      <c r="BR550" s="5">
        <v>4571</v>
      </c>
    </row>
    <row r="551" s="1" customFormat="1" spans="1:70">
      <c r="A551" s="1">
        <v>3264913</v>
      </c>
      <c r="B551" s="1" t="s">
        <v>1542</v>
      </c>
      <c r="D551" s="4">
        <v>44936</v>
      </c>
      <c r="E551" s="4">
        <v>44943</v>
      </c>
      <c r="F551" s="7">
        <v>18104</v>
      </c>
      <c r="G551" s="1">
        <v>39</v>
      </c>
      <c r="H551" s="1">
        <v>10</v>
      </c>
      <c r="I551" s="1">
        <v>49</v>
      </c>
      <c r="J551" s="1">
        <v>10</v>
      </c>
      <c r="K551" s="1">
        <v>70</v>
      </c>
      <c r="L551" s="1">
        <v>39</v>
      </c>
      <c r="M551" s="1">
        <v>1.55</v>
      </c>
      <c r="N551" s="1">
        <v>10.3</v>
      </c>
      <c r="O551" s="7">
        <v>18104</v>
      </c>
      <c r="P551" s="4">
        <v>44936</v>
      </c>
      <c r="Q551" s="4">
        <v>44943</v>
      </c>
      <c r="R551" s="1" t="s">
        <v>73</v>
      </c>
      <c r="AO551" s="7">
        <v>18104</v>
      </c>
      <c r="AP551" s="5">
        <v>8.6</v>
      </c>
      <c r="AQ551" s="5">
        <v>113</v>
      </c>
      <c r="AR551" s="5">
        <v>34.3</v>
      </c>
      <c r="AS551" s="5">
        <v>19.8</v>
      </c>
      <c r="AT551" s="5">
        <v>15</v>
      </c>
      <c r="AU551" s="5">
        <v>9</v>
      </c>
      <c r="AV551" s="5">
        <v>35.5</v>
      </c>
      <c r="AW551" s="5" t="s">
        <v>76</v>
      </c>
      <c r="AX551" s="5" t="s">
        <v>76</v>
      </c>
      <c r="AY551" s="5" t="s">
        <v>76</v>
      </c>
      <c r="AZ551" s="5" t="s">
        <v>75</v>
      </c>
      <c r="BA551" s="5">
        <v>4.39</v>
      </c>
      <c r="BB551" s="12" t="s">
        <v>76</v>
      </c>
      <c r="BC551" s="5">
        <v>3.8</v>
      </c>
      <c r="BD551" s="5">
        <v>113</v>
      </c>
      <c r="BE551" s="5">
        <v>0.96</v>
      </c>
      <c r="BF551" s="5">
        <v>2.99</v>
      </c>
      <c r="BG551" s="15">
        <v>36.7</v>
      </c>
      <c r="BH551" s="5">
        <v>70</v>
      </c>
      <c r="BI551" s="5" t="s">
        <v>76</v>
      </c>
      <c r="BJ551" s="5">
        <v>18</v>
      </c>
      <c r="BK551" s="5">
        <v>120</v>
      </c>
      <c r="BL551" s="5">
        <v>80</v>
      </c>
      <c r="BM551" s="5">
        <v>70</v>
      </c>
      <c r="BN551" s="5">
        <v>160</v>
      </c>
      <c r="BO551" s="5">
        <f t="shared" si="8"/>
        <v>27.34375</v>
      </c>
      <c r="BP551" s="5" t="s">
        <v>144</v>
      </c>
      <c r="BQ551" s="5">
        <v>5.4</v>
      </c>
      <c r="BR551" s="5">
        <v>1721</v>
      </c>
    </row>
    <row r="552" s="1" customFormat="1" spans="1:70">
      <c r="A552" s="1">
        <v>3514635</v>
      </c>
      <c r="B552" s="1" t="s">
        <v>1543</v>
      </c>
      <c r="D552" s="4">
        <v>45286</v>
      </c>
      <c r="E552" s="4">
        <v>45298</v>
      </c>
      <c r="F552" s="7">
        <v>18109</v>
      </c>
      <c r="G552" s="1">
        <v>28</v>
      </c>
      <c r="H552" s="1">
        <v>9</v>
      </c>
      <c r="I552" s="1">
        <v>46</v>
      </c>
      <c r="J552" s="1">
        <v>9</v>
      </c>
      <c r="K552" s="1">
        <v>62</v>
      </c>
      <c r="L552" s="1">
        <v>33</v>
      </c>
      <c r="M552" s="1">
        <v>0.7</v>
      </c>
      <c r="O552" s="7">
        <v>18109</v>
      </c>
      <c r="P552" s="4">
        <v>45286</v>
      </c>
      <c r="Q552" s="4">
        <v>45298</v>
      </c>
      <c r="R552" s="1" t="s">
        <v>80</v>
      </c>
      <c r="AO552" s="7">
        <v>18109</v>
      </c>
      <c r="AP552" s="5">
        <v>8</v>
      </c>
      <c r="AQ552" s="5">
        <v>97</v>
      </c>
      <c r="AR552" s="5">
        <v>31.6</v>
      </c>
      <c r="AS552" s="5">
        <v>7.1</v>
      </c>
      <c r="AT552" s="5">
        <v>9</v>
      </c>
      <c r="AU552" s="5">
        <v>30</v>
      </c>
      <c r="AV552" s="5">
        <v>32.7</v>
      </c>
      <c r="AW552" s="5">
        <v>9.5</v>
      </c>
      <c r="AX552" s="5">
        <v>88</v>
      </c>
      <c r="AY552" s="5" t="s">
        <v>125</v>
      </c>
      <c r="AZ552" s="5" t="s">
        <v>75</v>
      </c>
      <c r="BA552" s="5" t="s">
        <v>76</v>
      </c>
      <c r="BB552" s="12" t="s">
        <v>76</v>
      </c>
      <c r="BC552" s="5">
        <v>4.58</v>
      </c>
      <c r="BD552" s="5">
        <v>97</v>
      </c>
      <c r="BE552" s="5" t="s">
        <v>76</v>
      </c>
      <c r="BF552" s="5" t="s">
        <v>76</v>
      </c>
      <c r="BG552" s="5" t="s">
        <v>76</v>
      </c>
      <c r="BH552" s="5" t="s">
        <v>76</v>
      </c>
      <c r="BI552" s="5" t="s">
        <v>76</v>
      </c>
      <c r="BJ552" s="5" t="s">
        <v>76</v>
      </c>
      <c r="BK552" s="5" t="s">
        <v>76</v>
      </c>
      <c r="BL552" s="5" t="s">
        <v>76</v>
      </c>
      <c r="BM552" s="5" t="s">
        <v>76</v>
      </c>
      <c r="BN552" s="5" t="s">
        <v>76</v>
      </c>
      <c r="BO552" s="5" t="e">
        <f t="shared" si="8"/>
        <v>#VALUE!</v>
      </c>
      <c r="BP552" s="5" t="s">
        <v>117</v>
      </c>
      <c r="BQ552" s="5" t="s">
        <v>76</v>
      </c>
      <c r="BR552" s="5">
        <v>977.88</v>
      </c>
    </row>
    <row r="553" s="1" customFormat="1" spans="1:70">
      <c r="A553" s="1">
        <v>3283793</v>
      </c>
      <c r="B553" s="1" t="s">
        <v>1544</v>
      </c>
      <c r="D553" s="4">
        <v>44968</v>
      </c>
      <c r="E553" s="4">
        <v>44981</v>
      </c>
      <c r="F553" s="7">
        <v>18121</v>
      </c>
      <c r="G553" s="1">
        <v>45</v>
      </c>
      <c r="H553" s="1">
        <v>10</v>
      </c>
      <c r="I553" s="1">
        <v>55</v>
      </c>
      <c r="J553" s="1">
        <v>10</v>
      </c>
      <c r="K553" s="1">
        <v>48</v>
      </c>
      <c r="L553" s="1">
        <v>24</v>
      </c>
      <c r="M553" s="1">
        <v>0.47</v>
      </c>
      <c r="N553" s="1">
        <v>14.2</v>
      </c>
      <c r="O553" s="7">
        <v>18121</v>
      </c>
      <c r="P553" s="4">
        <v>44968</v>
      </c>
      <c r="Q553" s="4">
        <v>44981</v>
      </c>
      <c r="R553" s="1" t="s">
        <v>80</v>
      </c>
      <c r="AO553" s="7">
        <v>18121</v>
      </c>
      <c r="AP553" s="5">
        <v>9.9</v>
      </c>
      <c r="AQ553" s="5">
        <v>170</v>
      </c>
      <c r="AR553" s="5">
        <v>55</v>
      </c>
      <c r="AS553" s="5">
        <v>86</v>
      </c>
      <c r="AT553" s="5">
        <v>836</v>
      </c>
      <c r="AU553" s="5">
        <v>888</v>
      </c>
      <c r="AV553" s="5">
        <v>42.7</v>
      </c>
      <c r="AW553" s="5">
        <v>18.64</v>
      </c>
      <c r="AX553" s="5">
        <v>99</v>
      </c>
      <c r="AY553" s="5">
        <v>78.27</v>
      </c>
      <c r="AZ553" s="5">
        <v>8.42</v>
      </c>
      <c r="BA553" s="5">
        <v>3.81</v>
      </c>
      <c r="BB553" s="12" t="s">
        <v>76</v>
      </c>
      <c r="BC553" s="5">
        <v>4.09</v>
      </c>
      <c r="BD553" s="5">
        <v>170</v>
      </c>
      <c r="BE553" s="5">
        <v>0.58</v>
      </c>
      <c r="BF553" s="5">
        <v>2.22</v>
      </c>
      <c r="BG553" s="15">
        <v>36.7</v>
      </c>
      <c r="BH553" s="5">
        <v>160</v>
      </c>
      <c r="BI553" s="5">
        <v>166</v>
      </c>
      <c r="BJ553" s="5">
        <v>28</v>
      </c>
      <c r="BK553" s="5">
        <v>121</v>
      </c>
      <c r="BL553" s="5">
        <v>69</v>
      </c>
      <c r="BM553" s="5">
        <v>65</v>
      </c>
      <c r="BN553" s="5">
        <v>171</v>
      </c>
      <c r="BO553" s="5">
        <f t="shared" si="8"/>
        <v>22.2290619335864</v>
      </c>
      <c r="BP553" s="5" t="s">
        <v>174</v>
      </c>
      <c r="BQ553" s="5">
        <v>7.7</v>
      </c>
      <c r="BR553" s="5">
        <v>8097</v>
      </c>
    </row>
    <row r="554" s="1" customFormat="1" spans="1:70">
      <c r="A554" s="1" t="s">
        <v>1545</v>
      </c>
      <c r="B554" s="1" t="s">
        <v>1546</v>
      </c>
      <c r="D554" s="4">
        <v>44986</v>
      </c>
      <c r="E554" s="4">
        <v>45016</v>
      </c>
      <c r="F554" s="7">
        <v>18123</v>
      </c>
      <c r="G554" s="1">
        <v>58</v>
      </c>
      <c r="H554" s="1">
        <v>10</v>
      </c>
      <c r="I554" s="1">
        <v>59</v>
      </c>
      <c r="J554" s="1">
        <v>10</v>
      </c>
      <c r="K554" s="1">
        <v>54</v>
      </c>
      <c r="L554" s="1">
        <v>28</v>
      </c>
      <c r="N554" s="1">
        <v>13.6</v>
      </c>
      <c r="O554" s="7">
        <v>18123</v>
      </c>
      <c r="P554" s="4">
        <v>44986</v>
      </c>
      <c r="Q554" s="4">
        <v>45016</v>
      </c>
      <c r="R554" s="1" t="s">
        <v>80</v>
      </c>
      <c r="AO554" s="7">
        <v>18123</v>
      </c>
      <c r="AP554" s="5" t="s">
        <v>179</v>
      </c>
      <c r="AQ554" s="5" t="s">
        <v>558</v>
      </c>
      <c r="AR554" s="5" t="s">
        <v>1547</v>
      </c>
      <c r="AS554" s="5" t="s">
        <v>1548</v>
      </c>
      <c r="AT554" s="5" t="s">
        <v>100</v>
      </c>
      <c r="AU554" s="5" t="s">
        <v>93</v>
      </c>
      <c r="AV554" s="5" t="s">
        <v>1547</v>
      </c>
      <c r="AW554" s="5" t="s">
        <v>697</v>
      </c>
      <c r="AX554" s="5" t="s">
        <v>493</v>
      </c>
      <c r="AY554" s="5" t="s">
        <v>125</v>
      </c>
      <c r="AZ554" s="5" t="s">
        <v>1259</v>
      </c>
      <c r="BA554" s="5" t="s">
        <v>1549</v>
      </c>
      <c r="BB554" s="12" t="s">
        <v>76</v>
      </c>
      <c r="BC554" s="5" t="s">
        <v>1250</v>
      </c>
      <c r="BD554" s="5" t="s">
        <v>558</v>
      </c>
      <c r="BE554" s="5" t="s">
        <v>1550</v>
      </c>
      <c r="BF554" s="5" t="s">
        <v>1551</v>
      </c>
      <c r="BG554" s="15">
        <v>36.5</v>
      </c>
      <c r="BH554" s="5" t="s">
        <v>232</v>
      </c>
      <c r="BI554" s="5" t="s">
        <v>232</v>
      </c>
      <c r="BJ554" s="5" t="s">
        <v>101</v>
      </c>
      <c r="BK554" s="5" t="s">
        <v>654</v>
      </c>
      <c r="BL554" s="5" t="s">
        <v>140</v>
      </c>
      <c r="BM554" s="5" t="s">
        <v>482</v>
      </c>
      <c r="BN554" s="5">
        <v>160</v>
      </c>
      <c r="BO554" s="5">
        <f t="shared" si="8"/>
        <v>28.125</v>
      </c>
      <c r="BP554" s="5" t="s">
        <v>321</v>
      </c>
      <c r="BQ554" s="5" t="s">
        <v>76</v>
      </c>
      <c r="BR554" s="5">
        <v>2790</v>
      </c>
    </row>
    <row r="555" s="1" customFormat="1" spans="1:70">
      <c r="A555" s="1">
        <v>3290567</v>
      </c>
      <c r="B555" s="1" t="s">
        <v>1552</v>
      </c>
      <c r="D555" s="4">
        <v>44978</v>
      </c>
      <c r="E555" s="4">
        <v>44984</v>
      </c>
      <c r="F555" s="7">
        <v>18130</v>
      </c>
      <c r="G555" s="1">
        <v>34</v>
      </c>
      <c r="H555" s="1">
        <v>8</v>
      </c>
      <c r="I555" s="1">
        <v>47</v>
      </c>
      <c r="J555" s="1">
        <v>8</v>
      </c>
      <c r="K555" s="1">
        <v>61</v>
      </c>
      <c r="L555" s="1">
        <v>33</v>
      </c>
      <c r="M555" s="1">
        <v>0.41</v>
      </c>
      <c r="N555" s="1">
        <v>8.9</v>
      </c>
      <c r="O555" s="7">
        <v>18130</v>
      </c>
      <c r="P555" s="4">
        <v>44978</v>
      </c>
      <c r="Q555" s="4">
        <v>44984</v>
      </c>
      <c r="R555" s="1" t="s">
        <v>80</v>
      </c>
      <c r="AO555" s="7">
        <v>18130</v>
      </c>
      <c r="AP555" s="5">
        <v>6.9</v>
      </c>
      <c r="AQ555" s="5">
        <v>149</v>
      </c>
      <c r="AR555" s="5">
        <v>44.7</v>
      </c>
      <c r="AS555" s="5">
        <v>8.1</v>
      </c>
      <c r="AT555" s="5">
        <v>153</v>
      </c>
      <c r="AU555" s="5" t="s">
        <v>76</v>
      </c>
      <c r="AV555" s="5" t="s">
        <v>76</v>
      </c>
      <c r="AW555" s="5">
        <v>3.2</v>
      </c>
      <c r="AX555" s="5">
        <v>70</v>
      </c>
      <c r="AY555" s="5">
        <v>101.92</v>
      </c>
      <c r="AZ555" s="5">
        <v>5.62</v>
      </c>
      <c r="BA555" s="5">
        <v>5.48</v>
      </c>
      <c r="BB555" s="12" t="s">
        <v>76</v>
      </c>
      <c r="BC555" s="5">
        <v>3.52</v>
      </c>
      <c r="BD555" s="5">
        <v>149</v>
      </c>
      <c r="BE555" s="5">
        <v>1.2</v>
      </c>
      <c r="BF555" s="5">
        <v>3.85</v>
      </c>
      <c r="BG555" s="15">
        <v>36.6</v>
      </c>
      <c r="BH555" s="5">
        <v>74</v>
      </c>
      <c r="BI555" s="5" t="s">
        <v>76</v>
      </c>
      <c r="BJ555" s="5">
        <v>20</v>
      </c>
      <c r="BK555" s="5">
        <v>145</v>
      </c>
      <c r="BL555" s="5">
        <v>86</v>
      </c>
      <c r="BM555" s="5">
        <v>80</v>
      </c>
      <c r="BN555" s="5">
        <v>168</v>
      </c>
      <c r="BO555" s="5">
        <f t="shared" si="8"/>
        <v>28.3446712018141</v>
      </c>
      <c r="BP555" s="5" t="s">
        <v>156</v>
      </c>
      <c r="BQ555" s="5">
        <v>6</v>
      </c>
      <c r="BR555" s="5">
        <v>951</v>
      </c>
    </row>
    <row r="556" s="1" customFormat="1" spans="1:70">
      <c r="A556" s="1">
        <v>3509635</v>
      </c>
      <c r="B556" s="1" t="s">
        <v>1553</v>
      </c>
      <c r="D556" s="4">
        <v>45279</v>
      </c>
      <c r="E556" s="4">
        <v>45287</v>
      </c>
      <c r="F556" s="7">
        <v>18144</v>
      </c>
      <c r="G556" s="1">
        <v>30</v>
      </c>
      <c r="H556" s="1">
        <v>8</v>
      </c>
      <c r="I556" s="1">
        <v>46</v>
      </c>
      <c r="J556" s="1">
        <v>8</v>
      </c>
      <c r="K556" s="1">
        <v>51</v>
      </c>
      <c r="L556" s="1">
        <v>26</v>
      </c>
      <c r="M556" s="1">
        <v>0.81</v>
      </c>
      <c r="N556" s="1">
        <v>10</v>
      </c>
      <c r="O556" s="7">
        <v>18144</v>
      </c>
      <c r="P556" s="4">
        <v>45279</v>
      </c>
      <c r="Q556" s="4">
        <v>45287</v>
      </c>
      <c r="R556" s="1" t="s">
        <v>80</v>
      </c>
      <c r="AO556" s="7">
        <v>18144</v>
      </c>
      <c r="AP556" s="5">
        <v>9.9</v>
      </c>
      <c r="AQ556" s="5">
        <v>99</v>
      </c>
      <c r="AR556" s="5">
        <v>38.3</v>
      </c>
      <c r="AS556" s="5" t="s">
        <v>76</v>
      </c>
      <c r="AT556" s="5">
        <v>85</v>
      </c>
      <c r="AU556" s="5">
        <v>82</v>
      </c>
      <c r="AV556" s="5">
        <v>34.9</v>
      </c>
      <c r="AW556" s="5">
        <v>50.69</v>
      </c>
      <c r="AX556" s="5">
        <v>456</v>
      </c>
      <c r="AY556" s="5">
        <v>42.18</v>
      </c>
      <c r="AZ556" s="5" t="s">
        <v>75</v>
      </c>
      <c r="BA556" s="5" t="s">
        <v>1554</v>
      </c>
      <c r="BB556" s="12" t="s">
        <v>76</v>
      </c>
      <c r="BC556" s="5" t="s">
        <v>4</v>
      </c>
      <c r="BD556" s="5">
        <v>99</v>
      </c>
      <c r="BE556" s="5" t="s">
        <v>76</v>
      </c>
      <c r="BF556" s="5" t="s">
        <v>76</v>
      </c>
      <c r="BG556" s="5" t="s">
        <v>76</v>
      </c>
      <c r="BH556" s="5" t="s">
        <v>76</v>
      </c>
      <c r="BI556" s="5" t="s">
        <v>76</v>
      </c>
      <c r="BJ556" s="5" t="s">
        <v>76</v>
      </c>
      <c r="BK556" s="5" t="s">
        <v>76</v>
      </c>
      <c r="BL556" s="5" t="s">
        <v>76</v>
      </c>
      <c r="BM556" s="5" t="s">
        <v>76</v>
      </c>
      <c r="BN556" s="5" t="s">
        <v>76</v>
      </c>
      <c r="BO556" s="5" t="e">
        <f t="shared" si="8"/>
        <v>#VALUE!</v>
      </c>
      <c r="BP556" s="5" t="s">
        <v>618</v>
      </c>
      <c r="BQ556" s="5">
        <v>6.6</v>
      </c>
      <c r="BR556" s="5">
        <v>5309</v>
      </c>
    </row>
    <row r="557" s="1" customFormat="1" spans="1:70">
      <c r="A557" s="1" t="s">
        <v>1555</v>
      </c>
      <c r="B557" s="1" t="s">
        <v>1556</v>
      </c>
      <c r="D557" s="4">
        <v>44991</v>
      </c>
      <c r="E557" s="4">
        <v>44998</v>
      </c>
      <c r="F557" s="7">
        <v>18146</v>
      </c>
      <c r="G557" s="1">
        <v>47</v>
      </c>
      <c r="H557" s="1">
        <v>9</v>
      </c>
      <c r="I557" s="1">
        <v>47</v>
      </c>
      <c r="J557" s="1">
        <v>9</v>
      </c>
      <c r="K557" s="1">
        <v>64</v>
      </c>
      <c r="L557" s="1">
        <v>35</v>
      </c>
      <c r="M557" s="1">
        <v>2.04</v>
      </c>
      <c r="N557" s="1">
        <v>12</v>
      </c>
      <c r="O557" s="7">
        <v>18146</v>
      </c>
      <c r="P557" s="4">
        <v>44991</v>
      </c>
      <c r="Q557" s="4">
        <v>44998</v>
      </c>
      <c r="R557" s="1" t="s">
        <v>80</v>
      </c>
      <c r="AO557" s="7">
        <v>18146</v>
      </c>
      <c r="AP557" s="5" t="s">
        <v>1557</v>
      </c>
      <c r="AQ557" s="5" t="s">
        <v>1558</v>
      </c>
      <c r="AR557" s="5" t="s">
        <v>1559</v>
      </c>
      <c r="AS557" s="5" t="s">
        <v>1560</v>
      </c>
      <c r="AT557" s="5" t="s">
        <v>104</v>
      </c>
      <c r="AU557" s="5" t="s">
        <v>193</v>
      </c>
      <c r="AV557" s="5" t="s">
        <v>1561</v>
      </c>
      <c r="AW557" s="5" t="s">
        <v>1359</v>
      </c>
      <c r="AX557" s="5" t="s">
        <v>243</v>
      </c>
      <c r="AY557" s="5" t="s">
        <v>76</v>
      </c>
      <c r="AZ557" s="5" t="s">
        <v>75</v>
      </c>
      <c r="BA557" s="5" t="s">
        <v>1562</v>
      </c>
      <c r="BB557" s="12" t="s">
        <v>76</v>
      </c>
      <c r="BC557" s="5" t="s">
        <v>1563</v>
      </c>
      <c r="BD557" s="5" t="s">
        <v>1558</v>
      </c>
      <c r="BE557" s="5" t="s">
        <v>76</v>
      </c>
      <c r="BF557" s="5" t="s">
        <v>76</v>
      </c>
      <c r="BG557" s="15">
        <v>36.2</v>
      </c>
      <c r="BH557" s="5" t="s">
        <v>192</v>
      </c>
      <c r="BI557" s="5" t="s">
        <v>76</v>
      </c>
      <c r="BJ557" s="5" t="s">
        <v>193</v>
      </c>
      <c r="BK557" s="5" t="s">
        <v>247</v>
      </c>
      <c r="BL557" s="5" t="s">
        <v>614</v>
      </c>
      <c r="BM557" s="5" t="s">
        <v>482</v>
      </c>
      <c r="BN557" s="5">
        <v>168</v>
      </c>
      <c r="BO557" s="5">
        <f t="shared" si="8"/>
        <v>25.5102040816327</v>
      </c>
      <c r="BP557" s="5" t="s">
        <v>684</v>
      </c>
      <c r="BQ557" s="5" t="s">
        <v>76</v>
      </c>
      <c r="BR557" s="5">
        <v>2590</v>
      </c>
    </row>
    <row r="558" s="1" customFormat="1" spans="1:70">
      <c r="A558" s="1">
        <v>3256282</v>
      </c>
      <c r="B558" s="1" t="s">
        <v>1564</v>
      </c>
      <c r="D558" s="4">
        <v>44921</v>
      </c>
      <c r="E558" s="4">
        <v>44931</v>
      </c>
      <c r="F558" s="7">
        <v>18155</v>
      </c>
      <c r="G558" s="1">
        <v>40</v>
      </c>
      <c r="H558" s="1">
        <v>9</v>
      </c>
      <c r="I558" s="1">
        <v>45</v>
      </c>
      <c r="J558" s="1">
        <v>9</v>
      </c>
      <c r="K558" s="1">
        <v>65</v>
      </c>
      <c r="L558" s="1">
        <v>35</v>
      </c>
      <c r="N558" s="1">
        <v>14.6</v>
      </c>
      <c r="O558" s="7">
        <v>18155</v>
      </c>
      <c r="P558" s="4">
        <v>44921</v>
      </c>
      <c r="Q558" s="4">
        <v>44931</v>
      </c>
      <c r="R558" s="1" t="s">
        <v>80</v>
      </c>
      <c r="AO558" s="7">
        <v>18155</v>
      </c>
      <c r="AP558" s="5">
        <v>3.2</v>
      </c>
      <c r="AQ558" s="5">
        <v>146</v>
      </c>
      <c r="AR558" s="5">
        <v>47.3</v>
      </c>
      <c r="AS558" s="5">
        <v>7.5</v>
      </c>
      <c r="AT558" s="5">
        <v>33</v>
      </c>
      <c r="AU558" s="5">
        <v>35</v>
      </c>
      <c r="AV558" s="5">
        <v>41.4</v>
      </c>
      <c r="AW558" s="5">
        <v>5.98</v>
      </c>
      <c r="AX558" s="5">
        <v>50</v>
      </c>
      <c r="AY558" s="5" t="s">
        <v>76</v>
      </c>
      <c r="AZ558" s="5">
        <v>6.95</v>
      </c>
      <c r="BA558" s="5">
        <v>2.58</v>
      </c>
      <c r="BB558" s="12" t="s">
        <v>76</v>
      </c>
      <c r="BC558" s="5">
        <v>4.42</v>
      </c>
      <c r="BD558" s="5">
        <v>146</v>
      </c>
      <c r="BE558" s="5">
        <v>1.13</v>
      </c>
      <c r="BF558" s="5">
        <v>1.09</v>
      </c>
      <c r="BG558" s="15">
        <v>38.2</v>
      </c>
      <c r="BH558" s="5">
        <v>78</v>
      </c>
      <c r="BI558" s="5">
        <v>84</v>
      </c>
      <c r="BJ558" s="5">
        <v>18</v>
      </c>
      <c r="BK558" s="5">
        <v>163</v>
      </c>
      <c r="BL558" s="5">
        <v>63</v>
      </c>
      <c r="BM558" s="5">
        <v>60</v>
      </c>
      <c r="BN558" s="5">
        <v>160</v>
      </c>
      <c r="BO558" s="5">
        <f t="shared" si="8"/>
        <v>23.4375</v>
      </c>
      <c r="BP558" s="5" t="s">
        <v>963</v>
      </c>
      <c r="BQ558" s="5" t="s">
        <v>76</v>
      </c>
      <c r="BR558" s="5">
        <v>2136</v>
      </c>
    </row>
    <row r="559" s="1" customFormat="1" spans="1:70">
      <c r="A559" s="1" t="s">
        <v>1565</v>
      </c>
      <c r="B559" s="1" t="s">
        <v>1566</v>
      </c>
      <c r="D559" s="4">
        <v>44992</v>
      </c>
      <c r="E559" s="4">
        <v>45003</v>
      </c>
      <c r="F559" s="7">
        <v>18157</v>
      </c>
      <c r="G559" s="1">
        <v>40</v>
      </c>
      <c r="H559" s="1">
        <v>9</v>
      </c>
      <c r="I559" s="1">
        <v>46</v>
      </c>
      <c r="J559" s="1">
        <v>9</v>
      </c>
      <c r="K559" s="1">
        <v>53</v>
      </c>
      <c r="L559" s="1">
        <v>27</v>
      </c>
      <c r="N559" s="1">
        <v>7.5</v>
      </c>
      <c r="O559" s="7">
        <v>18157</v>
      </c>
      <c r="P559" s="4">
        <v>44992</v>
      </c>
      <c r="Q559" s="4">
        <v>45003</v>
      </c>
      <c r="R559" s="1" t="s">
        <v>80</v>
      </c>
      <c r="AO559" s="7">
        <v>18157</v>
      </c>
      <c r="AP559" s="5" t="s">
        <v>1129</v>
      </c>
      <c r="AQ559" s="5" t="s">
        <v>467</v>
      </c>
      <c r="AR559" s="5" t="s">
        <v>833</v>
      </c>
      <c r="AS559" s="5" t="s">
        <v>1567</v>
      </c>
      <c r="AT559" s="5" t="s">
        <v>240</v>
      </c>
      <c r="AU559" s="5" t="s">
        <v>225</v>
      </c>
      <c r="AV559" s="5" t="s">
        <v>1568</v>
      </c>
      <c r="AW559" s="5" t="s">
        <v>529</v>
      </c>
      <c r="AX559" s="5" t="s">
        <v>425</v>
      </c>
      <c r="AY559" s="5" t="s">
        <v>125</v>
      </c>
      <c r="AZ559" s="5" t="s">
        <v>311</v>
      </c>
      <c r="BA559" s="5" t="s">
        <v>1569</v>
      </c>
      <c r="BB559" s="12" t="s">
        <v>76</v>
      </c>
      <c r="BC559" s="5" t="s">
        <v>1570</v>
      </c>
      <c r="BD559" s="5" t="s">
        <v>467</v>
      </c>
      <c r="BE559" s="5" t="s">
        <v>76</v>
      </c>
      <c r="BF559" s="5" t="s">
        <v>76</v>
      </c>
      <c r="BG559" s="15">
        <v>36.5</v>
      </c>
      <c r="BH559" s="5" t="s">
        <v>192</v>
      </c>
      <c r="BI559" s="5" t="s">
        <v>192</v>
      </c>
      <c r="BJ559" s="5" t="s">
        <v>101</v>
      </c>
      <c r="BK559" s="5" t="s">
        <v>351</v>
      </c>
      <c r="BL559" s="5" t="s">
        <v>140</v>
      </c>
      <c r="BM559" s="5" t="s">
        <v>248</v>
      </c>
      <c r="BN559" s="5">
        <v>173</v>
      </c>
      <c r="BO559" s="5">
        <f t="shared" si="8"/>
        <v>17.708576965485</v>
      </c>
      <c r="BP559" s="5" t="s">
        <v>585</v>
      </c>
      <c r="BQ559" s="5" t="s">
        <v>76</v>
      </c>
      <c r="BR559" s="5">
        <v>1838</v>
      </c>
    </row>
    <row r="560" s="1" customFormat="1" spans="1:70">
      <c r="A560" s="1">
        <v>3289527</v>
      </c>
      <c r="B560" s="1" t="s">
        <v>1566</v>
      </c>
      <c r="D560" s="4">
        <v>44977</v>
      </c>
      <c r="E560" s="4">
        <v>44981</v>
      </c>
      <c r="F560" s="7">
        <v>18157</v>
      </c>
      <c r="G560" s="1">
        <v>41</v>
      </c>
      <c r="H560" s="1">
        <v>9</v>
      </c>
      <c r="I560" s="1">
        <v>44</v>
      </c>
      <c r="J560" s="1">
        <v>9</v>
      </c>
      <c r="K560" s="1">
        <v>58</v>
      </c>
      <c r="L560" s="1">
        <v>31</v>
      </c>
      <c r="N560" s="1">
        <v>10</v>
      </c>
      <c r="O560" s="7">
        <v>18157</v>
      </c>
      <c r="P560" s="4">
        <v>44977</v>
      </c>
      <c r="Q560" s="4">
        <v>44981</v>
      </c>
      <c r="R560" s="1" t="s">
        <v>80</v>
      </c>
      <c r="AO560" s="7">
        <v>18157</v>
      </c>
      <c r="AP560" s="5">
        <v>6.2</v>
      </c>
      <c r="AQ560" s="5">
        <v>134</v>
      </c>
      <c r="AR560" s="5">
        <v>40.3</v>
      </c>
      <c r="AS560" s="5">
        <v>3.4</v>
      </c>
      <c r="AT560" s="5">
        <v>18</v>
      </c>
      <c r="AU560" s="5">
        <v>12</v>
      </c>
      <c r="AV560" s="5">
        <v>37.9</v>
      </c>
      <c r="AW560" s="5">
        <v>12.71</v>
      </c>
      <c r="AX560" s="5">
        <v>68</v>
      </c>
      <c r="AY560" s="5">
        <v>105.39</v>
      </c>
      <c r="AZ560" s="5">
        <v>6.5</v>
      </c>
      <c r="BA560" s="5">
        <v>3.97</v>
      </c>
      <c r="BB560" s="12" t="s">
        <v>76</v>
      </c>
      <c r="BC560" s="5">
        <v>4.04</v>
      </c>
      <c r="BD560" s="5">
        <v>134</v>
      </c>
      <c r="BE560" s="5">
        <v>1.49</v>
      </c>
      <c r="BF560" s="5">
        <v>1.58</v>
      </c>
      <c r="BG560" s="15">
        <v>36.2</v>
      </c>
      <c r="BH560" s="5">
        <v>100</v>
      </c>
      <c r="BI560" s="5" t="s">
        <v>76</v>
      </c>
      <c r="BJ560" s="5">
        <v>22</v>
      </c>
      <c r="BK560" s="5">
        <v>107</v>
      </c>
      <c r="BL560" s="5">
        <v>64</v>
      </c>
      <c r="BM560" s="5">
        <v>60</v>
      </c>
      <c r="BN560" s="5">
        <v>176</v>
      </c>
      <c r="BO560" s="5">
        <f t="shared" si="8"/>
        <v>19.3698347107438</v>
      </c>
      <c r="BP560" s="5" t="s">
        <v>168</v>
      </c>
      <c r="BQ560" s="5" t="s">
        <v>76</v>
      </c>
      <c r="BR560" s="5">
        <v>1643</v>
      </c>
    </row>
    <row r="561" s="1" customFormat="1" spans="1:70">
      <c r="A561" s="1">
        <v>3256853</v>
      </c>
      <c r="B561" s="1" t="s">
        <v>1571</v>
      </c>
      <c r="D561" s="4">
        <v>44922</v>
      </c>
      <c r="E561" s="4">
        <v>44928</v>
      </c>
      <c r="F561" s="7">
        <v>18163</v>
      </c>
      <c r="G561" s="1">
        <v>34</v>
      </c>
      <c r="H561" s="1">
        <v>10</v>
      </c>
      <c r="I561" s="1">
        <v>46</v>
      </c>
      <c r="J561" s="1">
        <v>10</v>
      </c>
      <c r="K561" s="1">
        <v>60</v>
      </c>
      <c r="L561" s="1">
        <v>31</v>
      </c>
      <c r="M561" s="1">
        <v>0.55</v>
      </c>
      <c r="N561" s="1">
        <v>6.3</v>
      </c>
      <c r="O561" s="7">
        <v>18163</v>
      </c>
      <c r="P561" s="4">
        <v>44922</v>
      </c>
      <c r="Q561" s="4">
        <v>44928</v>
      </c>
      <c r="R561" s="1" t="s">
        <v>80</v>
      </c>
      <c r="AO561" s="7">
        <v>18163</v>
      </c>
      <c r="AP561" s="5">
        <v>7.6</v>
      </c>
      <c r="AQ561" s="5">
        <v>85</v>
      </c>
      <c r="AR561" s="5">
        <v>27.1</v>
      </c>
      <c r="AS561" s="5">
        <v>13.8</v>
      </c>
      <c r="AT561" s="5">
        <v>43</v>
      </c>
      <c r="AU561" s="5">
        <v>53</v>
      </c>
      <c r="AV561" s="5">
        <v>21.6</v>
      </c>
      <c r="AW561" s="5">
        <v>28.62</v>
      </c>
      <c r="AX561" s="5">
        <v>355</v>
      </c>
      <c r="AY561" s="5">
        <v>19.61</v>
      </c>
      <c r="AZ561" s="5">
        <v>4.24</v>
      </c>
      <c r="BA561" s="5">
        <v>6.85</v>
      </c>
      <c r="BB561" s="12" t="s">
        <v>76</v>
      </c>
      <c r="BC561" s="5">
        <v>4.51</v>
      </c>
      <c r="BD561" s="5">
        <v>85</v>
      </c>
      <c r="BE561" s="5" t="s">
        <v>76</v>
      </c>
      <c r="BF561" s="5" t="s">
        <v>76</v>
      </c>
      <c r="BG561" s="15">
        <v>36.8</v>
      </c>
      <c r="BH561" s="5">
        <v>84</v>
      </c>
      <c r="BI561" s="5" t="s">
        <v>76</v>
      </c>
      <c r="BJ561" s="5">
        <v>19</v>
      </c>
      <c r="BK561" s="5">
        <v>116</v>
      </c>
      <c r="BL561" s="5">
        <v>86</v>
      </c>
      <c r="BM561" s="5">
        <v>65</v>
      </c>
      <c r="BN561" s="5">
        <v>165</v>
      </c>
      <c r="BO561" s="5">
        <f t="shared" si="8"/>
        <v>23.8751147842057</v>
      </c>
      <c r="BP561" s="5" t="s">
        <v>415</v>
      </c>
      <c r="BQ561" s="5" t="s">
        <v>76</v>
      </c>
      <c r="BR561" s="5">
        <v>1150</v>
      </c>
    </row>
    <row r="562" s="1" customFormat="1" spans="1:70">
      <c r="A562" s="1" t="s">
        <v>1572</v>
      </c>
      <c r="B562" s="1" t="s">
        <v>1571</v>
      </c>
      <c r="D562" s="4">
        <v>45005</v>
      </c>
      <c r="E562" s="4">
        <v>45009</v>
      </c>
      <c r="F562" s="7">
        <v>18163</v>
      </c>
      <c r="G562" s="1">
        <v>36</v>
      </c>
      <c r="H562" s="1">
        <v>8</v>
      </c>
      <c r="I562" s="1">
        <v>45</v>
      </c>
      <c r="J562" s="1">
        <v>8</v>
      </c>
      <c r="K562" s="1">
        <v>64</v>
      </c>
      <c r="L562" s="1">
        <v>35</v>
      </c>
      <c r="M562" s="1">
        <v>1.06</v>
      </c>
      <c r="N562" s="1">
        <v>15.7</v>
      </c>
      <c r="O562" s="7">
        <v>18163</v>
      </c>
      <c r="P562" s="4">
        <v>45005</v>
      </c>
      <c r="Q562" s="4">
        <v>45009</v>
      </c>
      <c r="R562" s="1" t="s">
        <v>80</v>
      </c>
      <c r="AO562" s="7">
        <v>18163</v>
      </c>
      <c r="AP562" s="5" t="s">
        <v>1573</v>
      </c>
      <c r="AQ562" s="5" t="s">
        <v>100</v>
      </c>
      <c r="AR562" s="5" t="s">
        <v>1574</v>
      </c>
      <c r="AS562" s="5" t="s">
        <v>1575</v>
      </c>
      <c r="AT562" s="5" t="s">
        <v>225</v>
      </c>
      <c r="AU562" s="5" t="s">
        <v>225</v>
      </c>
      <c r="AV562" s="5" t="s">
        <v>793</v>
      </c>
      <c r="AW562" s="5" t="s">
        <v>1576</v>
      </c>
      <c r="AX562" s="5" t="s">
        <v>584</v>
      </c>
      <c r="AY562" s="5" t="s">
        <v>1577</v>
      </c>
      <c r="AZ562" s="5" t="s">
        <v>920</v>
      </c>
      <c r="BA562" s="5" t="s">
        <v>76</v>
      </c>
      <c r="BB562" s="12" t="s">
        <v>76</v>
      </c>
      <c r="BC562" s="5" t="s">
        <v>1361</v>
      </c>
      <c r="BD562" s="5" t="s">
        <v>100</v>
      </c>
      <c r="BE562" s="5" t="s">
        <v>76</v>
      </c>
      <c r="BF562" s="5" t="s">
        <v>76</v>
      </c>
      <c r="BG562" s="15">
        <v>38.3</v>
      </c>
      <c r="BH562" s="5" t="s">
        <v>1578</v>
      </c>
      <c r="BI562" s="5" t="s">
        <v>1578</v>
      </c>
      <c r="BJ562" s="5" t="s">
        <v>1475</v>
      </c>
      <c r="BK562" s="5" t="s">
        <v>467</v>
      </c>
      <c r="BL562" s="5" t="s">
        <v>137</v>
      </c>
      <c r="BM562" s="5" t="s">
        <v>96</v>
      </c>
      <c r="BN562" s="5">
        <v>164</v>
      </c>
      <c r="BO562" s="5">
        <f t="shared" si="8"/>
        <v>21.9363474122546</v>
      </c>
      <c r="BP562" s="5" t="s">
        <v>542</v>
      </c>
      <c r="BQ562" s="5" t="s">
        <v>76</v>
      </c>
      <c r="BR562" s="5">
        <v>3153</v>
      </c>
    </row>
    <row r="563" s="1" customFormat="1" spans="1:70">
      <c r="A563" s="1">
        <v>3258497</v>
      </c>
      <c r="B563" s="1" t="s">
        <v>1579</v>
      </c>
      <c r="D563" s="4">
        <v>44925</v>
      </c>
      <c r="E563" s="4">
        <v>44929</v>
      </c>
      <c r="F563" s="7">
        <v>18171</v>
      </c>
      <c r="G563" s="1">
        <v>44</v>
      </c>
      <c r="H563" s="1">
        <v>12</v>
      </c>
      <c r="I563" s="1">
        <v>52</v>
      </c>
      <c r="J563" s="1">
        <v>11</v>
      </c>
      <c r="K563" s="1">
        <v>56</v>
      </c>
      <c r="L563" s="1">
        <v>29</v>
      </c>
      <c r="M563" s="1">
        <v>1.2</v>
      </c>
      <c r="N563" s="1">
        <v>37.1</v>
      </c>
      <c r="O563" s="7">
        <v>18171</v>
      </c>
      <c r="P563" s="4">
        <v>44925</v>
      </c>
      <c r="Q563" s="4">
        <v>44929</v>
      </c>
      <c r="R563" s="1" t="s">
        <v>80</v>
      </c>
      <c r="AO563" s="7">
        <v>18171</v>
      </c>
      <c r="AP563" s="5">
        <v>6.4</v>
      </c>
      <c r="AQ563" s="5">
        <v>122</v>
      </c>
      <c r="AR563" s="5">
        <v>38.1</v>
      </c>
      <c r="AS563" s="5">
        <v>2</v>
      </c>
      <c r="AT563" s="5">
        <v>31</v>
      </c>
      <c r="AU563" s="5" t="s">
        <v>76</v>
      </c>
      <c r="AV563" s="5" t="s">
        <v>76</v>
      </c>
      <c r="AW563" s="5">
        <v>2.9</v>
      </c>
      <c r="AX563" s="5">
        <v>47</v>
      </c>
      <c r="AY563" s="5" t="s">
        <v>125</v>
      </c>
      <c r="AZ563" s="5" t="s">
        <v>75</v>
      </c>
      <c r="BA563" s="5">
        <v>2.59</v>
      </c>
      <c r="BB563" s="12" t="s">
        <v>76</v>
      </c>
      <c r="BC563" s="5">
        <v>3.6</v>
      </c>
      <c r="BD563" s="5">
        <v>122</v>
      </c>
      <c r="BE563" s="5">
        <v>1</v>
      </c>
      <c r="BF563" s="5">
        <v>1.41</v>
      </c>
      <c r="BG563" s="15">
        <v>36.6</v>
      </c>
      <c r="BH563" s="5">
        <v>79</v>
      </c>
      <c r="BI563" s="5">
        <v>79</v>
      </c>
      <c r="BJ563" s="5">
        <v>18</v>
      </c>
      <c r="BK563" s="5">
        <v>115</v>
      </c>
      <c r="BL563" s="5">
        <v>84</v>
      </c>
      <c r="BM563" s="5">
        <v>75</v>
      </c>
      <c r="BN563" s="5">
        <v>170</v>
      </c>
      <c r="BO563" s="5">
        <f t="shared" si="8"/>
        <v>25.9515570934256</v>
      </c>
      <c r="BP563" s="5" t="s">
        <v>156</v>
      </c>
      <c r="BQ563" s="5">
        <v>5.5</v>
      </c>
      <c r="BR563" s="5">
        <v>1212</v>
      </c>
    </row>
    <row r="564" s="1" customFormat="1" spans="1:70">
      <c r="A564" s="1">
        <v>3305628</v>
      </c>
      <c r="B564" s="1" t="s">
        <v>1580</v>
      </c>
      <c r="D564" s="4">
        <v>44998</v>
      </c>
      <c r="E564" s="4">
        <v>45008</v>
      </c>
      <c r="F564" s="7">
        <v>18177</v>
      </c>
      <c r="G564" s="1">
        <v>35</v>
      </c>
      <c r="H564" s="1">
        <v>10</v>
      </c>
      <c r="I564" s="1">
        <v>50</v>
      </c>
      <c r="J564" s="1">
        <v>10</v>
      </c>
      <c r="K564" s="1">
        <v>56</v>
      </c>
      <c r="L564" s="1">
        <v>29</v>
      </c>
      <c r="N564" s="1">
        <v>9.4</v>
      </c>
      <c r="O564" s="7">
        <v>18177</v>
      </c>
      <c r="P564" s="4">
        <v>44998</v>
      </c>
      <c r="Q564" s="4">
        <v>45008</v>
      </c>
      <c r="R564" s="1" t="s">
        <v>80</v>
      </c>
      <c r="AO564" s="7">
        <v>18177</v>
      </c>
      <c r="AP564" s="5">
        <v>8.2</v>
      </c>
      <c r="AQ564" s="5">
        <v>133</v>
      </c>
      <c r="AR564" s="5">
        <v>41.9</v>
      </c>
      <c r="AS564" s="5">
        <v>59.5</v>
      </c>
      <c r="AT564" s="5">
        <v>31</v>
      </c>
      <c r="AU564" s="5">
        <v>19</v>
      </c>
      <c r="AV564" s="5">
        <v>32.1</v>
      </c>
      <c r="AW564" s="5">
        <v>9.3</v>
      </c>
      <c r="AX564" s="5">
        <v>56</v>
      </c>
      <c r="AY564" s="5" t="s">
        <v>125</v>
      </c>
      <c r="AZ564" s="5" t="s">
        <v>75</v>
      </c>
      <c r="BA564" s="5" t="s">
        <v>76</v>
      </c>
      <c r="BB564" s="12" t="s">
        <v>76</v>
      </c>
      <c r="BC564" s="5">
        <v>4.19</v>
      </c>
      <c r="BD564" s="5">
        <v>133</v>
      </c>
      <c r="BE564" s="5" t="s">
        <v>76</v>
      </c>
      <c r="BF564" s="5" t="s">
        <v>76</v>
      </c>
      <c r="BG564" s="15">
        <v>37</v>
      </c>
      <c r="BH564" s="5">
        <v>110</v>
      </c>
      <c r="BI564" s="5">
        <v>123</v>
      </c>
      <c r="BJ564" s="5">
        <v>20</v>
      </c>
      <c r="BK564" s="5">
        <v>153</v>
      </c>
      <c r="BL564" s="5">
        <v>96</v>
      </c>
      <c r="BM564" s="5">
        <v>55</v>
      </c>
      <c r="BN564" s="5">
        <v>170</v>
      </c>
      <c r="BO564" s="5">
        <f t="shared" si="8"/>
        <v>19.0311418685121</v>
      </c>
      <c r="BP564" s="5" t="s">
        <v>109</v>
      </c>
      <c r="BQ564" s="5">
        <v>5.1</v>
      </c>
      <c r="BR564" s="5">
        <v>2948</v>
      </c>
    </row>
    <row r="565" s="1" customFormat="1" spans="1:70">
      <c r="A565" s="1">
        <v>3290877</v>
      </c>
      <c r="B565" s="1" t="s">
        <v>1581</v>
      </c>
      <c r="D565" s="4">
        <v>44978</v>
      </c>
      <c r="E565" s="4">
        <v>44987</v>
      </c>
      <c r="F565" s="7">
        <v>18197</v>
      </c>
      <c r="G565" s="1">
        <v>38</v>
      </c>
      <c r="H565" s="1">
        <v>8</v>
      </c>
      <c r="I565" s="1">
        <v>45</v>
      </c>
      <c r="J565" s="1">
        <v>8</v>
      </c>
      <c r="K565" s="1">
        <v>58</v>
      </c>
      <c r="L565" s="1">
        <v>31</v>
      </c>
      <c r="N565" s="1">
        <v>11.7</v>
      </c>
      <c r="O565" s="7">
        <v>18197</v>
      </c>
      <c r="P565" s="4">
        <v>44978</v>
      </c>
      <c r="Q565" s="4">
        <v>44987</v>
      </c>
      <c r="R565" s="1" t="s">
        <v>73</v>
      </c>
      <c r="AO565" s="7">
        <v>18197</v>
      </c>
      <c r="AP565" s="5">
        <v>5.6</v>
      </c>
      <c r="AQ565" s="5">
        <v>121</v>
      </c>
      <c r="AR565" s="5">
        <v>38.7</v>
      </c>
      <c r="AS565" s="5">
        <v>6.3</v>
      </c>
      <c r="AT565" s="5">
        <v>15</v>
      </c>
      <c r="AU565" s="5">
        <v>13</v>
      </c>
      <c r="AV565" s="5">
        <v>42.8</v>
      </c>
      <c r="AW565" s="5">
        <v>5.24</v>
      </c>
      <c r="AX565" s="5">
        <v>51</v>
      </c>
      <c r="AY565" s="5">
        <v>108.99</v>
      </c>
      <c r="AZ565" s="5">
        <v>9.56</v>
      </c>
      <c r="BA565" s="5">
        <v>3.94</v>
      </c>
      <c r="BB565" s="12" t="s">
        <v>76</v>
      </c>
      <c r="BC565" s="5">
        <v>3.6</v>
      </c>
      <c r="BD565" s="5">
        <v>121</v>
      </c>
      <c r="BE565" s="5">
        <v>1.41</v>
      </c>
      <c r="BF565" s="5">
        <v>1.98</v>
      </c>
      <c r="BG565" s="15">
        <v>36.8</v>
      </c>
      <c r="BH565" s="5">
        <v>86</v>
      </c>
      <c r="BI565" s="5">
        <v>94</v>
      </c>
      <c r="BJ565" s="5">
        <v>16</v>
      </c>
      <c r="BK565" s="5">
        <v>110</v>
      </c>
      <c r="BL565" s="5">
        <v>70</v>
      </c>
      <c r="BM565" s="5">
        <v>60</v>
      </c>
      <c r="BN565" s="5">
        <v>160</v>
      </c>
      <c r="BO565" s="5">
        <f t="shared" si="8"/>
        <v>23.4375</v>
      </c>
      <c r="BP565" s="5" t="s">
        <v>457</v>
      </c>
      <c r="BQ565" s="5">
        <v>11.3</v>
      </c>
      <c r="BR565" s="5">
        <v>917</v>
      </c>
    </row>
    <row r="566" s="1" customFormat="1" spans="1:70">
      <c r="A566" s="1">
        <v>3266886</v>
      </c>
      <c r="B566" s="1" t="s">
        <v>1582</v>
      </c>
      <c r="D566" s="4">
        <v>44941</v>
      </c>
      <c r="E566" s="4">
        <v>44950</v>
      </c>
      <c r="F566" s="7">
        <v>18212</v>
      </c>
      <c r="G566" s="1">
        <v>32</v>
      </c>
      <c r="H566" s="1">
        <v>9</v>
      </c>
      <c r="I566" s="1">
        <v>46</v>
      </c>
      <c r="J566" s="1">
        <v>9</v>
      </c>
      <c r="K566" s="1">
        <v>68</v>
      </c>
      <c r="L566" s="1">
        <v>38</v>
      </c>
      <c r="M566" s="1">
        <v>1.51</v>
      </c>
      <c r="N566" s="1">
        <v>10.1</v>
      </c>
      <c r="O566" s="7">
        <v>18212</v>
      </c>
      <c r="P566" s="4">
        <v>44941</v>
      </c>
      <c r="Q566" s="4">
        <v>44950</v>
      </c>
      <c r="R566" s="1" t="s">
        <v>80</v>
      </c>
      <c r="AO566" s="7">
        <v>18212</v>
      </c>
      <c r="AP566" s="5">
        <v>7.9</v>
      </c>
      <c r="AQ566" s="5">
        <v>120</v>
      </c>
      <c r="AR566" s="5">
        <v>35.1</v>
      </c>
      <c r="AS566" s="5">
        <v>55.4</v>
      </c>
      <c r="AT566" s="5">
        <v>47</v>
      </c>
      <c r="AU566" s="5">
        <v>212</v>
      </c>
      <c r="AV566" s="5">
        <v>34.5</v>
      </c>
      <c r="AW566" s="5">
        <v>7.98</v>
      </c>
      <c r="AX566" s="5">
        <v>77</v>
      </c>
      <c r="AY566" s="5">
        <v>91.31</v>
      </c>
      <c r="AZ566" s="5">
        <v>4.01</v>
      </c>
      <c r="BA566" s="5" t="s">
        <v>76</v>
      </c>
      <c r="BB566" s="12" t="s">
        <v>76</v>
      </c>
      <c r="BC566" s="5">
        <v>4.41</v>
      </c>
      <c r="BD566" s="5">
        <v>120</v>
      </c>
      <c r="BE566" s="5" t="s">
        <v>76</v>
      </c>
      <c r="BF566" s="5" t="s">
        <v>76</v>
      </c>
      <c r="BG566" s="15">
        <v>36.8</v>
      </c>
      <c r="BH566" s="5">
        <v>74</v>
      </c>
      <c r="BI566" s="5" t="s">
        <v>76</v>
      </c>
      <c r="BJ566" s="5">
        <v>19</v>
      </c>
      <c r="BK566" s="5">
        <v>153</v>
      </c>
      <c r="BL566" s="5">
        <v>82</v>
      </c>
      <c r="BM566" s="5">
        <v>50</v>
      </c>
      <c r="BN566" s="5">
        <v>168</v>
      </c>
      <c r="BO566" s="5">
        <f t="shared" si="8"/>
        <v>17.7154195011338</v>
      </c>
      <c r="BP566" s="5" t="s">
        <v>168</v>
      </c>
      <c r="BQ566" s="5">
        <v>6.4</v>
      </c>
      <c r="BR566" s="5">
        <v>4909</v>
      </c>
    </row>
    <row r="567" s="1" customFormat="1" spans="1:70">
      <c r="A567" s="1">
        <v>3307797</v>
      </c>
      <c r="B567" s="1" t="s">
        <v>1583</v>
      </c>
      <c r="D567" s="4">
        <v>45001</v>
      </c>
      <c r="E567" s="4">
        <v>45006</v>
      </c>
      <c r="F567" s="7">
        <v>18222</v>
      </c>
      <c r="G567" s="1">
        <v>39</v>
      </c>
      <c r="H567" s="1">
        <v>10</v>
      </c>
      <c r="I567" s="1">
        <v>47</v>
      </c>
      <c r="J567" s="1">
        <v>9</v>
      </c>
      <c r="K567" s="1">
        <v>60</v>
      </c>
      <c r="L567" s="1">
        <v>31</v>
      </c>
      <c r="M567" s="1">
        <v>1.15</v>
      </c>
      <c r="N567" s="1">
        <v>15.6</v>
      </c>
      <c r="O567" s="7">
        <v>18222</v>
      </c>
      <c r="P567" s="4">
        <v>45001</v>
      </c>
      <c r="Q567" s="4">
        <v>45006</v>
      </c>
      <c r="R567" s="1" t="s">
        <v>73</v>
      </c>
      <c r="AO567" s="7">
        <v>18222</v>
      </c>
      <c r="AP567" s="5">
        <v>4.5</v>
      </c>
      <c r="AQ567" s="5">
        <v>134</v>
      </c>
      <c r="AR567" s="5">
        <v>41.4</v>
      </c>
      <c r="AS567" s="5" t="s">
        <v>76</v>
      </c>
      <c r="AT567" s="5">
        <v>22</v>
      </c>
      <c r="AU567" s="5">
        <v>26</v>
      </c>
      <c r="AV567" s="5">
        <v>43.2</v>
      </c>
      <c r="AW567" s="5">
        <v>6.09</v>
      </c>
      <c r="AX567" s="5">
        <v>49</v>
      </c>
      <c r="AY567" s="5">
        <v>114.14</v>
      </c>
      <c r="AZ567" s="5" t="s">
        <v>75</v>
      </c>
      <c r="BA567" s="5">
        <v>3.82</v>
      </c>
      <c r="BB567" s="12" t="s">
        <v>76</v>
      </c>
      <c r="BC567" s="5">
        <v>3.74</v>
      </c>
      <c r="BD567" s="5">
        <v>134</v>
      </c>
      <c r="BE567" s="5">
        <v>1.4</v>
      </c>
      <c r="BF567" s="5">
        <v>1.87</v>
      </c>
      <c r="BG567" s="15">
        <v>36.3</v>
      </c>
      <c r="BH567" s="5">
        <v>66</v>
      </c>
      <c r="BI567" s="5">
        <v>66</v>
      </c>
      <c r="BJ567" s="5">
        <v>16</v>
      </c>
      <c r="BK567" s="5">
        <v>140</v>
      </c>
      <c r="BL567" s="5">
        <v>77</v>
      </c>
      <c r="BM567" s="5">
        <v>53</v>
      </c>
      <c r="BN567" s="5">
        <v>152</v>
      </c>
      <c r="BO567" s="5">
        <f t="shared" si="8"/>
        <v>22.9397506925208</v>
      </c>
      <c r="BP567" s="5" t="s">
        <v>121</v>
      </c>
      <c r="BQ567" s="5" t="s">
        <v>76</v>
      </c>
      <c r="BR567" s="5">
        <v>1353</v>
      </c>
    </row>
    <row r="568" s="1" customFormat="1" spans="1:70">
      <c r="A568" s="1">
        <v>3276972</v>
      </c>
      <c r="B568" s="1" t="s">
        <v>1584</v>
      </c>
      <c r="D568" s="4">
        <v>44959</v>
      </c>
      <c r="E568" s="4">
        <v>44967</v>
      </c>
      <c r="F568" s="7">
        <v>18233</v>
      </c>
      <c r="G568" s="1">
        <v>46</v>
      </c>
      <c r="H568" s="1">
        <v>10</v>
      </c>
      <c r="I568" s="1">
        <v>50</v>
      </c>
      <c r="J568" s="1">
        <v>10</v>
      </c>
      <c r="K568" s="1">
        <v>61</v>
      </c>
      <c r="L568" s="1">
        <v>32</v>
      </c>
      <c r="O568" s="7">
        <v>18233</v>
      </c>
      <c r="P568" s="4">
        <v>44959</v>
      </c>
      <c r="Q568" s="4">
        <v>44967</v>
      </c>
      <c r="R568" s="1" t="s">
        <v>73</v>
      </c>
      <c r="AO568" s="7">
        <v>18233</v>
      </c>
      <c r="AP568" s="5">
        <v>5</v>
      </c>
      <c r="AQ568" s="5">
        <v>82</v>
      </c>
      <c r="AR568" s="5">
        <v>28.1</v>
      </c>
      <c r="AS568" s="5" t="s">
        <v>81</v>
      </c>
      <c r="AT568" s="5">
        <v>40</v>
      </c>
      <c r="AU568" s="5">
        <v>15</v>
      </c>
      <c r="AV568" s="5">
        <v>39.5</v>
      </c>
      <c r="AW568" s="5">
        <v>4.09</v>
      </c>
      <c r="AX568" s="5">
        <v>58</v>
      </c>
      <c r="AY568" s="5">
        <v>93.96</v>
      </c>
      <c r="AZ568" s="5" t="s">
        <v>75</v>
      </c>
      <c r="BA568" s="5">
        <v>3.32</v>
      </c>
      <c r="BB568" s="12" t="s">
        <v>76</v>
      </c>
      <c r="BC568" s="5">
        <v>4.32</v>
      </c>
      <c r="BD568" s="5">
        <v>82</v>
      </c>
      <c r="BE568" s="5">
        <v>0.99</v>
      </c>
      <c r="BF568" s="5">
        <v>1.71</v>
      </c>
      <c r="BG568" s="15">
        <v>36.8</v>
      </c>
      <c r="BH568" s="5">
        <v>78</v>
      </c>
      <c r="BI568" s="5" t="s">
        <v>76</v>
      </c>
      <c r="BJ568" s="5">
        <v>20</v>
      </c>
      <c r="BK568" s="5">
        <v>138</v>
      </c>
      <c r="BL568" s="5">
        <v>64</v>
      </c>
      <c r="BM568" s="5">
        <v>53</v>
      </c>
      <c r="BN568" s="5">
        <v>150</v>
      </c>
      <c r="BO568" s="5">
        <f t="shared" si="8"/>
        <v>23.5555555555556</v>
      </c>
      <c r="BP568" s="5" t="s">
        <v>121</v>
      </c>
      <c r="BQ568" s="5">
        <v>6.6</v>
      </c>
      <c r="BR568" s="5">
        <v>1388</v>
      </c>
    </row>
    <row r="569" s="1" customFormat="1" spans="1:70">
      <c r="A569" s="1">
        <v>3255729</v>
      </c>
      <c r="B569" s="1" t="s">
        <v>1585</v>
      </c>
      <c r="D569" s="4">
        <v>44920</v>
      </c>
      <c r="E569" s="4">
        <v>44924</v>
      </c>
      <c r="F569" s="7">
        <v>18242</v>
      </c>
      <c r="G569" s="1">
        <v>36</v>
      </c>
      <c r="H569" s="1">
        <v>9</v>
      </c>
      <c r="I569" s="1">
        <v>44</v>
      </c>
      <c r="J569" s="1">
        <v>9</v>
      </c>
      <c r="K569" s="1">
        <v>59</v>
      </c>
      <c r="L569" s="1">
        <v>31</v>
      </c>
      <c r="M569" s="1">
        <v>0.86</v>
      </c>
      <c r="N569" s="1">
        <v>6.9</v>
      </c>
      <c r="O569" s="7">
        <v>18242</v>
      </c>
      <c r="P569" s="4">
        <v>44920</v>
      </c>
      <c r="Q569" s="4">
        <v>44924</v>
      </c>
      <c r="R569" s="1" t="s">
        <v>80</v>
      </c>
      <c r="S569" s="1">
        <v>74</v>
      </c>
      <c r="T569" s="1" t="s">
        <v>1586</v>
      </c>
      <c r="AM569" s="1">
        <v>1</v>
      </c>
      <c r="AO569" s="7">
        <v>18242</v>
      </c>
      <c r="AP569" s="5">
        <v>7.7</v>
      </c>
      <c r="AQ569" s="5">
        <v>133</v>
      </c>
      <c r="AR569" s="5">
        <v>41.2</v>
      </c>
      <c r="AS569" s="5">
        <v>79.1</v>
      </c>
      <c r="AT569" s="5">
        <v>7468</v>
      </c>
      <c r="AU569" s="5" t="s">
        <v>1455</v>
      </c>
      <c r="AV569" s="5">
        <v>35</v>
      </c>
      <c r="AW569" s="5" t="s">
        <v>1587</v>
      </c>
      <c r="AX569" s="5" t="s">
        <v>1588</v>
      </c>
      <c r="AY569" s="5">
        <v>68.32</v>
      </c>
      <c r="AZ569" s="5" t="s">
        <v>75</v>
      </c>
      <c r="BA569" s="5">
        <v>2.79</v>
      </c>
      <c r="BB569" s="12" t="s">
        <v>76</v>
      </c>
      <c r="BC569" s="5">
        <v>4.41</v>
      </c>
      <c r="BD569" s="5">
        <v>133</v>
      </c>
      <c r="BE569" s="5">
        <v>0.71</v>
      </c>
      <c r="BF569" s="5">
        <v>1.55</v>
      </c>
      <c r="BG569" s="15">
        <v>36.4</v>
      </c>
      <c r="BH569" s="5">
        <v>114</v>
      </c>
      <c r="BI569" s="5">
        <v>114</v>
      </c>
      <c r="BJ569" s="5">
        <v>19</v>
      </c>
      <c r="BK569" s="5">
        <v>129</v>
      </c>
      <c r="BL569" s="5">
        <v>100</v>
      </c>
      <c r="BM569" s="5">
        <v>60</v>
      </c>
      <c r="BN569" s="5">
        <v>170</v>
      </c>
      <c r="BO569" s="5">
        <f t="shared" si="8"/>
        <v>20.7612456747405</v>
      </c>
      <c r="BP569" s="5" t="s">
        <v>85</v>
      </c>
      <c r="BQ569" s="5">
        <v>6.3</v>
      </c>
      <c r="BR569" s="5">
        <v>5934</v>
      </c>
    </row>
    <row r="570" s="1" customFormat="1" spans="1:70">
      <c r="A570" s="1">
        <v>3320746</v>
      </c>
      <c r="B570" s="1" t="s">
        <v>1589</v>
      </c>
      <c r="D570" s="4">
        <v>45019</v>
      </c>
      <c r="E570" s="4">
        <v>45033</v>
      </c>
      <c r="F570" s="7">
        <v>18247</v>
      </c>
      <c r="G570" s="1">
        <v>36</v>
      </c>
      <c r="H570" s="1">
        <v>9</v>
      </c>
      <c r="I570" s="1">
        <v>46</v>
      </c>
      <c r="J570" s="1">
        <v>9</v>
      </c>
      <c r="K570" s="1">
        <v>70</v>
      </c>
      <c r="L570" s="1">
        <v>40</v>
      </c>
      <c r="M570" s="1">
        <v>0.52</v>
      </c>
      <c r="N570" s="1">
        <v>7.4</v>
      </c>
      <c r="O570" s="7">
        <v>18247</v>
      </c>
      <c r="P570" s="4">
        <v>45019</v>
      </c>
      <c r="Q570" s="4">
        <v>45033</v>
      </c>
      <c r="R570" s="1" t="s">
        <v>80</v>
      </c>
      <c r="AO570" s="7">
        <v>18247</v>
      </c>
      <c r="AP570" s="5">
        <v>9.4</v>
      </c>
      <c r="AQ570" s="5">
        <v>119</v>
      </c>
      <c r="AR570" s="5">
        <v>36.5</v>
      </c>
      <c r="AS570" s="5">
        <v>24.7</v>
      </c>
      <c r="AT570" s="5">
        <v>16</v>
      </c>
      <c r="AU570" s="5">
        <v>11</v>
      </c>
      <c r="AV570" s="5">
        <v>38.4</v>
      </c>
      <c r="AW570" s="5">
        <v>4.84</v>
      </c>
      <c r="AX570" s="5">
        <v>59</v>
      </c>
      <c r="AY570" s="5" t="s">
        <v>125</v>
      </c>
      <c r="AZ570" s="5" t="s">
        <v>75</v>
      </c>
      <c r="BA570" s="5" t="s">
        <v>76</v>
      </c>
      <c r="BB570" s="12" t="s">
        <v>76</v>
      </c>
      <c r="BC570" s="5">
        <v>4.72</v>
      </c>
      <c r="BD570" s="5">
        <v>119</v>
      </c>
      <c r="BE570" s="5" t="s">
        <v>76</v>
      </c>
      <c r="BF570" s="5" t="s">
        <v>76</v>
      </c>
      <c r="BG570" s="15">
        <v>36.2</v>
      </c>
      <c r="BH570" s="5">
        <v>66</v>
      </c>
      <c r="BI570" s="5">
        <v>66</v>
      </c>
      <c r="BJ570" s="5">
        <v>23</v>
      </c>
      <c r="BK570" s="5">
        <v>136</v>
      </c>
      <c r="BL570" s="5">
        <v>83</v>
      </c>
      <c r="BM570" s="5">
        <v>60</v>
      </c>
      <c r="BN570" s="5">
        <v>170</v>
      </c>
      <c r="BO570" s="5">
        <f t="shared" si="8"/>
        <v>20.7612456747405</v>
      </c>
      <c r="BP570" s="5" t="s">
        <v>168</v>
      </c>
      <c r="BQ570" s="5" t="s">
        <v>76</v>
      </c>
      <c r="BR570" s="5">
        <v>1255</v>
      </c>
    </row>
    <row r="571" s="1" customFormat="1" spans="1:70">
      <c r="A571" s="1">
        <v>3240626</v>
      </c>
      <c r="B571" s="1" t="s">
        <v>1590</v>
      </c>
      <c r="D571" s="4">
        <v>44883</v>
      </c>
      <c r="E571" s="4">
        <v>44890</v>
      </c>
      <c r="F571" s="7">
        <v>18260</v>
      </c>
      <c r="G571" s="1">
        <v>36</v>
      </c>
      <c r="H571" s="1">
        <v>10</v>
      </c>
      <c r="I571" s="1">
        <v>53</v>
      </c>
      <c r="J571" s="1">
        <v>10</v>
      </c>
      <c r="K571" s="1">
        <v>50</v>
      </c>
      <c r="L571" s="1">
        <v>25</v>
      </c>
      <c r="M571" s="1">
        <v>0.53</v>
      </c>
      <c r="N571" s="1">
        <v>14.2</v>
      </c>
      <c r="O571" s="7">
        <v>18260</v>
      </c>
      <c r="P571" s="4">
        <v>44883</v>
      </c>
      <c r="Q571" s="4">
        <v>44890</v>
      </c>
      <c r="R571" s="1" t="s">
        <v>80</v>
      </c>
      <c r="AO571" s="7">
        <v>18260</v>
      </c>
      <c r="AP571" s="5">
        <v>6.2</v>
      </c>
      <c r="AQ571" s="5">
        <v>99</v>
      </c>
      <c r="AR571" s="5">
        <v>38.6</v>
      </c>
      <c r="AS571" s="5" t="s">
        <v>81</v>
      </c>
      <c r="AT571" s="5">
        <v>93</v>
      </c>
      <c r="AU571" s="5">
        <v>24</v>
      </c>
      <c r="AV571" s="5">
        <v>41.6</v>
      </c>
      <c r="AW571" s="5">
        <v>8.78</v>
      </c>
      <c r="AX571" s="5">
        <v>96</v>
      </c>
      <c r="AY571" s="5">
        <v>94.39</v>
      </c>
      <c r="AZ571" s="5">
        <v>9.32</v>
      </c>
      <c r="BA571" s="5">
        <v>5.12</v>
      </c>
      <c r="BB571" s="12" t="s">
        <v>76</v>
      </c>
      <c r="BC571" s="5">
        <v>4.36</v>
      </c>
      <c r="BD571" s="5">
        <v>99</v>
      </c>
      <c r="BE571" s="5">
        <v>0.91</v>
      </c>
      <c r="BF571" s="5">
        <v>3.75</v>
      </c>
      <c r="BG571" s="15">
        <v>36.5</v>
      </c>
      <c r="BH571" s="5" t="s">
        <v>1591</v>
      </c>
      <c r="BI571" s="5">
        <v>56</v>
      </c>
      <c r="BJ571" s="5">
        <v>20</v>
      </c>
      <c r="BK571" s="5">
        <v>103</v>
      </c>
      <c r="BL571" s="5">
        <v>68</v>
      </c>
      <c r="BM571" s="5">
        <v>63</v>
      </c>
      <c r="BN571" s="5">
        <v>170</v>
      </c>
      <c r="BO571" s="5">
        <f t="shared" si="8"/>
        <v>21.7993079584775</v>
      </c>
      <c r="BP571" s="5" t="s">
        <v>323</v>
      </c>
      <c r="BQ571" s="5">
        <v>8.3</v>
      </c>
      <c r="BR571" s="5">
        <v>985.1</v>
      </c>
    </row>
    <row r="572" s="1" customFormat="1" spans="1:70">
      <c r="A572" s="1">
        <v>3283639</v>
      </c>
      <c r="B572" s="1" t="s">
        <v>1592</v>
      </c>
      <c r="D572" s="4">
        <v>44968</v>
      </c>
      <c r="E572" s="4">
        <v>44981</v>
      </c>
      <c r="F572" s="7">
        <v>18265</v>
      </c>
      <c r="G572" s="1">
        <v>38</v>
      </c>
      <c r="H572" s="1">
        <v>9</v>
      </c>
      <c r="I572" s="1">
        <v>49</v>
      </c>
      <c r="J572" s="1">
        <v>9</v>
      </c>
      <c r="K572" s="1">
        <v>52</v>
      </c>
      <c r="L572" s="1">
        <v>27</v>
      </c>
      <c r="M572" s="1">
        <v>1.52</v>
      </c>
      <c r="N572" s="1">
        <v>14.3</v>
      </c>
      <c r="O572" s="7">
        <v>18265</v>
      </c>
      <c r="P572" s="4">
        <v>44968</v>
      </c>
      <c r="Q572" s="4">
        <v>44981</v>
      </c>
      <c r="R572" s="1" t="s">
        <v>80</v>
      </c>
      <c r="AO572" s="7">
        <v>18265</v>
      </c>
      <c r="AP572" s="5">
        <v>3.2</v>
      </c>
      <c r="AQ572" s="5">
        <v>99</v>
      </c>
      <c r="AR572" s="5">
        <v>35.2</v>
      </c>
      <c r="AS572" s="5">
        <v>51.5</v>
      </c>
      <c r="AT572" s="5">
        <v>8</v>
      </c>
      <c r="AU572" s="5">
        <v>22</v>
      </c>
      <c r="AV572" s="5">
        <v>37.9</v>
      </c>
      <c r="AW572" s="5">
        <v>7.85</v>
      </c>
      <c r="AX572" s="5">
        <v>78</v>
      </c>
      <c r="AY572" s="5" t="s">
        <v>125</v>
      </c>
      <c r="AZ572" s="5" t="s">
        <v>75</v>
      </c>
      <c r="BA572" s="5" t="s">
        <v>76</v>
      </c>
      <c r="BB572" s="12" t="s">
        <v>76</v>
      </c>
      <c r="BC572" s="5">
        <v>3.89</v>
      </c>
      <c r="BD572" s="5">
        <v>99</v>
      </c>
      <c r="BE572" s="5" t="s">
        <v>76</v>
      </c>
      <c r="BF572" s="5" t="s">
        <v>76</v>
      </c>
      <c r="BG572" s="15">
        <v>36.5</v>
      </c>
      <c r="BH572" s="5" t="s">
        <v>76</v>
      </c>
      <c r="BI572" s="5">
        <v>90</v>
      </c>
      <c r="BJ572" s="5">
        <v>30</v>
      </c>
      <c r="BK572" s="5">
        <v>157</v>
      </c>
      <c r="BL572" s="5">
        <v>69</v>
      </c>
      <c r="BM572" s="5" t="s">
        <v>77</v>
      </c>
      <c r="BN572" s="5" t="s">
        <v>77</v>
      </c>
      <c r="BO572" s="5" t="e">
        <f t="shared" si="8"/>
        <v>#VALUE!</v>
      </c>
      <c r="BP572" s="5" t="s">
        <v>168</v>
      </c>
      <c r="BQ572" s="5" t="s">
        <v>76</v>
      </c>
      <c r="BR572" s="5">
        <v>2759</v>
      </c>
    </row>
    <row r="573" s="1" customFormat="1" spans="1:70">
      <c r="A573" s="1">
        <v>3301960</v>
      </c>
      <c r="B573" s="1" t="s">
        <v>1593</v>
      </c>
      <c r="D573" s="4">
        <v>44993</v>
      </c>
      <c r="E573" s="4">
        <v>44998</v>
      </c>
      <c r="F573" s="7">
        <v>18276</v>
      </c>
      <c r="G573" s="1">
        <v>42</v>
      </c>
      <c r="H573" s="1">
        <v>16</v>
      </c>
      <c r="I573" s="1">
        <v>41</v>
      </c>
      <c r="J573" s="1">
        <v>10</v>
      </c>
      <c r="K573" s="1">
        <v>64</v>
      </c>
      <c r="L573" s="1">
        <v>34</v>
      </c>
      <c r="M573" s="1">
        <v>0.89</v>
      </c>
      <c r="N573" s="1">
        <v>9.2</v>
      </c>
      <c r="O573" s="7">
        <v>18276</v>
      </c>
      <c r="P573" s="4">
        <v>44993</v>
      </c>
      <c r="Q573" s="4">
        <v>44998</v>
      </c>
      <c r="R573" s="1" t="s">
        <v>73</v>
      </c>
      <c r="S573" s="1">
        <v>73</v>
      </c>
      <c r="T573" s="1" t="s">
        <v>1594</v>
      </c>
      <c r="X573" s="1">
        <v>1</v>
      </c>
      <c r="AC573" s="1">
        <v>1</v>
      </c>
      <c r="AG573" s="1">
        <v>1</v>
      </c>
      <c r="AH573" s="1">
        <v>1</v>
      </c>
      <c r="AM573" s="1">
        <v>1</v>
      </c>
      <c r="AO573" s="7">
        <v>18276</v>
      </c>
      <c r="AP573" s="5">
        <v>4.3</v>
      </c>
      <c r="AQ573" s="5">
        <v>124</v>
      </c>
      <c r="AR573" s="5">
        <v>35.8</v>
      </c>
      <c r="AS573" s="5">
        <v>11.4</v>
      </c>
      <c r="AT573" s="5">
        <v>22</v>
      </c>
      <c r="AU573" s="5">
        <v>13</v>
      </c>
      <c r="AV573" s="5">
        <v>36.3</v>
      </c>
      <c r="AW573" s="5">
        <v>6.2</v>
      </c>
      <c r="AX573" s="5">
        <v>72</v>
      </c>
      <c r="AY573" s="5">
        <v>73.21</v>
      </c>
      <c r="AZ573" s="5" t="s">
        <v>76</v>
      </c>
      <c r="BA573" s="5">
        <v>3.53</v>
      </c>
      <c r="BB573" s="12" t="s">
        <v>76</v>
      </c>
      <c r="BC573" s="5">
        <v>3.94</v>
      </c>
      <c r="BD573" s="5">
        <v>124</v>
      </c>
      <c r="BE573" s="5">
        <v>1.01</v>
      </c>
      <c r="BF573" s="5">
        <v>2.25</v>
      </c>
      <c r="BG573" s="15">
        <v>36.4</v>
      </c>
      <c r="BH573" s="5" t="s">
        <v>76</v>
      </c>
      <c r="BI573" s="5">
        <v>64</v>
      </c>
      <c r="BJ573" s="5">
        <v>15</v>
      </c>
      <c r="BK573" s="5">
        <v>157</v>
      </c>
      <c r="BL573" s="5">
        <v>70</v>
      </c>
      <c r="BM573" s="5">
        <v>75</v>
      </c>
      <c r="BN573" s="5">
        <v>165</v>
      </c>
      <c r="BO573" s="5">
        <f t="shared" si="8"/>
        <v>27.5482093663912</v>
      </c>
      <c r="BP573" s="5" t="s">
        <v>457</v>
      </c>
      <c r="BQ573" s="5">
        <v>5.5</v>
      </c>
      <c r="BR573" s="5">
        <v>1994</v>
      </c>
    </row>
    <row r="574" s="1" customFormat="1" spans="1:70">
      <c r="A574" s="1">
        <v>3278252</v>
      </c>
      <c r="B574" s="1" t="s">
        <v>1595</v>
      </c>
      <c r="D574" s="4">
        <v>44960</v>
      </c>
      <c r="E574" s="4">
        <v>44971</v>
      </c>
      <c r="F574" s="7">
        <v>18280</v>
      </c>
      <c r="G574" s="1">
        <v>50</v>
      </c>
      <c r="H574" s="1">
        <v>9</v>
      </c>
      <c r="I574" s="1">
        <v>59</v>
      </c>
      <c r="J574" s="1">
        <v>9</v>
      </c>
      <c r="K574" s="1">
        <v>41</v>
      </c>
      <c r="L574" s="1">
        <v>20</v>
      </c>
      <c r="N574" s="1">
        <v>13.5</v>
      </c>
      <c r="O574" s="7">
        <v>18280</v>
      </c>
      <c r="P574" s="4">
        <v>44960</v>
      </c>
      <c r="Q574" s="4">
        <v>44971</v>
      </c>
      <c r="R574" s="1" t="s">
        <v>80</v>
      </c>
      <c r="AO574" s="7">
        <v>18280</v>
      </c>
      <c r="AP574" s="5">
        <v>4.4</v>
      </c>
      <c r="AQ574" s="5">
        <v>124</v>
      </c>
      <c r="AR574" s="5">
        <v>40.7</v>
      </c>
      <c r="AS574" s="5" t="s">
        <v>76</v>
      </c>
      <c r="AT574" s="5">
        <v>46</v>
      </c>
      <c r="AU574" s="5">
        <v>62</v>
      </c>
      <c r="AV574" s="5">
        <v>37.4</v>
      </c>
      <c r="AW574" s="5">
        <v>6.29</v>
      </c>
      <c r="AX574" s="5">
        <v>55</v>
      </c>
      <c r="AY574" s="5" t="s">
        <v>125</v>
      </c>
      <c r="AZ574" s="5" t="s">
        <v>75</v>
      </c>
      <c r="BA574" s="5">
        <v>4.53</v>
      </c>
      <c r="BB574" s="12" t="s">
        <v>76</v>
      </c>
      <c r="BC574" s="5">
        <v>3.92</v>
      </c>
      <c r="BD574" s="5">
        <v>124</v>
      </c>
      <c r="BE574" s="5">
        <v>1.01</v>
      </c>
      <c r="BF574" s="5">
        <v>3.08</v>
      </c>
      <c r="BG574" s="15">
        <v>36.6</v>
      </c>
      <c r="BH574" s="5">
        <v>82</v>
      </c>
      <c r="BI574" s="5" t="s">
        <v>76</v>
      </c>
      <c r="BJ574" s="5">
        <v>17</v>
      </c>
      <c r="BK574" s="5">
        <v>144</v>
      </c>
      <c r="BL574" s="5">
        <v>97</v>
      </c>
      <c r="BM574" s="5">
        <v>65</v>
      </c>
      <c r="BN574" s="5">
        <v>170</v>
      </c>
      <c r="BO574" s="5">
        <f t="shared" si="8"/>
        <v>22.4913494809689</v>
      </c>
      <c r="BP574" s="5" t="s">
        <v>78</v>
      </c>
      <c r="BQ574" s="5">
        <v>5.7</v>
      </c>
      <c r="BR574" s="5">
        <v>950</v>
      </c>
    </row>
    <row r="575" s="1" customFormat="1" spans="1:70">
      <c r="A575" s="1">
        <v>3304316</v>
      </c>
      <c r="B575" s="1" t="s">
        <v>1596</v>
      </c>
      <c r="D575" s="4">
        <v>44996</v>
      </c>
      <c r="E575" s="4">
        <v>45004</v>
      </c>
      <c r="F575" s="7">
        <v>18281</v>
      </c>
      <c r="G575" s="1">
        <v>35</v>
      </c>
      <c r="H575" s="1">
        <v>9</v>
      </c>
      <c r="I575" s="1">
        <v>55</v>
      </c>
      <c r="J575" s="1">
        <v>9</v>
      </c>
      <c r="K575" s="1">
        <v>46</v>
      </c>
      <c r="L575" s="1">
        <v>23</v>
      </c>
      <c r="M575" s="1">
        <v>0.79</v>
      </c>
      <c r="N575" s="1">
        <v>17.3</v>
      </c>
      <c r="O575" s="7">
        <v>18281</v>
      </c>
      <c r="P575" s="4">
        <v>44996</v>
      </c>
      <c r="Q575" s="4">
        <v>45004</v>
      </c>
      <c r="R575" s="1" t="s">
        <v>80</v>
      </c>
      <c r="AO575" s="7">
        <v>18281</v>
      </c>
      <c r="AP575" s="5">
        <v>9.7</v>
      </c>
      <c r="AQ575" s="5">
        <v>133</v>
      </c>
      <c r="AR575" s="5">
        <v>40.4</v>
      </c>
      <c r="AS575" s="5">
        <v>91.2</v>
      </c>
      <c r="AT575" s="5">
        <v>62</v>
      </c>
      <c r="AU575" s="5">
        <v>93</v>
      </c>
      <c r="AV575" s="5">
        <v>39.3</v>
      </c>
      <c r="AW575" s="5">
        <v>9.84</v>
      </c>
      <c r="AX575" s="5">
        <v>86</v>
      </c>
      <c r="AY575" s="5">
        <v>95.59</v>
      </c>
      <c r="AZ575" s="5">
        <v>9.3</v>
      </c>
      <c r="BA575" s="5">
        <v>3.97</v>
      </c>
      <c r="BB575" s="12" t="s">
        <v>76</v>
      </c>
      <c r="BC575" s="5">
        <v>4.22</v>
      </c>
      <c r="BD575" s="5">
        <v>133</v>
      </c>
      <c r="BE575" s="5">
        <v>0.83</v>
      </c>
      <c r="BF575" s="5">
        <v>2.28</v>
      </c>
      <c r="BG575" s="15">
        <v>37</v>
      </c>
      <c r="BH575" s="5">
        <v>79</v>
      </c>
      <c r="BI575" s="5">
        <v>79</v>
      </c>
      <c r="BJ575" s="5">
        <v>17</v>
      </c>
      <c r="BK575" s="5">
        <v>103</v>
      </c>
      <c r="BL575" s="5">
        <v>73</v>
      </c>
      <c r="BM575" s="5">
        <v>60</v>
      </c>
      <c r="BN575" s="5">
        <v>170</v>
      </c>
      <c r="BO575" s="5">
        <f t="shared" si="8"/>
        <v>20.7612456747405</v>
      </c>
      <c r="BP575" s="5" t="s">
        <v>323</v>
      </c>
      <c r="BQ575" s="5">
        <v>6.4</v>
      </c>
      <c r="BR575" s="5">
        <v>2900</v>
      </c>
    </row>
    <row r="576" s="1" customFormat="1" spans="1:70">
      <c r="A576" s="1">
        <v>3336713</v>
      </c>
      <c r="B576" s="1" t="s">
        <v>1597</v>
      </c>
      <c r="D576" s="4">
        <v>45041</v>
      </c>
      <c r="E576" s="4">
        <v>45044</v>
      </c>
      <c r="F576" s="7">
        <v>18282</v>
      </c>
      <c r="G576" s="1">
        <v>50</v>
      </c>
      <c r="H576" s="1">
        <v>8</v>
      </c>
      <c r="I576" s="1">
        <v>48</v>
      </c>
      <c r="J576" s="1">
        <v>8</v>
      </c>
      <c r="K576" s="1">
        <v>56</v>
      </c>
      <c r="L576" s="1">
        <v>32</v>
      </c>
      <c r="M576" s="1">
        <v>1.85</v>
      </c>
      <c r="N576" s="1">
        <v>15.9</v>
      </c>
      <c r="O576" s="7">
        <v>18282</v>
      </c>
      <c r="P576" s="4">
        <v>45041</v>
      </c>
      <c r="Q576" s="4">
        <v>45044</v>
      </c>
      <c r="R576" s="1" t="s">
        <v>73</v>
      </c>
      <c r="S576" s="1">
        <v>73</v>
      </c>
      <c r="T576" s="1" t="s">
        <v>1598</v>
      </c>
      <c r="Y576" s="1">
        <v>1</v>
      </c>
      <c r="Z576" s="1">
        <v>1</v>
      </c>
      <c r="AH576" s="1">
        <v>1</v>
      </c>
      <c r="AI576" s="1">
        <v>1</v>
      </c>
      <c r="AK576" s="1">
        <v>1</v>
      </c>
      <c r="AO576" s="7">
        <v>18282</v>
      </c>
      <c r="AP576" s="5">
        <v>5.9</v>
      </c>
      <c r="AQ576" s="5">
        <v>121</v>
      </c>
      <c r="AR576" s="5">
        <v>38.9</v>
      </c>
      <c r="AS576" s="5" t="s">
        <v>76</v>
      </c>
      <c r="AT576" s="5">
        <v>19</v>
      </c>
      <c r="AU576" s="5">
        <v>14</v>
      </c>
      <c r="AV576" s="5">
        <v>42.6</v>
      </c>
      <c r="AW576" s="5">
        <v>6.18</v>
      </c>
      <c r="AX576" s="5">
        <v>52</v>
      </c>
      <c r="AY576" s="5">
        <v>106.58</v>
      </c>
      <c r="AZ576" s="5" t="s">
        <v>75</v>
      </c>
      <c r="BA576" s="5">
        <v>5.08</v>
      </c>
      <c r="BB576" s="12" t="s">
        <v>76</v>
      </c>
      <c r="BC576" s="5">
        <v>4.27</v>
      </c>
      <c r="BD576" s="5">
        <v>121</v>
      </c>
      <c r="BE576" s="5">
        <v>1.14</v>
      </c>
      <c r="BF576" s="5">
        <v>2.94</v>
      </c>
      <c r="BG576" s="15">
        <v>36.5</v>
      </c>
      <c r="BH576" s="5">
        <v>85</v>
      </c>
      <c r="BI576" s="5">
        <v>85</v>
      </c>
      <c r="BJ576" s="5">
        <v>16</v>
      </c>
      <c r="BK576" s="5">
        <v>133</v>
      </c>
      <c r="BL576" s="5">
        <v>73</v>
      </c>
      <c r="BM576" s="5">
        <v>65</v>
      </c>
      <c r="BN576" s="5">
        <v>158</v>
      </c>
      <c r="BO576" s="5">
        <f t="shared" si="8"/>
        <v>26.0374939913475</v>
      </c>
      <c r="BP576" s="5" t="s">
        <v>121</v>
      </c>
      <c r="BQ576" s="5" t="s">
        <v>76</v>
      </c>
      <c r="BR576" s="5">
        <v>1053.8</v>
      </c>
    </row>
    <row r="577" s="1" customFormat="1" spans="1:70">
      <c r="A577" s="1">
        <v>3262287</v>
      </c>
      <c r="B577" s="1" t="s">
        <v>1599</v>
      </c>
      <c r="D577" s="4">
        <v>44931</v>
      </c>
      <c r="E577" s="4">
        <v>44940</v>
      </c>
      <c r="F577" s="7">
        <v>18288</v>
      </c>
      <c r="G577" s="1">
        <v>36</v>
      </c>
      <c r="H577" s="1">
        <v>9</v>
      </c>
      <c r="I577" s="1">
        <v>57</v>
      </c>
      <c r="J577" s="1">
        <v>9</v>
      </c>
      <c r="K577" s="1">
        <v>46</v>
      </c>
      <c r="L577" s="1">
        <v>23</v>
      </c>
      <c r="M577" s="1">
        <v>1.81</v>
      </c>
      <c r="N577" s="1">
        <v>17</v>
      </c>
      <c r="O577" s="7">
        <v>18288</v>
      </c>
      <c r="P577" s="4">
        <v>44931</v>
      </c>
      <c r="Q577" s="4">
        <v>44940</v>
      </c>
      <c r="R577" s="1" t="s">
        <v>73</v>
      </c>
      <c r="AO577" s="7">
        <v>18288</v>
      </c>
      <c r="AP577" s="5">
        <v>9.9</v>
      </c>
      <c r="AQ577" s="5">
        <v>138</v>
      </c>
      <c r="AR577" s="5">
        <v>43.9</v>
      </c>
      <c r="AS577" s="5">
        <v>3.3</v>
      </c>
      <c r="AT577" s="5">
        <v>92</v>
      </c>
      <c r="AU577" s="5" t="s">
        <v>171</v>
      </c>
      <c r="AV577" s="5">
        <v>35.6</v>
      </c>
      <c r="AW577" s="5">
        <v>9.82</v>
      </c>
      <c r="AX577" s="5">
        <v>92</v>
      </c>
      <c r="AY577" s="5">
        <v>58.24</v>
      </c>
      <c r="AZ577" s="5" t="s">
        <v>1600</v>
      </c>
      <c r="BA577" s="5">
        <v>4.32</v>
      </c>
      <c r="BB577" s="12" t="s">
        <v>76</v>
      </c>
      <c r="BC577" s="5">
        <v>3.88</v>
      </c>
      <c r="BD577" s="5">
        <v>138</v>
      </c>
      <c r="BE577" s="5" t="s">
        <v>76</v>
      </c>
      <c r="BF577" s="5" t="s">
        <v>76</v>
      </c>
      <c r="BG577" s="15">
        <v>38.6</v>
      </c>
      <c r="BH577" s="5">
        <v>89</v>
      </c>
      <c r="BI577" s="5">
        <v>89</v>
      </c>
      <c r="BJ577" s="5">
        <v>18</v>
      </c>
      <c r="BK577" s="5">
        <v>172</v>
      </c>
      <c r="BL577" s="5">
        <v>106</v>
      </c>
      <c r="BM577" s="5">
        <v>75</v>
      </c>
      <c r="BN577" s="5">
        <v>165</v>
      </c>
      <c r="BO577" s="5">
        <f t="shared" si="8"/>
        <v>27.5482093663912</v>
      </c>
      <c r="BP577" s="5" t="s">
        <v>85</v>
      </c>
      <c r="BQ577" s="5" t="s">
        <v>76</v>
      </c>
      <c r="BR577" s="5">
        <v>984</v>
      </c>
    </row>
    <row r="578" s="1" customFormat="1" spans="1:70">
      <c r="A578" s="1">
        <v>3489333</v>
      </c>
      <c r="B578" s="1" t="s">
        <v>1601</v>
      </c>
      <c r="D578" s="4">
        <v>45252</v>
      </c>
      <c r="E578" s="4">
        <v>45261</v>
      </c>
      <c r="F578" s="7">
        <v>18289</v>
      </c>
      <c r="G578" s="1">
        <v>49</v>
      </c>
      <c r="H578" s="1">
        <v>10</v>
      </c>
      <c r="I578" s="1">
        <v>61</v>
      </c>
      <c r="J578" s="1">
        <v>10</v>
      </c>
      <c r="K578" s="1">
        <v>43</v>
      </c>
      <c r="L578" s="1">
        <v>22</v>
      </c>
      <c r="M578" s="1">
        <v>1.42</v>
      </c>
      <c r="N578" s="1">
        <v>21.7</v>
      </c>
      <c r="O578" s="7">
        <v>18289</v>
      </c>
      <c r="P578" s="4">
        <v>45252</v>
      </c>
      <c r="Q578" s="4">
        <v>45261</v>
      </c>
      <c r="R578" s="1" t="s">
        <v>80</v>
      </c>
      <c r="AO578" s="7">
        <v>18289</v>
      </c>
      <c r="AP578" s="5">
        <v>7.7</v>
      </c>
      <c r="AQ578" s="5">
        <v>141</v>
      </c>
      <c r="AR578" s="5">
        <v>44.1</v>
      </c>
      <c r="AS578" s="5">
        <v>24.9</v>
      </c>
      <c r="AT578" s="5">
        <v>71</v>
      </c>
      <c r="AU578" s="5" t="s">
        <v>76</v>
      </c>
      <c r="AV578" s="5" t="s">
        <v>76</v>
      </c>
      <c r="AW578" s="5">
        <v>4.67</v>
      </c>
      <c r="AX578" s="5">
        <v>67</v>
      </c>
      <c r="AY578" s="5">
        <v>107.21</v>
      </c>
      <c r="AZ578" s="5" t="s">
        <v>75</v>
      </c>
      <c r="BA578" s="5">
        <v>2.81</v>
      </c>
      <c r="BB578" s="12" t="s">
        <v>76</v>
      </c>
      <c r="BC578" s="5">
        <v>3.89</v>
      </c>
      <c r="BD578" s="5">
        <v>141</v>
      </c>
      <c r="BE578" s="5">
        <v>0.72</v>
      </c>
      <c r="BF578" s="5">
        <v>1.59</v>
      </c>
      <c r="BG578" s="15">
        <v>36.2</v>
      </c>
      <c r="BH578" s="5">
        <v>63</v>
      </c>
      <c r="BI578" s="5">
        <v>63</v>
      </c>
      <c r="BJ578" s="5">
        <v>18</v>
      </c>
      <c r="BK578" s="5">
        <v>134</v>
      </c>
      <c r="BL578" s="5">
        <v>76</v>
      </c>
      <c r="BM578" s="5">
        <v>95</v>
      </c>
      <c r="BN578" s="5">
        <v>178</v>
      </c>
      <c r="BO578" s="5">
        <f t="shared" si="8"/>
        <v>29.9835879308168</v>
      </c>
      <c r="BP578" s="5" t="s">
        <v>121</v>
      </c>
      <c r="BQ578" s="5">
        <v>5.4</v>
      </c>
      <c r="BR578" s="5">
        <v>2641</v>
      </c>
    </row>
    <row r="579" s="1" customFormat="1" spans="1:70">
      <c r="A579" s="1" t="s">
        <v>1602</v>
      </c>
      <c r="B579" s="1" t="s">
        <v>1603</v>
      </c>
      <c r="D579" s="4">
        <v>45007</v>
      </c>
      <c r="E579" s="4">
        <v>45030</v>
      </c>
      <c r="F579" s="7">
        <v>18290</v>
      </c>
      <c r="G579" s="1">
        <v>36</v>
      </c>
      <c r="H579" s="1">
        <v>13</v>
      </c>
      <c r="I579" s="1">
        <v>44</v>
      </c>
      <c r="J579" s="1">
        <v>13</v>
      </c>
      <c r="K579" s="1">
        <v>66</v>
      </c>
      <c r="L579" s="1">
        <v>36</v>
      </c>
      <c r="M579" s="1">
        <v>0.62</v>
      </c>
      <c r="N579" s="1">
        <v>9.9</v>
      </c>
      <c r="O579" s="7">
        <v>18290</v>
      </c>
      <c r="P579" s="4">
        <v>45007</v>
      </c>
      <c r="Q579" s="4">
        <v>45030</v>
      </c>
      <c r="R579" s="1" t="s">
        <v>80</v>
      </c>
      <c r="AO579" s="7">
        <v>18290</v>
      </c>
      <c r="AP579" s="5" t="s">
        <v>1604</v>
      </c>
      <c r="AQ579" s="5" t="s">
        <v>89</v>
      </c>
      <c r="AR579" s="5" t="s">
        <v>1605</v>
      </c>
      <c r="AS579" s="5" t="s">
        <v>1606</v>
      </c>
      <c r="AT579" s="5" t="s">
        <v>658</v>
      </c>
      <c r="AU579" s="5" t="s">
        <v>93</v>
      </c>
      <c r="AV579" s="5" t="s">
        <v>181</v>
      </c>
      <c r="AW579" s="5" t="s">
        <v>1607</v>
      </c>
      <c r="AX579" s="5" t="s">
        <v>533</v>
      </c>
      <c r="AY579" s="5" t="s">
        <v>1608</v>
      </c>
      <c r="AZ579" s="5" t="s">
        <v>75</v>
      </c>
      <c r="BA579" s="5" t="s">
        <v>1609</v>
      </c>
      <c r="BB579" s="12" t="s">
        <v>76</v>
      </c>
      <c r="BC579" s="5" t="s">
        <v>1341</v>
      </c>
      <c r="BD579" s="5" t="s">
        <v>89</v>
      </c>
      <c r="BE579" s="5" t="s">
        <v>1610</v>
      </c>
      <c r="BF579" s="5" t="s">
        <v>1611</v>
      </c>
      <c r="BG579" s="15">
        <v>36.7</v>
      </c>
      <c r="BH579" s="5" t="s">
        <v>243</v>
      </c>
      <c r="BI579" s="5" t="s">
        <v>243</v>
      </c>
      <c r="BJ579" s="5" t="s">
        <v>769</v>
      </c>
      <c r="BK579" s="5" t="s">
        <v>1517</v>
      </c>
      <c r="BL579" s="5" t="s">
        <v>658</v>
      </c>
      <c r="BM579" s="5" t="s">
        <v>468</v>
      </c>
      <c r="BN579" s="5">
        <v>172</v>
      </c>
      <c r="BO579" s="5">
        <f t="shared" ref="BO579:BO642" si="9">BM579/(BN579/100)^2</f>
        <v>21.9713358572201</v>
      </c>
      <c r="BP579" s="5" t="s">
        <v>1415</v>
      </c>
      <c r="BQ579" s="5" t="s">
        <v>76</v>
      </c>
      <c r="BR579" s="5" t="s">
        <v>118</v>
      </c>
    </row>
    <row r="580" s="1" customFormat="1" spans="1:70">
      <c r="A580" s="1">
        <v>3495772</v>
      </c>
      <c r="B580" s="1" t="s">
        <v>1612</v>
      </c>
      <c r="D580" s="4">
        <v>45261</v>
      </c>
      <c r="E580" s="4">
        <v>45271</v>
      </c>
      <c r="F580" s="7">
        <v>18295</v>
      </c>
      <c r="G580" s="1">
        <v>37</v>
      </c>
      <c r="H580" s="1">
        <v>8</v>
      </c>
      <c r="I580" s="1">
        <v>41</v>
      </c>
      <c r="J580" s="1">
        <v>8</v>
      </c>
      <c r="K580" s="1">
        <v>60</v>
      </c>
      <c r="L580" s="1">
        <v>32</v>
      </c>
      <c r="M580" s="1">
        <v>1.79</v>
      </c>
      <c r="O580" s="7">
        <v>18295</v>
      </c>
      <c r="P580" s="4">
        <v>45261</v>
      </c>
      <c r="Q580" s="4">
        <v>45271</v>
      </c>
      <c r="R580" s="1" t="s">
        <v>73</v>
      </c>
      <c r="AO580" s="7">
        <v>18295</v>
      </c>
      <c r="AP580" s="5">
        <v>9.1</v>
      </c>
      <c r="AQ580" s="5">
        <v>96</v>
      </c>
      <c r="AR580" s="5">
        <v>36.8</v>
      </c>
      <c r="AS580" s="5">
        <v>88.2</v>
      </c>
      <c r="AT580" s="5">
        <v>9</v>
      </c>
      <c r="AU580" s="5" t="s">
        <v>171</v>
      </c>
      <c r="AV580" s="5">
        <v>39</v>
      </c>
      <c r="AW580" s="5">
        <v>8.07</v>
      </c>
      <c r="AX580" s="5">
        <v>77</v>
      </c>
      <c r="AY580" s="5" t="s">
        <v>125</v>
      </c>
      <c r="AZ580" s="5">
        <v>9.6</v>
      </c>
      <c r="BA580" s="5" t="s">
        <v>76</v>
      </c>
      <c r="BB580" s="12" t="s">
        <v>76</v>
      </c>
      <c r="BC580" s="5">
        <v>4.77</v>
      </c>
      <c r="BD580" s="5">
        <v>96</v>
      </c>
      <c r="BE580" s="5" t="s">
        <v>76</v>
      </c>
      <c r="BF580" s="5" t="s">
        <v>76</v>
      </c>
      <c r="BG580" s="5" t="s">
        <v>76</v>
      </c>
      <c r="BH580" s="5" t="s">
        <v>76</v>
      </c>
      <c r="BI580" s="5" t="s">
        <v>76</v>
      </c>
      <c r="BJ580" s="5" t="s">
        <v>76</v>
      </c>
      <c r="BK580" s="5" t="s">
        <v>76</v>
      </c>
      <c r="BL580" s="5" t="s">
        <v>76</v>
      </c>
      <c r="BM580" s="5" t="s">
        <v>76</v>
      </c>
      <c r="BN580" s="5" t="s">
        <v>76</v>
      </c>
      <c r="BO580" s="5" t="e">
        <f t="shared" si="9"/>
        <v>#VALUE!</v>
      </c>
      <c r="BP580" s="5" t="s">
        <v>174</v>
      </c>
      <c r="BQ580" s="5" t="s">
        <v>76</v>
      </c>
      <c r="BR580" s="5">
        <v>5459</v>
      </c>
    </row>
    <row r="581" s="1" customFormat="1" spans="1:70">
      <c r="A581" s="1">
        <v>3311151</v>
      </c>
      <c r="B581" s="1" t="s">
        <v>1613</v>
      </c>
      <c r="D581" s="4">
        <v>45005</v>
      </c>
      <c r="E581" s="4">
        <v>45024</v>
      </c>
      <c r="F581" s="7">
        <v>18298</v>
      </c>
      <c r="G581" s="1">
        <v>37</v>
      </c>
      <c r="H581" s="1">
        <v>9</v>
      </c>
      <c r="I581" s="1">
        <v>51</v>
      </c>
      <c r="J581" s="1">
        <v>9</v>
      </c>
      <c r="K581" s="1">
        <v>65</v>
      </c>
      <c r="L581" s="1">
        <v>35</v>
      </c>
      <c r="M581" s="1">
        <v>2.04</v>
      </c>
      <c r="N581" s="1">
        <v>9.7</v>
      </c>
      <c r="O581" s="7">
        <v>18298</v>
      </c>
      <c r="P581" s="4">
        <v>45005</v>
      </c>
      <c r="Q581" s="4">
        <v>45024</v>
      </c>
      <c r="R581" s="1" t="s">
        <v>80</v>
      </c>
      <c r="AO581" s="7">
        <v>18298</v>
      </c>
      <c r="AP581" s="5">
        <v>9.8</v>
      </c>
      <c r="AQ581" s="5">
        <v>98</v>
      </c>
      <c r="AR581" s="5">
        <v>37.9</v>
      </c>
      <c r="AS581" s="5">
        <v>9</v>
      </c>
      <c r="AT581" s="5">
        <v>83</v>
      </c>
      <c r="AU581" s="5">
        <v>41</v>
      </c>
      <c r="AV581" s="5">
        <v>37</v>
      </c>
      <c r="AW581" s="5">
        <v>9.01</v>
      </c>
      <c r="AX581" s="5">
        <v>61</v>
      </c>
      <c r="AY581" s="5" t="s">
        <v>125</v>
      </c>
      <c r="AZ581" s="5">
        <v>9.7</v>
      </c>
      <c r="BA581" s="5" t="s">
        <v>76</v>
      </c>
      <c r="BB581" s="12" t="s">
        <v>76</v>
      </c>
      <c r="BC581" s="5">
        <v>4.55</v>
      </c>
      <c r="BD581" s="5">
        <v>98</v>
      </c>
      <c r="BE581" s="5" t="s">
        <v>76</v>
      </c>
      <c r="BF581" s="5" t="s">
        <v>76</v>
      </c>
      <c r="BG581" s="15">
        <v>36.8</v>
      </c>
      <c r="BH581" s="5">
        <v>53</v>
      </c>
      <c r="BI581" s="5">
        <v>53</v>
      </c>
      <c r="BJ581" s="5">
        <v>20</v>
      </c>
      <c r="BK581" s="5">
        <v>134</v>
      </c>
      <c r="BL581" s="5">
        <v>78</v>
      </c>
      <c r="BM581" s="5">
        <v>80</v>
      </c>
      <c r="BN581" s="5">
        <v>165</v>
      </c>
      <c r="BO581" s="5">
        <f t="shared" si="9"/>
        <v>29.3847566574839</v>
      </c>
      <c r="BP581" s="5" t="s">
        <v>85</v>
      </c>
      <c r="BQ581" s="5" t="s">
        <v>76</v>
      </c>
      <c r="BR581" s="5">
        <v>908</v>
      </c>
    </row>
    <row r="582" s="1" customFormat="1" spans="1:70">
      <c r="A582" s="1">
        <v>3315356</v>
      </c>
      <c r="B582" s="1" t="s">
        <v>1614</v>
      </c>
      <c r="D582" s="4">
        <v>45012</v>
      </c>
      <c r="E582" s="4">
        <v>45020</v>
      </c>
      <c r="F582" s="7">
        <v>18304</v>
      </c>
      <c r="G582" s="1">
        <v>33</v>
      </c>
      <c r="H582" s="1">
        <v>10</v>
      </c>
      <c r="I582" s="1">
        <v>47</v>
      </c>
      <c r="J582" s="1">
        <v>9</v>
      </c>
      <c r="K582" s="1">
        <v>52</v>
      </c>
      <c r="L582" s="1">
        <v>27</v>
      </c>
      <c r="M582" s="1">
        <v>1.24</v>
      </c>
      <c r="N582" s="1">
        <v>10.2</v>
      </c>
      <c r="O582" s="7">
        <v>18304</v>
      </c>
      <c r="P582" s="4">
        <v>45012</v>
      </c>
      <c r="Q582" s="4">
        <v>45020</v>
      </c>
      <c r="R582" s="1" t="s">
        <v>80</v>
      </c>
      <c r="AO582" s="7">
        <v>18304</v>
      </c>
      <c r="AP582" s="5">
        <v>9.5</v>
      </c>
      <c r="AQ582" s="5">
        <v>87</v>
      </c>
      <c r="AR582" s="5">
        <v>36.4</v>
      </c>
      <c r="AS582" s="5">
        <v>76</v>
      </c>
      <c r="AT582" s="5">
        <v>23</v>
      </c>
      <c r="AU582" s="5">
        <v>28</v>
      </c>
      <c r="AV582" s="5">
        <v>42</v>
      </c>
      <c r="AW582" s="5">
        <v>18.78</v>
      </c>
      <c r="AX582" s="5">
        <v>171</v>
      </c>
      <c r="AY582" s="5">
        <v>52.2</v>
      </c>
      <c r="AZ582" s="5">
        <v>8.48</v>
      </c>
      <c r="BA582" s="5">
        <v>2.98</v>
      </c>
      <c r="BB582" s="12" t="s">
        <v>76</v>
      </c>
      <c r="BC582" s="5" t="s">
        <v>4</v>
      </c>
      <c r="BD582" s="5">
        <v>87</v>
      </c>
      <c r="BE582" s="5">
        <v>1.02</v>
      </c>
      <c r="BF582" s="5">
        <v>0.99</v>
      </c>
      <c r="BG582" s="15">
        <v>36.6</v>
      </c>
      <c r="BH582" s="5">
        <v>106</v>
      </c>
      <c r="BI582" s="5">
        <v>106</v>
      </c>
      <c r="BJ582" s="5">
        <v>20</v>
      </c>
      <c r="BK582" s="5">
        <v>140</v>
      </c>
      <c r="BL582" s="5">
        <v>79</v>
      </c>
      <c r="BM582" s="5">
        <v>58</v>
      </c>
      <c r="BN582" s="5">
        <v>175</v>
      </c>
      <c r="BO582" s="5">
        <f t="shared" si="9"/>
        <v>18.9387755102041</v>
      </c>
      <c r="BP582" s="5" t="s">
        <v>300</v>
      </c>
      <c r="BQ582" s="5">
        <v>6.3</v>
      </c>
      <c r="BR582" s="5">
        <v>7514</v>
      </c>
    </row>
    <row r="583" s="1" customFormat="1" spans="1:70">
      <c r="A583" s="1">
        <v>3258048</v>
      </c>
      <c r="B583" s="1" t="s">
        <v>1615</v>
      </c>
      <c r="D583" s="4">
        <v>44924</v>
      </c>
      <c r="E583" s="4">
        <v>44937</v>
      </c>
      <c r="F583" s="7">
        <v>18307</v>
      </c>
      <c r="G583" s="1">
        <v>37</v>
      </c>
      <c r="H583" s="1">
        <v>12</v>
      </c>
      <c r="I583" s="1">
        <v>53</v>
      </c>
      <c r="J583" s="1">
        <v>12</v>
      </c>
      <c r="K583" s="1">
        <v>50</v>
      </c>
      <c r="L583" s="1">
        <v>26</v>
      </c>
      <c r="M583" s="1">
        <v>0.76</v>
      </c>
      <c r="N583" s="1">
        <v>7.1</v>
      </c>
      <c r="O583" s="7">
        <v>18307</v>
      </c>
      <c r="P583" s="4">
        <v>44924</v>
      </c>
      <c r="Q583" s="4">
        <v>44937</v>
      </c>
      <c r="R583" s="1" t="s">
        <v>80</v>
      </c>
      <c r="AO583" s="7">
        <v>18307</v>
      </c>
      <c r="AP583" s="5">
        <v>8.9</v>
      </c>
      <c r="AQ583" s="5">
        <v>110</v>
      </c>
      <c r="AR583" s="5">
        <v>35.7</v>
      </c>
      <c r="AS583" s="5">
        <v>34.7</v>
      </c>
      <c r="AT583" s="5">
        <v>7</v>
      </c>
      <c r="AU583" s="5">
        <v>9</v>
      </c>
      <c r="AV583" s="5">
        <v>21.4</v>
      </c>
      <c r="AW583" s="5">
        <v>7.79</v>
      </c>
      <c r="AX583" s="5">
        <v>72</v>
      </c>
      <c r="AY583" s="5">
        <v>98.94</v>
      </c>
      <c r="AZ583" s="5">
        <v>5.87</v>
      </c>
      <c r="BA583" s="5" t="s">
        <v>76</v>
      </c>
      <c r="BB583" s="12" t="s">
        <v>76</v>
      </c>
      <c r="BC583" s="5">
        <v>4.05</v>
      </c>
      <c r="BD583" s="5">
        <v>110</v>
      </c>
      <c r="BE583" s="5" t="s">
        <v>76</v>
      </c>
      <c r="BF583" s="5" t="s">
        <v>76</v>
      </c>
      <c r="BG583" s="15">
        <v>36.9</v>
      </c>
      <c r="BH583" s="5">
        <v>67</v>
      </c>
      <c r="BI583" s="5">
        <v>67</v>
      </c>
      <c r="BJ583" s="5">
        <v>20</v>
      </c>
      <c r="BK583" s="5">
        <v>130</v>
      </c>
      <c r="BL583" s="5">
        <v>80</v>
      </c>
      <c r="BM583" s="5">
        <v>80</v>
      </c>
      <c r="BN583" s="5">
        <v>178</v>
      </c>
      <c r="BO583" s="5">
        <f t="shared" si="9"/>
        <v>25.2493372048984</v>
      </c>
      <c r="BP583" s="5" t="s">
        <v>107</v>
      </c>
      <c r="BQ583" s="5">
        <v>6.3</v>
      </c>
      <c r="BR583" s="5">
        <v>9181</v>
      </c>
    </row>
    <row r="584" s="1" customFormat="1" spans="1:70">
      <c r="A584" s="1">
        <v>3501052</v>
      </c>
      <c r="B584" s="1" t="s">
        <v>1616</v>
      </c>
      <c r="D584" s="4">
        <v>45268</v>
      </c>
      <c r="E584" s="4">
        <v>45280</v>
      </c>
      <c r="F584" s="7">
        <v>18312</v>
      </c>
      <c r="G584" s="1">
        <v>34</v>
      </c>
      <c r="H584" s="1">
        <v>10</v>
      </c>
      <c r="I584" s="1">
        <v>53</v>
      </c>
      <c r="J584" s="1">
        <v>10</v>
      </c>
      <c r="K584" s="1">
        <v>57</v>
      </c>
      <c r="L584" s="1">
        <v>30</v>
      </c>
      <c r="M584" s="1">
        <v>0.73</v>
      </c>
      <c r="N584" s="1">
        <v>11.5</v>
      </c>
      <c r="O584" s="7">
        <v>18312</v>
      </c>
      <c r="P584" s="4">
        <v>45268</v>
      </c>
      <c r="Q584" s="4">
        <v>45280</v>
      </c>
      <c r="R584" s="1" t="s">
        <v>80</v>
      </c>
      <c r="AO584" s="7">
        <v>18312</v>
      </c>
      <c r="AP584" s="5">
        <v>5.3</v>
      </c>
      <c r="AQ584" s="5">
        <v>99</v>
      </c>
      <c r="AR584" s="5">
        <v>31.5</v>
      </c>
      <c r="AS584" s="5">
        <v>8</v>
      </c>
      <c r="AT584" s="5">
        <v>29</v>
      </c>
      <c r="AU584" s="5">
        <v>23</v>
      </c>
      <c r="AV584" s="5">
        <v>22.2</v>
      </c>
      <c r="AW584" s="5">
        <v>9.25</v>
      </c>
      <c r="AX584" s="5">
        <v>95</v>
      </c>
      <c r="AY584" s="5">
        <v>79.31</v>
      </c>
      <c r="AZ584" s="5" t="s">
        <v>75</v>
      </c>
      <c r="BA584" s="5">
        <v>5.46</v>
      </c>
      <c r="BB584" s="12" t="s">
        <v>76</v>
      </c>
      <c r="BC584" s="5" t="s">
        <v>4</v>
      </c>
      <c r="BD584" s="5">
        <v>99</v>
      </c>
      <c r="BE584" s="5" t="s">
        <v>76</v>
      </c>
      <c r="BF584" s="5" t="s">
        <v>76</v>
      </c>
      <c r="BG584" s="15">
        <v>36</v>
      </c>
      <c r="BH584" s="5">
        <v>89</v>
      </c>
      <c r="BI584" s="5">
        <v>89</v>
      </c>
      <c r="BJ584" s="5">
        <v>20</v>
      </c>
      <c r="BK584" s="5">
        <v>201</v>
      </c>
      <c r="BL584" s="5">
        <v>93</v>
      </c>
      <c r="BM584" s="5">
        <v>75</v>
      </c>
      <c r="BN584" s="5">
        <v>160</v>
      </c>
      <c r="BO584" s="5">
        <f t="shared" si="9"/>
        <v>29.296875</v>
      </c>
      <c r="BP584" s="5" t="s">
        <v>300</v>
      </c>
      <c r="BQ584" s="5">
        <v>6.3</v>
      </c>
      <c r="BR584" s="5">
        <v>2283</v>
      </c>
    </row>
    <row r="585" s="1" customFormat="1" spans="1:70">
      <c r="A585" s="1">
        <v>3269053</v>
      </c>
      <c r="B585" s="1" t="s">
        <v>1617</v>
      </c>
      <c r="D585" s="4">
        <v>44946</v>
      </c>
      <c r="E585" s="4">
        <v>44956</v>
      </c>
      <c r="F585" s="7">
        <v>18314</v>
      </c>
      <c r="G585" s="1">
        <v>34</v>
      </c>
      <c r="H585" s="1">
        <v>9</v>
      </c>
      <c r="I585" s="1">
        <v>43</v>
      </c>
      <c r="J585" s="1">
        <v>10</v>
      </c>
      <c r="K585" s="1">
        <v>66</v>
      </c>
      <c r="L585" s="1">
        <v>36</v>
      </c>
      <c r="M585" s="1">
        <v>0.79</v>
      </c>
      <c r="N585" s="1">
        <v>10.2</v>
      </c>
      <c r="O585" s="7">
        <v>18314</v>
      </c>
      <c r="P585" s="4">
        <v>44946</v>
      </c>
      <c r="Q585" s="4">
        <v>44956</v>
      </c>
      <c r="R585" s="1" t="s">
        <v>73</v>
      </c>
      <c r="S585" s="1">
        <v>72</v>
      </c>
      <c r="T585" s="1" t="s">
        <v>1618</v>
      </c>
      <c r="V585" s="1">
        <v>1</v>
      </c>
      <c r="AA585" s="1">
        <v>1</v>
      </c>
      <c r="AC585" s="1">
        <v>1</v>
      </c>
      <c r="AM585" s="1">
        <v>1</v>
      </c>
      <c r="AN585" s="1">
        <v>1</v>
      </c>
      <c r="AO585" s="7">
        <v>18314</v>
      </c>
      <c r="AP585" s="5">
        <v>6</v>
      </c>
      <c r="AQ585" s="5">
        <v>114</v>
      </c>
      <c r="AR585" s="5">
        <v>36.3</v>
      </c>
      <c r="AS585" s="5">
        <v>3.5</v>
      </c>
      <c r="AT585" s="5">
        <v>50</v>
      </c>
      <c r="AU585" s="5">
        <v>7</v>
      </c>
      <c r="AV585" s="5">
        <v>3.4</v>
      </c>
      <c r="AW585" s="5">
        <v>8.91</v>
      </c>
      <c r="AX585" s="5">
        <v>82</v>
      </c>
      <c r="AY585" s="5">
        <v>70.04</v>
      </c>
      <c r="AZ585" s="5">
        <v>4.09</v>
      </c>
      <c r="BA585" s="5">
        <v>6.88</v>
      </c>
      <c r="BB585" s="12" t="s">
        <v>76</v>
      </c>
      <c r="BC585" s="5" t="s">
        <v>4</v>
      </c>
      <c r="BD585" s="5">
        <v>114</v>
      </c>
      <c r="BE585" s="5">
        <v>0.97</v>
      </c>
      <c r="BF585" s="5">
        <v>5.19</v>
      </c>
      <c r="BG585" s="15">
        <v>37.5</v>
      </c>
      <c r="BH585" s="5" t="s">
        <v>76</v>
      </c>
      <c r="BI585" s="5">
        <v>83</v>
      </c>
      <c r="BJ585" s="5">
        <v>16</v>
      </c>
      <c r="BK585" s="5">
        <v>161</v>
      </c>
      <c r="BL585" s="5">
        <v>71</v>
      </c>
      <c r="BM585" s="5">
        <v>66</v>
      </c>
      <c r="BN585" s="5">
        <v>150</v>
      </c>
      <c r="BO585" s="5">
        <f t="shared" si="9"/>
        <v>29.3333333333333</v>
      </c>
      <c r="BP585" s="5" t="s">
        <v>300</v>
      </c>
      <c r="BQ585" s="5">
        <v>5.5</v>
      </c>
      <c r="BR585" s="5">
        <v>2446</v>
      </c>
    </row>
    <row r="586" s="1" customFormat="1" spans="1:70">
      <c r="A586" s="1">
        <v>3289101</v>
      </c>
      <c r="B586" s="1" t="s">
        <v>1619</v>
      </c>
      <c r="D586" s="4">
        <v>44976</v>
      </c>
      <c r="E586" s="4">
        <v>44983</v>
      </c>
      <c r="F586" s="7">
        <v>18323</v>
      </c>
      <c r="G586" s="1">
        <v>55</v>
      </c>
      <c r="H586" s="1">
        <v>10</v>
      </c>
      <c r="I586" s="1">
        <v>67</v>
      </c>
      <c r="J586" s="1">
        <v>10</v>
      </c>
      <c r="K586" s="1">
        <v>28</v>
      </c>
      <c r="L586" s="1">
        <v>13</v>
      </c>
      <c r="M586" s="1">
        <v>2.05</v>
      </c>
      <c r="N586" s="1">
        <v>12.9</v>
      </c>
      <c r="O586" s="7">
        <v>18323</v>
      </c>
      <c r="P586" s="4">
        <v>44976</v>
      </c>
      <c r="Q586" s="4">
        <v>44983</v>
      </c>
      <c r="R586" s="1" t="s">
        <v>80</v>
      </c>
      <c r="AO586" s="7">
        <v>18323</v>
      </c>
      <c r="AP586" s="5">
        <v>9.7</v>
      </c>
      <c r="AQ586" s="5">
        <v>148</v>
      </c>
      <c r="AR586" s="5">
        <v>46.9</v>
      </c>
      <c r="AS586" s="5" t="s">
        <v>76</v>
      </c>
      <c r="AT586" s="5">
        <v>91</v>
      </c>
      <c r="AU586" s="5">
        <v>995</v>
      </c>
      <c r="AV586" s="5">
        <v>36.7</v>
      </c>
      <c r="AW586" s="5">
        <v>8.27</v>
      </c>
      <c r="AX586" s="5">
        <v>72</v>
      </c>
      <c r="AY586" s="5" t="s">
        <v>125</v>
      </c>
      <c r="AZ586" s="5" t="s">
        <v>75</v>
      </c>
      <c r="BA586" s="5" t="s">
        <v>76</v>
      </c>
      <c r="BB586" s="12" t="s">
        <v>76</v>
      </c>
      <c r="BC586" s="5">
        <v>4.22</v>
      </c>
      <c r="BD586" s="5">
        <v>148</v>
      </c>
      <c r="BE586" s="5" t="s">
        <v>76</v>
      </c>
      <c r="BF586" s="5" t="s">
        <v>76</v>
      </c>
      <c r="BG586" s="15">
        <v>36.8</v>
      </c>
      <c r="BH586" s="5" t="s">
        <v>76</v>
      </c>
      <c r="BI586" s="5">
        <v>89</v>
      </c>
      <c r="BJ586" s="5">
        <v>22</v>
      </c>
      <c r="BK586" s="5">
        <v>111</v>
      </c>
      <c r="BL586" s="5">
        <v>71</v>
      </c>
      <c r="BM586" s="5">
        <v>65</v>
      </c>
      <c r="BN586" s="5">
        <v>175</v>
      </c>
      <c r="BO586" s="5">
        <f t="shared" si="9"/>
        <v>21.2244897959184</v>
      </c>
      <c r="BP586" s="5" t="s">
        <v>85</v>
      </c>
      <c r="BQ586" s="5" t="s">
        <v>76</v>
      </c>
      <c r="BR586" s="5">
        <v>22519</v>
      </c>
    </row>
    <row r="587" s="1" customFormat="1" spans="1:70">
      <c r="A587" s="1" t="s">
        <v>1620</v>
      </c>
      <c r="B587" s="1" t="s">
        <v>1621</v>
      </c>
      <c r="D587" s="4">
        <v>44885</v>
      </c>
      <c r="E587" s="4">
        <v>44896</v>
      </c>
      <c r="F587" s="7">
        <v>18326</v>
      </c>
      <c r="G587" s="1">
        <v>43</v>
      </c>
      <c r="H587" s="1">
        <v>9</v>
      </c>
      <c r="I587" s="1">
        <v>58</v>
      </c>
      <c r="J587" s="1">
        <v>9</v>
      </c>
      <c r="K587" s="1">
        <v>41</v>
      </c>
      <c r="L587" s="1">
        <v>20</v>
      </c>
      <c r="M587" s="1">
        <v>0.69</v>
      </c>
      <c r="N587" s="1">
        <v>12.6</v>
      </c>
      <c r="O587" s="7">
        <v>18326</v>
      </c>
      <c r="P587" s="4">
        <v>44885</v>
      </c>
      <c r="Q587" s="4">
        <v>44896</v>
      </c>
      <c r="R587" s="1" t="s">
        <v>73</v>
      </c>
      <c r="AO587" s="7">
        <v>18326</v>
      </c>
      <c r="AP587" s="5" t="s">
        <v>807</v>
      </c>
      <c r="AQ587" s="5" t="s">
        <v>207</v>
      </c>
      <c r="AR587" s="5" t="s">
        <v>1622</v>
      </c>
      <c r="AS587" s="5" t="s">
        <v>1623</v>
      </c>
      <c r="AT587" s="5" t="s">
        <v>225</v>
      </c>
      <c r="AU587" s="5" t="s">
        <v>93</v>
      </c>
      <c r="AV587" s="5" t="s">
        <v>917</v>
      </c>
      <c r="AW587" s="5" t="s">
        <v>1624</v>
      </c>
      <c r="AX587" s="5" t="s">
        <v>186</v>
      </c>
      <c r="AY587" s="5" t="s">
        <v>76</v>
      </c>
      <c r="AZ587" s="5" t="s">
        <v>75</v>
      </c>
      <c r="BA587" s="5" t="s">
        <v>76</v>
      </c>
      <c r="BB587" s="12" t="s">
        <v>76</v>
      </c>
      <c r="BC587" s="5" t="s">
        <v>1032</v>
      </c>
      <c r="BD587" s="5" t="s">
        <v>207</v>
      </c>
      <c r="BE587" s="5" t="s">
        <v>76</v>
      </c>
      <c r="BF587" s="5" t="s">
        <v>76</v>
      </c>
      <c r="BG587" s="15">
        <v>36.5</v>
      </c>
      <c r="BH587" s="5" t="s">
        <v>140</v>
      </c>
      <c r="BI587" s="5" t="s">
        <v>76</v>
      </c>
      <c r="BJ587" s="5" t="s">
        <v>101</v>
      </c>
      <c r="BK587" s="5" t="s">
        <v>284</v>
      </c>
      <c r="BL587" s="5" t="s">
        <v>140</v>
      </c>
      <c r="BM587" s="5" t="s">
        <v>215</v>
      </c>
      <c r="BN587" s="5">
        <v>155</v>
      </c>
      <c r="BO587" s="5">
        <f t="shared" si="9"/>
        <v>24.9739854318418</v>
      </c>
      <c r="BP587" s="5" t="s">
        <v>412</v>
      </c>
      <c r="BQ587" s="5" t="s">
        <v>76</v>
      </c>
      <c r="BR587" s="5">
        <v>3578</v>
      </c>
    </row>
    <row r="588" s="1" customFormat="1" spans="1:70">
      <c r="A588" s="1">
        <v>3312463</v>
      </c>
      <c r="B588" s="1" t="s">
        <v>1625</v>
      </c>
      <c r="D588" s="4">
        <v>45007</v>
      </c>
      <c r="E588" s="4">
        <v>45024</v>
      </c>
      <c r="F588" s="7">
        <v>18359</v>
      </c>
      <c r="G588" s="1">
        <v>40</v>
      </c>
      <c r="H588" s="1">
        <v>9</v>
      </c>
      <c r="I588" s="1">
        <v>47</v>
      </c>
      <c r="J588" s="1">
        <v>9</v>
      </c>
      <c r="K588" s="1">
        <v>62</v>
      </c>
      <c r="L588" s="1">
        <v>33</v>
      </c>
      <c r="N588" s="1">
        <v>11.1</v>
      </c>
      <c r="O588" s="7">
        <v>18359</v>
      </c>
      <c r="P588" s="4">
        <v>45007</v>
      </c>
      <c r="Q588" s="4">
        <v>45024</v>
      </c>
      <c r="R588" s="1" t="s">
        <v>73</v>
      </c>
      <c r="AO588" s="7">
        <v>18359</v>
      </c>
      <c r="AP588" s="5">
        <v>9</v>
      </c>
      <c r="AQ588" s="5">
        <v>144</v>
      </c>
      <c r="AR588" s="5">
        <v>45.3</v>
      </c>
      <c r="AS588" s="5">
        <v>21.8</v>
      </c>
      <c r="AT588" s="5">
        <v>34</v>
      </c>
      <c r="AU588" s="5">
        <v>28</v>
      </c>
      <c r="AV588" s="5">
        <v>42</v>
      </c>
      <c r="AW588" s="5">
        <v>6.08</v>
      </c>
      <c r="AX588" s="5">
        <v>48</v>
      </c>
      <c r="AY588" s="5" t="s">
        <v>125</v>
      </c>
      <c r="AZ588" s="5">
        <v>9.36</v>
      </c>
      <c r="BA588" s="5">
        <v>5.1</v>
      </c>
      <c r="BB588" s="12" t="s">
        <v>76</v>
      </c>
      <c r="BC588" s="5">
        <v>4.73</v>
      </c>
      <c r="BD588" s="5">
        <v>144</v>
      </c>
      <c r="BE588" s="5">
        <v>1.1</v>
      </c>
      <c r="BF588" s="5">
        <v>3.89</v>
      </c>
      <c r="BG588" s="15">
        <v>36.6</v>
      </c>
      <c r="BH588" s="5">
        <v>60</v>
      </c>
      <c r="BI588" s="5">
        <v>86</v>
      </c>
      <c r="BJ588" s="5">
        <v>16</v>
      </c>
      <c r="BK588" s="5">
        <v>176</v>
      </c>
      <c r="BL588" s="5">
        <v>105</v>
      </c>
      <c r="BM588" s="5">
        <v>80</v>
      </c>
      <c r="BN588" s="5">
        <v>167</v>
      </c>
      <c r="BO588" s="5">
        <f t="shared" si="9"/>
        <v>28.6851446806985</v>
      </c>
      <c r="BP588" s="5" t="s">
        <v>457</v>
      </c>
      <c r="BQ588" s="5">
        <v>6.6</v>
      </c>
      <c r="BR588" s="5">
        <v>981</v>
      </c>
    </row>
    <row r="589" s="1" customFormat="1" spans="1:70">
      <c r="A589" s="1">
        <v>3333109</v>
      </c>
      <c r="B589" s="1" t="s">
        <v>1626</v>
      </c>
      <c r="D589" s="4">
        <v>45036</v>
      </c>
      <c r="E589" s="4">
        <v>45044</v>
      </c>
      <c r="F589" s="7">
        <v>18363</v>
      </c>
      <c r="G589" s="1">
        <v>41</v>
      </c>
      <c r="H589" s="1">
        <v>10</v>
      </c>
      <c r="I589" s="1">
        <v>53</v>
      </c>
      <c r="J589" s="1">
        <v>10</v>
      </c>
      <c r="K589" s="1">
        <v>58</v>
      </c>
      <c r="L589" s="1">
        <v>31</v>
      </c>
      <c r="N589" s="1">
        <v>11.4</v>
      </c>
      <c r="O589" s="7">
        <v>18363</v>
      </c>
      <c r="P589" s="4">
        <v>45036</v>
      </c>
      <c r="Q589" s="4">
        <v>45044</v>
      </c>
      <c r="R589" s="1" t="s">
        <v>80</v>
      </c>
      <c r="AO589" s="7">
        <v>18363</v>
      </c>
      <c r="AP589" s="5">
        <v>6.2</v>
      </c>
      <c r="AQ589" s="5">
        <v>139</v>
      </c>
      <c r="AR589" s="5">
        <v>42.1</v>
      </c>
      <c r="AS589" s="5">
        <v>0.3</v>
      </c>
      <c r="AT589" s="5">
        <v>11</v>
      </c>
      <c r="AU589" s="5">
        <v>21</v>
      </c>
      <c r="AV589" s="5">
        <v>38.8</v>
      </c>
      <c r="AW589" s="5">
        <v>5.46</v>
      </c>
      <c r="AX589" s="5">
        <v>66</v>
      </c>
      <c r="AY589" s="5">
        <v>109.09</v>
      </c>
      <c r="AZ589" s="5" t="s">
        <v>75</v>
      </c>
      <c r="BA589" s="5">
        <v>2.69</v>
      </c>
      <c r="BB589" s="12" t="s">
        <v>76</v>
      </c>
      <c r="BC589" s="5">
        <v>3.6</v>
      </c>
      <c r="BD589" s="5">
        <v>139</v>
      </c>
      <c r="BE589" s="5">
        <v>0.84</v>
      </c>
      <c r="BF589" s="5">
        <v>1.22</v>
      </c>
      <c r="BG589" s="15">
        <v>36.4</v>
      </c>
      <c r="BH589" s="5">
        <v>62</v>
      </c>
      <c r="BI589" s="5">
        <v>78</v>
      </c>
      <c r="BJ589" s="5">
        <v>18</v>
      </c>
      <c r="BK589" s="5">
        <v>89</v>
      </c>
      <c r="BL589" s="5">
        <v>68</v>
      </c>
      <c r="BM589" s="5">
        <v>105</v>
      </c>
      <c r="BN589" s="5">
        <v>175</v>
      </c>
      <c r="BO589" s="5">
        <f t="shared" si="9"/>
        <v>34.2857142857143</v>
      </c>
      <c r="BP589" s="5" t="s">
        <v>78</v>
      </c>
      <c r="BQ589" s="5">
        <v>6.2</v>
      </c>
      <c r="BR589" s="5">
        <v>2765</v>
      </c>
    </row>
    <row r="590" s="1" customFormat="1" spans="1:70">
      <c r="A590" s="1" t="s">
        <v>1627</v>
      </c>
      <c r="B590" s="1" t="s">
        <v>1628</v>
      </c>
      <c r="D590" s="4">
        <v>44904</v>
      </c>
      <c r="E590" s="4">
        <v>44918</v>
      </c>
      <c r="F590" s="7">
        <v>18368</v>
      </c>
      <c r="G590" s="1">
        <v>47</v>
      </c>
      <c r="H590" s="1">
        <v>9</v>
      </c>
      <c r="I590" s="1">
        <v>50</v>
      </c>
      <c r="J590" s="1">
        <v>9</v>
      </c>
      <c r="K590" s="1">
        <v>69</v>
      </c>
      <c r="L590" s="1">
        <v>39</v>
      </c>
      <c r="M590" s="1">
        <v>1.92</v>
      </c>
      <c r="N590" s="1">
        <v>134.1</v>
      </c>
      <c r="O590" s="7">
        <v>18368</v>
      </c>
      <c r="P590" s="4">
        <v>44904</v>
      </c>
      <c r="Q590" s="4">
        <v>44918</v>
      </c>
      <c r="R590" s="1" t="s">
        <v>80</v>
      </c>
      <c r="AO590" s="7">
        <v>18368</v>
      </c>
      <c r="AP590" s="5" t="s">
        <v>404</v>
      </c>
      <c r="AQ590" s="5" t="s">
        <v>140</v>
      </c>
      <c r="AR590" s="5" t="s">
        <v>1629</v>
      </c>
      <c r="AS590" s="5" t="s">
        <v>1630</v>
      </c>
      <c r="AT590" s="5" t="s">
        <v>1000</v>
      </c>
      <c r="AU590" s="5" t="s">
        <v>171</v>
      </c>
      <c r="AV590" s="5" t="s">
        <v>1631</v>
      </c>
      <c r="AW590" s="5" t="s">
        <v>1632</v>
      </c>
      <c r="AX590" s="5" t="s">
        <v>1633</v>
      </c>
      <c r="AY590" s="5" t="s">
        <v>1634</v>
      </c>
      <c r="AZ590" s="5" t="s">
        <v>75</v>
      </c>
      <c r="BA590" s="5" t="s">
        <v>76</v>
      </c>
      <c r="BB590" s="12" t="s">
        <v>76</v>
      </c>
      <c r="BC590" s="5" t="s">
        <v>1635</v>
      </c>
      <c r="BD590" s="5" t="s">
        <v>140</v>
      </c>
      <c r="BE590" s="5" t="s">
        <v>76</v>
      </c>
      <c r="BF590" s="5" t="s">
        <v>76</v>
      </c>
      <c r="BG590" s="15">
        <v>36.2</v>
      </c>
      <c r="BH590" s="5" t="s">
        <v>483</v>
      </c>
      <c r="BI590" s="5" t="s">
        <v>483</v>
      </c>
      <c r="BJ590" s="5" t="s">
        <v>293</v>
      </c>
      <c r="BK590" s="5" t="s">
        <v>201</v>
      </c>
      <c r="BL590" s="5" t="s">
        <v>96</v>
      </c>
      <c r="BM590" s="5" t="s">
        <v>77</v>
      </c>
      <c r="BN590" s="5">
        <v>160</v>
      </c>
      <c r="BO590" s="5" t="e">
        <f t="shared" si="9"/>
        <v>#VALUE!</v>
      </c>
      <c r="BP590" s="5" t="s">
        <v>1167</v>
      </c>
      <c r="BQ590" s="5" t="s">
        <v>76</v>
      </c>
      <c r="BR590" s="5">
        <v>3327</v>
      </c>
    </row>
    <row r="591" s="1" customFormat="1" spans="1:70">
      <c r="A591" s="1">
        <v>3270371</v>
      </c>
      <c r="B591" s="1" t="s">
        <v>1636</v>
      </c>
      <c r="D591" s="4">
        <v>44951</v>
      </c>
      <c r="E591" s="4">
        <v>44978</v>
      </c>
      <c r="F591" s="7">
        <v>18375</v>
      </c>
      <c r="G591" s="1">
        <v>31</v>
      </c>
      <c r="H591" s="1">
        <v>10</v>
      </c>
      <c r="I591" s="1">
        <v>52</v>
      </c>
      <c r="J591" s="1">
        <v>10</v>
      </c>
      <c r="K591" s="1">
        <v>57</v>
      </c>
      <c r="L591" s="1">
        <v>30</v>
      </c>
      <c r="M591" s="1">
        <v>0.64</v>
      </c>
      <c r="N591" s="1">
        <v>11.7</v>
      </c>
      <c r="O591" s="7">
        <v>18375</v>
      </c>
      <c r="P591" s="4">
        <v>44951</v>
      </c>
      <c r="Q591" s="4">
        <v>44978</v>
      </c>
      <c r="R591" s="1" t="s">
        <v>80</v>
      </c>
      <c r="AO591" s="7">
        <v>18375</v>
      </c>
      <c r="AP591" s="5">
        <v>5.4</v>
      </c>
      <c r="AQ591" s="5">
        <v>88</v>
      </c>
      <c r="AR591" s="5">
        <v>30.1</v>
      </c>
      <c r="AS591" s="5">
        <v>70.5</v>
      </c>
      <c r="AT591" s="5">
        <v>23</v>
      </c>
      <c r="AU591" s="5">
        <v>7</v>
      </c>
      <c r="AV591" s="5">
        <v>35.7</v>
      </c>
      <c r="AW591" s="5">
        <v>3.86</v>
      </c>
      <c r="AX591" s="5">
        <v>38</v>
      </c>
      <c r="AY591" s="5" t="s">
        <v>125</v>
      </c>
      <c r="AZ591" s="5">
        <v>5.73</v>
      </c>
      <c r="BA591" s="5" t="s">
        <v>76</v>
      </c>
      <c r="BB591" s="12" t="s">
        <v>76</v>
      </c>
      <c r="BC591" s="5">
        <v>4.01</v>
      </c>
      <c r="BD591" s="5">
        <v>88</v>
      </c>
      <c r="BE591" s="5" t="s">
        <v>76</v>
      </c>
      <c r="BF591" s="5" t="s">
        <v>76</v>
      </c>
      <c r="BG591" s="15">
        <v>36.6</v>
      </c>
      <c r="BH591" s="5">
        <v>90</v>
      </c>
      <c r="BI591" s="5" t="s">
        <v>76</v>
      </c>
      <c r="BJ591" s="5">
        <v>18</v>
      </c>
      <c r="BK591" s="5">
        <v>143</v>
      </c>
      <c r="BL591" s="5">
        <v>72</v>
      </c>
      <c r="BM591" s="5">
        <v>60</v>
      </c>
      <c r="BN591" s="5">
        <v>170</v>
      </c>
      <c r="BO591" s="5">
        <f t="shared" si="9"/>
        <v>20.7612456747405</v>
      </c>
      <c r="BP591" s="5" t="s">
        <v>397</v>
      </c>
      <c r="BQ591" s="5">
        <v>7.2</v>
      </c>
      <c r="BR591" s="5">
        <v>971</v>
      </c>
    </row>
    <row r="592" s="1" customFormat="1" spans="1:70">
      <c r="A592" s="1">
        <v>3280234</v>
      </c>
      <c r="B592" s="1" t="s">
        <v>1637</v>
      </c>
      <c r="D592" s="4">
        <v>44963</v>
      </c>
      <c r="E592" s="4">
        <v>44972</v>
      </c>
      <c r="F592" s="7">
        <v>18390</v>
      </c>
      <c r="G592" s="1">
        <v>43</v>
      </c>
      <c r="H592" s="1">
        <v>9</v>
      </c>
      <c r="I592" s="1">
        <v>69</v>
      </c>
      <c r="J592" s="1">
        <v>9</v>
      </c>
      <c r="K592" s="1">
        <v>30</v>
      </c>
      <c r="L592" s="1">
        <v>15</v>
      </c>
      <c r="M592" s="1">
        <v>0.76</v>
      </c>
      <c r="N592" s="1">
        <v>8.2</v>
      </c>
      <c r="O592" s="7">
        <v>18390</v>
      </c>
      <c r="P592" s="4">
        <v>44963</v>
      </c>
      <c r="Q592" s="4">
        <v>44972</v>
      </c>
      <c r="R592" s="1" t="s">
        <v>80</v>
      </c>
      <c r="AO592" s="7">
        <v>18390</v>
      </c>
      <c r="AP592" s="5">
        <v>8.5</v>
      </c>
      <c r="AQ592" s="5">
        <v>177</v>
      </c>
      <c r="AR592" s="5">
        <v>57.4</v>
      </c>
      <c r="AS592" s="5">
        <v>3</v>
      </c>
      <c r="AT592" s="5">
        <v>34</v>
      </c>
      <c r="AU592" s="5">
        <v>69</v>
      </c>
      <c r="AV592" s="5">
        <v>36.6</v>
      </c>
      <c r="AW592" s="5">
        <v>8.54</v>
      </c>
      <c r="AX592" s="5">
        <v>67</v>
      </c>
      <c r="AY592" s="5" t="s">
        <v>125</v>
      </c>
      <c r="AZ592" s="5" t="s">
        <v>75</v>
      </c>
      <c r="BA592" s="5" t="s">
        <v>76</v>
      </c>
      <c r="BB592" s="12" t="s">
        <v>76</v>
      </c>
      <c r="BC592" s="5">
        <v>4.26</v>
      </c>
      <c r="BD592" s="5">
        <v>177</v>
      </c>
      <c r="BE592" s="5" t="s">
        <v>76</v>
      </c>
      <c r="BF592" s="5" t="s">
        <v>76</v>
      </c>
      <c r="BG592" s="15">
        <v>36</v>
      </c>
      <c r="BH592" s="5" t="s">
        <v>76</v>
      </c>
      <c r="BI592" s="5">
        <v>78</v>
      </c>
      <c r="BJ592" s="5">
        <v>19</v>
      </c>
      <c r="BK592" s="5">
        <v>134</v>
      </c>
      <c r="BL592" s="5">
        <v>77</v>
      </c>
      <c r="BM592" s="5">
        <v>55</v>
      </c>
      <c r="BN592" s="5">
        <v>168</v>
      </c>
      <c r="BO592" s="5">
        <f t="shared" si="9"/>
        <v>19.4869614512472</v>
      </c>
      <c r="BP592" s="5" t="s">
        <v>174</v>
      </c>
      <c r="BQ592" s="5" t="s">
        <v>76</v>
      </c>
      <c r="BR592" s="5">
        <v>5051</v>
      </c>
    </row>
    <row r="593" s="1" customFormat="1" spans="1:70">
      <c r="A593" s="1">
        <v>3269556</v>
      </c>
      <c r="B593" s="1" t="s">
        <v>1638</v>
      </c>
      <c r="D593" s="4">
        <v>44949</v>
      </c>
      <c r="E593" s="4">
        <v>44975</v>
      </c>
      <c r="F593" s="7">
        <v>18398</v>
      </c>
      <c r="G593" s="1">
        <v>44</v>
      </c>
      <c r="H593" s="1">
        <v>10</v>
      </c>
      <c r="I593" s="1">
        <v>48</v>
      </c>
      <c r="J593" s="1">
        <v>20</v>
      </c>
      <c r="K593" s="1">
        <v>58</v>
      </c>
      <c r="L593" s="1">
        <v>31</v>
      </c>
      <c r="O593" s="7">
        <v>18398</v>
      </c>
      <c r="P593" s="4">
        <v>44949</v>
      </c>
      <c r="Q593" s="4">
        <v>44975</v>
      </c>
      <c r="R593" s="1" t="s">
        <v>73</v>
      </c>
      <c r="AO593" s="7">
        <v>18398</v>
      </c>
      <c r="AP593" s="5">
        <v>9.3</v>
      </c>
      <c r="AQ593" s="5">
        <v>96</v>
      </c>
      <c r="AR593" s="5">
        <v>37</v>
      </c>
      <c r="AS593" s="5">
        <v>94.8</v>
      </c>
      <c r="AT593" s="5">
        <v>60</v>
      </c>
      <c r="AU593" s="5">
        <v>9</v>
      </c>
      <c r="AV593" s="5">
        <v>40.7</v>
      </c>
      <c r="AW593" s="5">
        <v>9.3</v>
      </c>
      <c r="AX593" s="5">
        <v>91</v>
      </c>
      <c r="AY593" s="5" t="s">
        <v>125</v>
      </c>
      <c r="AZ593" s="5" t="s">
        <v>75</v>
      </c>
      <c r="BA593" s="5">
        <v>2.93</v>
      </c>
      <c r="BB593" s="12" t="s">
        <v>76</v>
      </c>
      <c r="BC593" s="5">
        <v>4.39</v>
      </c>
      <c r="BD593" s="5">
        <v>96</v>
      </c>
      <c r="BE593" s="5">
        <v>0.64</v>
      </c>
      <c r="BF593" s="5">
        <v>1.64</v>
      </c>
      <c r="BG593" s="5" t="s">
        <v>76</v>
      </c>
      <c r="BH593" s="5" t="s">
        <v>76</v>
      </c>
      <c r="BI593" s="5" t="s">
        <v>76</v>
      </c>
      <c r="BJ593" s="5" t="s">
        <v>76</v>
      </c>
      <c r="BK593" s="5" t="s">
        <v>76</v>
      </c>
      <c r="BL593" s="5" t="s">
        <v>76</v>
      </c>
      <c r="BM593" s="5" t="s">
        <v>76</v>
      </c>
      <c r="BN593" s="5" t="s">
        <v>76</v>
      </c>
      <c r="BO593" s="5" t="e">
        <f t="shared" si="9"/>
        <v>#VALUE!</v>
      </c>
      <c r="BP593" s="5" t="s">
        <v>357</v>
      </c>
      <c r="BQ593" s="5" t="s">
        <v>76</v>
      </c>
      <c r="BR593" s="5">
        <v>8136</v>
      </c>
    </row>
    <row r="594" s="1" customFormat="1" spans="1:70">
      <c r="A594" s="1">
        <v>3286942</v>
      </c>
      <c r="B594" s="1" t="s">
        <v>1639</v>
      </c>
      <c r="D594" s="4">
        <v>44972</v>
      </c>
      <c r="E594" s="4">
        <v>44980</v>
      </c>
      <c r="F594" s="7">
        <v>18420</v>
      </c>
      <c r="G594" s="1">
        <v>42</v>
      </c>
      <c r="H594" s="1">
        <v>10</v>
      </c>
      <c r="I594" s="1">
        <v>55</v>
      </c>
      <c r="J594" s="1">
        <v>10</v>
      </c>
      <c r="K594" s="1">
        <v>43</v>
      </c>
      <c r="L594" s="1">
        <v>21</v>
      </c>
      <c r="N594" s="1">
        <v>5.4</v>
      </c>
      <c r="O594" s="7">
        <v>18420</v>
      </c>
      <c r="P594" s="4">
        <v>44972</v>
      </c>
      <c r="Q594" s="4">
        <v>44980</v>
      </c>
      <c r="R594" s="1" t="s">
        <v>80</v>
      </c>
      <c r="AO594" s="7">
        <v>18420</v>
      </c>
      <c r="AP594" s="5">
        <v>5.1</v>
      </c>
      <c r="AQ594" s="5">
        <v>147</v>
      </c>
      <c r="AR594" s="5">
        <v>50</v>
      </c>
      <c r="AS594" s="5">
        <v>6.5</v>
      </c>
      <c r="AT594" s="5">
        <v>88</v>
      </c>
      <c r="AU594" s="5">
        <v>93</v>
      </c>
      <c r="AV594" s="5">
        <v>36.6</v>
      </c>
      <c r="AW594" s="5">
        <v>9.7</v>
      </c>
      <c r="AX594" s="5">
        <v>84</v>
      </c>
      <c r="AY594" s="5">
        <v>82.82</v>
      </c>
      <c r="AZ594" s="5" t="s">
        <v>75</v>
      </c>
      <c r="BA594" s="5" t="s">
        <v>76</v>
      </c>
      <c r="BB594" s="12" t="s">
        <v>76</v>
      </c>
      <c r="BC594" s="5">
        <v>4.5</v>
      </c>
      <c r="BD594" s="5">
        <v>147</v>
      </c>
      <c r="BE594" s="5" t="s">
        <v>76</v>
      </c>
      <c r="BF594" s="5" t="s">
        <v>76</v>
      </c>
      <c r="BG594" s="15">
        <v>36.2</v>
      </c>
      <c r="BH594" s="5">
        <v>150</v>
      </c>
      <c r="BI594" s="5">
        <v>180</v>
      </c>
      <c r="BJ594" s="5">
        <v>20</v>
      </c>
      <c r="BK594" s="5">
        <v>130</v>
      </c>
      <c r="BL594" s="5">
        <v>68</v>
      </c>
      <c r="BM594" s="5">
        <v>67</v>
      </c>
      <c r="BN594" s="5">
        <v>175</v>
      </c>
      <c r="BO594" s="5">
        <f t="shared" si="9"/>
        <v>21.8775510204082</v>
      </c>
      <c r="BP594" s="5" t="s">
        <v>121</v>
      </c>
      <c r="BQ594" s="5">
        <v>6.1</v>
      </c>
      <c r="BR594" s="5">
        <v>7942</v>
      </c>
    </row>
    <row r="595" s="1" customFormat="1" spans="1:70">
      <c r="A595" s="1">
        <v>3254983</v>
      </c>
      <c r="B595" s="1" t="s">
        <v>1640</v>
      </c>
      <c r="D595" s="4">
        <v>44917</v>
      </c>
      <c r="E595" s="4">
        <v>44926</v>
      </c>
      <c r="F595" s="7">
        <v>18422</v>
      </c>
      <c r="G595" s="1">
        <v>48</v>
      </c>
      <c r="H595" s="1">
        <v>10</v>
      </c>
      <c r="I595" s="1">
        <v>58</v>
      </c>
      <c r="J595" s="1">
        <v>9</v>
      </c>
      <c r="K595" s="1">
        <v>47</v>
      </c>
      <c r="L595" s="1">
        <v>24</v>
      </c>
      <c r="N595" s="1">
        <v>12.6</v>
      </c>
      <c r="O595" s="7">
        <v>18422</v>
      </c>
      <c r="P595" s="4">
        <v>44917</v>
      </c>
      <c r="Q595" s="4">
        <v>44926</v>
      </c>
      <c r="R595" s="1" t="s">
        <v>73</v>
      </c>
      <c r="AO595" s="7">
        <v>18422</v>
      </c>
      <c r="AP595" s="5">
        <v>6.3</v>
      </c>
      <c r="AQ595" s="5">
        <v>130</v>
      </c>
      <c r="AR595" s="5">
        <v>41.3</v>
      </c>
      <c r="AS595" s="5" t="s">
        <v>76</v>
      </c>
      <c r="AT595" s="5">
        <v>16</v>
      </c>
      <c r="AU595" s="5">
        <v>14</v>
      </c>
      <c r="AV595" s="5">
        <v>31.9</v>
      </c>
      <c r="AW595" s="5">
        <v>7.13</v>
      </c>
      <c r="AX595" s="5">
        <v>62</v>
      </c>
      <c r="AY595" s="5">
        <v>87.24</v>
      </c>
      <c r="AZ595" s="5" t="s">
        <v>75</v>
      </c>
      <c r="BA595" s="5">
        <v>4.73</v>
      </c>
      <c r="BB595" s="12" t="s">
        <v>76</v>
      </c>
      <c r="BC595" s="5">
        <v>4.31</v>
      </c>
      <c r="BD595" s="5">
        <v>130</v>
      </c>
      <c r="BE595" s="5">
        <v>0.96</v>
      </c>
      <c r="BF595" s="5">
        <v>2.97</v>
      </c>
      <c r="BG595" s="15">
        <v>36.7</v>
      </c>
      <c r="BH595" s="5">
        <v>60</v>
      </c>
      <c r="BI595" s="5">
        <v>67</v>
      </c>
      <c r="BJ595" s="5" t="s">
        <v>76</v>
      </c>
      <c r="BK595" s="5">
        <v>112</v>
      </c>
      <c r="BL595" s="5">
        <v>67</v>
      </c>
      <c r="BM595" s="5">
        <v>60</v>
      </c>
      <c r="BN595" s="5">
        <v>152</v>
      </c>
      <c r="BO595" s="5">
        <f t="shared" si="9"/>
        <v>25.9695290858726</v>
      </c>
      <c r="BP595" s="5" t="s">
        <v>121</v>
      </c>
      <c r="BQ595" s="5">
        <v>6.8</v>
      </c>
      <c r="BR595" s="5">
        <v>1069</v>
      </c>
    </row>
    <row r="596" s="1" customFormat="1" spans="1:70">
      <c r="A596" s="1">
        <v>3514688</v>
      </c>
      <c r="B596" s="1" t="s">
        <v>1641</v>
      </c>
      <c r="D596" s="4">
        <v>45287</v>
      </c>
      <c r="E596" s="4">
        <v>45289</v>
      </c>
      <c r="F596" s="7">
        <v>18423</v>
      </c>
      <c r="G596" s="1">
        <v>32</v>
      </c>
      <c r="H596" s="1">
        <v>12</v>
      </c>
      <c r="I596" s="1">
        <v>57</v>
      </c>
      <c r="J596" s="1">
        <v>12</v>
      </c>
      <c r="K596" s="1">
        <v>45</v>
      </c>
      <c r="L596" s="1">
        <v>22</v>
      </c>
      <c r="M596" s="1">
        <v>0.79</v>
      </c>
      <c r="N596" s="1">
        <v>13.4</v>
      </c>
      <c r="O596" s="7">
        <v>18423</v>
      </c>
      <c r="P596" s="4">
        <v>45287</v>
      </c>
      <c r="Q596" s="4">
        <v>45289</v>
      </c>
      <c r="R596" s="1" t="s">
        <v>80</v>
      </c>
      <c r="AO596" s="7">
        <v>18423</v>
      </c>
      <c r="AP596" s="5">
        <v>18.8</v>
      </c>
      <c r="AQ596" s="5">
        <v>165</v>
      </c>
      <c r="AR596" s="5">
        <v>53.1</v>
      </c>
      <c r="AS596" s="5" t="s">
        <v>76</v>
      </c>
      <c r="AT596" s="5">
        <v>274</v>
      </c>
      <c r="AU596" s="5">
        <v>55</v>
      </c>
      <c r="AV596" s="5">
        <v>37.7</v>
      </c>
      <c r="AW596" s="5">
        <v>9.97</v>
      </c>
      <c r="AX596" s="5">
        <v>82</v>
      </c>
      <c r="AY596" s="5">
        <v>97.11</v>
      </c>
      <c r="AZ596" s="5">
        <v>9</v>
      </c>
      <c r="BA596" s="5" t="s">
        <v>76</v>
      </c>
      <c r="BB596" s="12" t="s">
        <v>76</v>
      </c>
      <c r="BC596" s="5">
        <v>4.13</v>
      </c>
      <c r="BD596" s="5">
        <v>165</v>
      </c>
      <c r="BE596" s="5" t="s">
        <v>76</v>
      </c>
      <c r="BF596" s="5" t="s">
        <v>76</v>
      </c>
      <c r="BG596" s="5" t="s">
        <v>76</v>
      </c>
      <c r="BH596" s="5" t="s">
        <v>76</v>
      </c>
      <c r="BI596" s="5" t="s">
        <v>76</v>
      </c>
      <c r="BJ596" s="5" t="s">
        <v>76</v>
      </c>
      <c r="BK596" s="5" t="s">
        <v>76</v>
      </c>
      <c r="BL596" s="5" t="s">
        <v>76</v>
      </c>
      <c r="BM596" s="5" t="s">
        <v>76</v>
      </c>
      <c r="BN596" s="5" t="s">
        <v>76</v>
      </c>
      <c r="BO596" s="5" t="e">
        <f t="shared" si="9"/>
        <v>#VALUE!</v>
      </c>
      <c r="BP596" s="5" t="s">
        <v>85</v>
      </c>
      <c r="BQ596" s="5" t="s">
        <v>76</v>
      </c>
      <c r="BR596" s="5">
        <v>5324</v>
      </c>
    </row>
    <row r="597" s="1" customFormat="1" spans="1:70">
      <c r="A597" s="1">
        <v>3256752</v>
      </c>
      <c r="B597" s="1" t="s">
        <v>1642</v>
      </c>
      <c r="D597" s="4">
        <v>44922</v>
      </c>
      <c r="E597" s="4">
        <v>44959</v>
      </c>
      <c r="F597" s="7">
        <v>18431</v>
      </c>
      <c r="G597" s="1">
        <v>34</v>
      </c>
      <c r="H597" s="1">
        <v>9</v>
      </c>
      <c r="I597" s="1">
        <v>47</v>
      </c>
      <c r="J597" s="1">
        <v>9</v>
      </c>
      <c r="K597" s="1">
        <v>58</v>
      </c>
      <c r="L597" s="1">
        <v>31</v>
      </c>
      <c r="M597" s="1">
        <v>2.65</v>
      </c>
      <c r="O597" s="7">
        <v>18431</v>
      </c>
      <c r="P597" s="4">
        <v>44922</v>
      </c>
      <c r="Q597" s="4">
        <v>44959</v>
      </c>
      <c r="R597" s="1" t="s">
        <v>80</v>
      </c>
      <c r="AO597" s="7">
        <v>18431</v>
      </c>
      <c r="AP597" s="5">
        <v>9.6</v>
      </c>
      <c r="AQ597" s="5">
        <v>98</v>
      </c>
      <c r="AR597" s="5" t="s">
        <v>1643</v>
      </c>
      <c r="AS597" s="5" t="s">
        <v>81</v>
      </c>
      <c r="AT597" s="5">
        <v>916</v>
      </c>
      <c r="AU597" s="5">
        <v>900</v>
      </c>
      <c r="AV597" s="5">
        <v>40.2</v>
      </c>
      <c r="AW597" s="5">
        <v>9.91</v>
      </c>
      <c r="AX597" s="5">
        <v>79</v>
      </c>
      <c r="AY597" s="5" t="s">
        <v>125</v>
      </c>
      <c r="AZ597" s="5">
        <v>9.5</v>
      </c>
      <c r="BA597" s="5">
        <v>2.5</v>
      </c>
      <c r="BB597" s="12" t="s">
        <v>76</v>
      </c>
      <c r="BC597" s="5">
        <v>5.13</v>
      </c>
      <c r="BD597" s="5">
        <v>98</v>
      </c>
      <c r="BE597" s="5">
        <v>0.69</v>
      </c>
      <c r="BF597" s="5">
        <v>1.27</v>
      </c>
      <c r="BG597" s="15">
        <v>38.4</v>
      </c>
      <c r="BH597" s="5">
        <v>93</v>
      </c>
      <c r="BI597" s="5" t="s">
        <v>76</v>
      </c>
      <c r="BJ597" s="5">
        <v>12</v>
      </c>
      <c r="BK597" s="5">
        <v>112</v>
      </c>
      <c r="BL597" s="5">
        <v>5770</v>
      </c>
      <c r="BM597" s="5">
        <v>70</v>
      </c>
      <c r="BN597" s="5">
        <v>160</v>
      </c>
      <c r="BO597" s="5">
        <f t="shared" si="9"/>
        <v>27.34375</v>
      </c>
      <c r="BP597" s="5" t="s">
        <v>438</v>
      </c>
      <c r="BQ597" s="5">
        <v>5.4</v>
      </c>
      <c r="BR597" s="5">
        <v>8367</v>
      </c>
    </row>
    <row r="598" s="1" customFormat="1" spans="1:70">
      <c r="A598" s="1">
        <v>3241349</v>
      </c>
      <c r="B598" s="1" t="s">
        <v>1644</v>
      </c>
      <c r="D598" s="4">
        <v>44886</v>
      </c>
      <c r="E598" s="4">
        <v>44893</v>
      </c>
      <c r="F598" s="7">
        <v>18437</v>
      </c>
      <c r="G598" s="1">
        <v>52</v>
      </c>
      <c r="H598" s="1">
        <v>10</v>
      </c>
      <c r="I598" s="1">
        <v>53</v>
      </c>
      <c r="J598" s="1">
        <v>10</v>
      </c>
      <c r="K598" s="1">
        <v>52</v>
      </c>
      <c r="L598" s="1">
        <v>27</v>
      </c>
      <c r="N598" s="1">
        <v>16.7</v>
      </c>
      <c r="O598" s="7">
        <v>18437</v>
      </c>
      <c r="P598" s="4">
        <v>44886</v>
      </c>
      <c r="Q598" s="4">
        <v>44893</v>
      </c>
      <c r="R598" s="1" t="s">
        <v>80</v>
      </c>
      <c r="AO598" s="7">
        <v>18437</v>
      </c>
      <c r="AP598" s="5">
        <v>5</v>
      </c>
      <c r="AQ598" s="5">
        <v>129</v>
      </c>
      <c r="AR598" s="5">
        <v>40.4</v>
      </c>
      <c r="AS598" s="5" t="s">
        <v>76</v>
      </c>
      <c r="AT598" s="5">
        <v>21</v>
      </c>
      <c r="AU598" s="5">
        <v>15</v>
      </c>
      <c r="AV598" s="5">
        <v>42.6</v>
      </c>
      <c r="AW598" s="5">
        <v>4.1</v>
      </c>
      <c r="AX598" s="5">
        <v>93</v>
      </c>
      <c r="AY598" s="5">
        <v>73.64</v>
      </c>
      <c r="AZ598" s="5" t="s">
        <v>75</v>
      </c>
      <c r="BA598" s="5">
        <v>3.77</v>
      </c>
      <c r="BB598" s="12" t="s">
        <v>76</v>
      </c>
      <c r="BC598" s="5">
        <v>4.46</v>
      </c>
      <c r="BD598" s="5">
        <v>129</v>
      </c>
      <c r="BE598" s="5">
        <v>1.08</v>
      </c>
      <c r="BF598" s="5">
        <v>2.3</v>
      </c>
      <c r="BG598" s="15">
        <v>36.4</v>
      </c>
      <c r="BH598" s="5">
        <v>72</v>
      </c>
      <c r="BI598" s="5">
        <v>72</v>
      </c>
      <c r="BJ598" s="5">
        <v>17</v>
      </c>
      <c r="BK598" s="5">
        <v>135</v>
      </c>
      <c r="BL598" s="5">
        <v>80</v>
      </c>
      <c r="BM598" s="5">
        <v>80</v>
      </c>
      <c r="BN598" s="5">
        <v>168</v>
      </c>
      <c r="BO598" s="5">
        <f t="shared" si="9"/>
        <v>28.3446712018141</v>
      </c>
      <c r="BP598" s="5" t="s">
        <v>121</v>
      </c>
      <c r="BQ598" s="5" t="s">
        <v>76</v>
      </c>
      <c r="BR598" s="5">
        <v>1012</v>
      </c>
    </row>
    <row r="599" s="1" customFormat="1" spans="1:70">
      <c r="A599" s="1">
        <v>3252115</v>
      </c>
      <c r="B599" s="1" t="s">
        <v>1645</v>
      </c>
      <c r="D599" s="4">
        <v>44905</v>
      </c>
      <c r="E599" s="4">
        <v>44911</v>
      </c>
      <c r="F599" s="7">
        <v>18439</v>
      </c>
      <c r="G599" s="1">
        <v>46</v>
      </c>
      <c r="H599" s="1">
        <v>10</v>
      </c>
      <c r="I599" s="1">
        <v>51</v>
      </c>
      <c r="J599" s="1">
        <v>10</v>
      </c>
      <c r="K599" s="1">
        <v>59</v>
      </c>
      <c r="L599" s="1">
        <v>31</v>
      </c>
      <c r="O599" s="7">
        <v>18439</v>
      </c>
      <c r="P599" s="4">
        <v>44905</v>
      </c>
      <c r="Q599" s="4">
        <v>44911</v>
      </c>
      <c r="R599" s="1" t="s">
        <v>73</v>
      </c>
      <c r="S599" s="1">
        <v>72</v>
      </c>
      <c r="T599" s="1">
        <v>15052028873</v>
      </c>
      <c r="X599" s="1">
        <v>1</v>
      </c>
      <c r="Z599" s="1">
        <v>1</v>
      </c>
      <c r="AG599" s="1">
        <v>1</v>
      </c>
      <c r="AH599" s="1">
        <v>1</v>
      </c>
      <c r="AI599" s="1">
        <v>1</v>
      </c>
      <c r="AK599" s="1">
        <v>1</v>
      </c>
      <c r="AO599" s="7">
        <v>18439</v>
      </c>
      <c r="AP599" s="5">
        <v>8.4</v>
      </c>
      <c r="AQ599" s="5">
        <v>86</v>
      </c>
      <c r="AR599" s="5">
        <v>28.4</v>
      </c>
      <c r="AS599" s="5">
        <v>1.9</v>
      </c>
      <c r="AT599" s="5">
        <v>7</v>
      </c>
      <c r="AU599" s="5">
        <v>18</v>
      </c>
      <c r="AV599" s="5">
        <v>36.9</v>
      </c>
      <c r="AW599" s="5">
        <v>4.38</v>
      </c>
      <c r="AX599" s="5">
        <v>70</v>
      </c>
      <c r="AY599" s="5">
        <v>75.84</v>
      </c>
      <c r="AZ599" s="5">
        <v>4.25</v>
      </c>
      <c r="BA599" s="5">
        <v>1.41</v>
      </c>
      <c r="BB599" s="12" t="s">
        <v>76</v>
      </c>
      <c r="BC599" s="5">
        <v>3.78</v>
      </c>
      <c r="BD599" s="5">
        <v>86</v>
      </c>
      <c r="BE599" s="5">
        <v>0.54</v>
      </c>
      <c r="BF599" s="5">
        <v>0.55</v>
      </c>
      <c r="BG599" s="15">
        <v>36.2</v>
      </c>
      <c r="BH599" s="5">
        <v>82</v>
      </c>
      <c r="BI599" s="5">
        <v>82</v>
      </c>
      <c r="BJ599" s="5">
        <v>17</v>
      </c>
      <c r="BK599" s="5">
        <v>122</v>
      </c>
      <c r="BL599" s="5">
        <v>64</v>
      </c>
      <c r="BM599" s="5">
        <v>75</v>
      </c>
      <c r="BN599" s="5">
        <v>155</v>
      </c>
      <c r="BO599" s="5">
        <f t="shared" si="9"/>
        <v>31.2174817898023</v>
      </c>
      <c r="BP599" s="5" t="s">
        <v>121</v>
      </c>
      <c r="BQ599" s="5">
        <v>8.8</v>
      </c>
      <c r="BR599" s="5">
        <v>941</v>
      </c>
    </row>
    <row r="600" s="1" customFormat="1" spans="1:70">
      <c r="A600" s="1">
        <v>3333494</v>
      </c>
      <c r="B600" s="1" t="s">
        <v>1646</v>
      </c>
      <c r="D600" s="4">
        <v>45036</v>
      </c>
      <c r="E600" s="4">
        <v>45042</v>
      </c>
      <c r="F600" s="7">
        <v>18442</v>
      </c>
      <c r="G600" s="1">
        <v>43</v>
      </c>
      <c r="H600" s="1">
        <v>10</v>
      </c>
      <c r="I600" s="1">
        <v>56</v>
      </c>
      <c r="J600" s="1">
        <v>10</v>
      </c>
      <c r="K600" s="1">
        <v>63</v>
      </c>
      <c r="L600" s="1">
        <v>35</v>
      </c>
      <c r="M600" s="1">
        <v>0.53</v>
      </c>
      <c r="N600" s="1">
        <v>14.5</v>
      </c>
      <c r="O600" s="7">
        <v>18442</v>
      </c>
      <c r="P600" s="4">
        <v>45036</v>
      </c>
      <c r="Q600" s="4">
        <v>45042</v>
      </c>
      <c r="R600" s="1" t="s">
        <v>80</v>
      </c>
      <c r="AO600" s="7">
        <v>18442</v>
      </c>
      <c r="AP600" s="5">
        <v>12.1</v>
      </c>
      <c r="AQ600" s="5">
        <v>55</v>
      </c>
      <c r="AR600" s="5">
        <v>17.5</v>
      </c>
      <c r="AS600" s="5">
        <v>157.8</v>
      </c>
      <c r="AT600" s="5">
        <v>22</v>
      </c>
      <c r="AU600" s="5">
        <v>21</v>
      </c>
      <c r="AV600" s="5">
        <v>35.1</v>
      </c>
      <c r="AW600" s="5">
        <v>15.21</v>
      </c>
      <c r="AX600" s="5">
        <v>366</v>
      </c>
      <c r="AY600" s="5">
        <v>15.15</v>
      </c>
      <c r="AZ600" s="5">
        <v>9.09</v>
      </c>
      <c r="BA600" s="5">
        <v>3.18</v>
      </c>
      <c r="BB600" s="12" t="s">
        <v>76</v>
      </c>
      <c r="BC600" s="5" t="s">
        <v>4</v>
      </c>
      <c r="BD600" s="5">
        <v>55</v>
      </c>
      <c r="BE600" s="5" t="s">
        <v>76</v>
      </c>
      <c r="BF600" s="5" t="s">
        <v>76</v>
      </c>
      <c r="BG600" s="15">
        <v>37.1</v>
      </c>
      <c r="BH600" s="5">
        <v>78</v>
      </c>
      <c r="BI600" s="5">
        <v>78</v>
      </c>
      <c r="BJ600" s="5">
        <v>18</v>
      </c>
      <c r="BK600" s="5">
        <v>153</v>
      </c>
      <c r="BL600" s="5">
        <v>94</v>
      </c>
      <c r="BM600" s="5">
        <v>65</v>
      </c>
      <c r="BN600" s="5">
        <v>168</v>
      </c>
      <c r="BO600" s="5">
        <f t="shared" si="9"/>
        <v>23.0300453514739</v>
      </c>
      <c r="BP600" s="5" t="s">
        <v>415</v>
      </c>
      <c r="BQ600" s="5">
        <v>6.6</v>
      </c>
      <c r="BR600" s="5">
        <v>5495</v>
      </c>
    </row>
    <row r="601" s="1" customFormat="1" spans="1:70">
      <c r="A601" s="1">
        <v>3278600</v>
      </c>
      <c r="B601" s="1" t="s">
        <v>1647</v>
      </c>
      <c r="D601" s="4">
        <v>44961</v>
      </c>
      <c r="E601" s="4">
        <v>44969</v>
      </c>
      <c r="F601" s="7">
        <v>18447</v>
      </c>
      <c r="G601" s="1">
        <v>30</v>
      </c>
      <c r="H601" s="1">
        <v>9</v>
      </c>
      <c r="I601" s="1">
        <v>42</v>
      </c>
      <c r="J601" s="1">
        <v>9</v>
      </c>
      <c r="K601" s="1">
        <v>56</v>
      </c>
      <c r="L601" s="1">
        <v>29</v>
      </c>
      <c r="M601" s="1">
        <v>0.85</v>
      </c>
      <c r="N601" s="1">
        <v>14.3</v>
      </c>
      <c r="O601" s="7">
        <v>18447</v>
      </c>
      <c r="P601" s="4">
        <v>44961</v>
      </c>
      <c r="Q601" s="4">
        <v>44969</v>
      </c>
      <c r="R601" s="1" t="s">
        <v>80</v>
      </c>
      <c r="AO601" s="7">
        <v>18447</v>
      </c>
      <c r="AP601" s="5">
        <v>5</v>
      </c>
      <c r="AQ601" s="5">
        <v>91</v>
      </c>
      <c r="AR601" s="5">
        <v>33</v>
      </c>
      <c r="AS601" s="5">
        <v>87.2</v>
      </c>
      <c r="AT601" s="5">
        <v>56</v>
      </c>
      <c r="AU601" s="5">
        <v>8</v>
      </c>
      <c r="AV601" s="5">
        <v>32.2</v>
      </c>
      <c r="AW601" s="5">
        <v>46.55</v>
      </c>
      <c r="AX601" s="5">
        <v>86</v>
      </c>
      <c r="AY601" s="5">
        <v>80.6</v>
      </c>
      <c r="AZ601" s="5" t="s">
        <v>75</v>
      </c>
      <c r="BA601" s="5" t="s">
        <v>76</v>
      </c>
      <c r="BB601" s="12" t="s">
        <v>76</v>
      </c>
      <c r="BC601" s="5">
        <v>5.41</v>
      </c>
      <c r="BD601" s="5">
        <v>91</v>
      </c>
      <c r="BE601" s="5" t="s">
        <v>76</v>
      </c>
      <c r="BF601" s="5" t="s">
        <v>76</v>
      </c>
      <c r="BG601" s="15">
        <v>36.8</v>
      </c>
      <c r="BH601" s="5" t="s">
        <v>76</v>
      </c>
      <c r="BI601" s="5">
        <v>103</v>
      </c>
      <c r="BJ601" s="5">
        <v>18</v>
      </c>
      <c r="BK601" s="5">
        <v>165</v>
      </c>
      <c r="BL601" s="5">
        <v>86</v>
      </c>
      <c r="BM601" s="5" t="s">
        <v>1648</v>
      </c>
      <c r="BN601" s="5" t="s">
        <v>1648</v>
      </c>
      <c r="BO601" s="5" t="e">
        <f t="shared" si="9"/>
        <v>#VALUE!</v>
      </c>
      <c r="BP601" s="5" t="s">
        <v>369</v>
      </c>
      <c r="BQ601" s="5">
        <v>5.6</v>
      </c>
      <c r="BR601" s="5">
        <v>7608</v>
      </c>
    </row>
    <row r="602" s="1" customFormat="1" spans="1:70">
      <c r="A602" s="1">
        <v>3494857</v>
      </c>
      <c r="B602" s="1" t="s">
        <v>1649</v>
      </c>
      <c r="D602" s="4">
        <v>45259</v>
      </c>
      <c r="E602" s="4">
        <v>45265</v>
      </c>
      <c r="F602" s="7">
        <v>18456</v>
      </c>
      <c r="G602" s="1">
        <v>39</v>
      </c>
      <c r="H602" s="1">
        <v>8</v>
      </c>
      <c r="I602" s="1">
        <v>51</v>
      </c>
      <c r="J602" s="1">
        <v>7</v>
      </c>
      <c r="K602" s="1">
        <v>43</v>
      </c>
      <c r="L602" s="1">
        <v>22</v>
      </c>
      <c r="M602" s="1">
        <v>0.83</v>
      </c>
      <c r="N602" s="1">
        <v>23.5</v>
      </c>
      <c r="O602" s="7">
        <v>18456</v>
      </c>
      <c r="P602" s="4">
        <v>45259</v>
      </c>
      <c r="Q602" s="4">
        <v>45265</v>
      </c>
      <c r="R602" s="1" t="s">
        <v>80</v>
      </c>
      <c r="AO602" s="7">
        <v>18456</v>
      </c>
      <c r="AP602" s="5">
        <v>4.2</v>
      </c>
      <c r="AQ602" s="5">
        <v>123</v>
      </c>
      <c r="AR602" s="5">
        <v>41.7</v>
      </c>
      <c r="AS602" s="5">
        <v>25.4</v>
      </c>
      <c r="AT602" s="5">
        <v>18</v>
      </c>
      <c r="AU602" s="5">
        <v>6</v>
      </c>
      <c r="AV602" s="5">
        <v>39.4</v>
      </c>
      <c r="AW602" s="5">
        <v>18.23</v>
      </c>
      <c r="AX602" s="5">
        <v>760</v>
      </c>
      <c r="AY602" s="5" t="s">
        <v>76</v>
      </c>
      <c r="AZ602" s="5">
        <v>4.43</v>
      </c>
      <c r="BA602" s="5">
        <v>3.87</v>
      </c>
      <c r="BB602" s="12" t="s">
        <v>76</v>
      </c>
      <c r="BC602" s="5">
        <v>4.53</v>
      </c>
      <c r="BD602" s="5">
        <v>123</v>
      </c>
      <c r="BE602" s="5">
        <v>0.76</v>
      </c>
      <c r="BF602" s="5">
        <v>1.85</v>
      </c>
      <c r="BG602" s="15">
        <v>36.7</v>
      </c>
      <c r="BH602" s="5">
        <v>86</v>
      </c>
      <c r="BI602" s="5">
        <v>86</v>
      </c>
      <c r="BJ602" s="5">
        <v>20</v>
      </c>
      <c r="BK602" s="5">
        <v>130</v>
      </c>
      <c r="BL602" s="5">
        <v>80</v>
      </c>
      <c r="BM602" s="5">
        <v>59</v>
      </c>
      <c r="BN602" s="5">
        <v>165</v>
      </c>
      <c r="BO602" s="5">
        <f t="shared" si="9"/>
        <v>21.6712580348944</v>
      </c>
      <c r="BP602" s="5" t="s">
        <v>415</v>
      </c>
      <c r="BQ602" s="5">
        <v>5.1</v>
      </c>
      <c r="BR602" s="5">
        <v>27308</v>
      </c>
    </row>
    <row r="603" s="1" customFormat="1" spans="1:70">
      <c r="A603" s="1">
        <v>3311848</v>
      </c>
      <c r="B603" s="1" t="s">
        <v>1650</v>
      </c>
      <c r="C603" s="1" t="s">
        <v>273</v>
      </c>
      <c r="D603" s="4">
        <v>45006</v>
      </c>
      <c r="E603" s="4">
        <v>45025</v>
      </c>
      <c r="F603" s="7">
        <v>18458</v>
      </c>
      <c r="G603" s="1">
        <v>47</v>
      </c>
      <c r="H603" s="1">
        <v>11</v>
      </c>
      <c r="I603" s="1">
        <v>63</v>
      </c>
      <c r="J603" s="1">
        <v>10</v>
      </c>
      <c r="K603" s="1">
        <v>51</v>
      </c>
      <c r="L603" s="1">
        <v>26</v>
      </c>
      <c r="N603" s="1">
        <v>23.7</v>
      </c>
      <c r="O603" s="7">
        <v>18458</v>
      </c>
      <c r="P603" s="4">
        <v>45006</v>
      </c>
      <c r="Q603" s="4">
        <v>45025</v>
      </c>
      <c r="R603" s="1" t="s">
        <v>80</v>
      </c>
      <c r="AO603" s="7">
        <v>18458</v>
      </c>
      <c r="AP603" s="5">
        <v>96.1</v>
      </c>
      <c r="AQ603" s="5">
        <v>92</v>
      </c>
      <c r="AR603" s="5">
        <v>44.2</v>
      </c>
      <c r="AS603" s="5">
        <v>7.7</v>
      </c>
      <c r="AT603" s="5">
        <v>44</v>
      </c>
      <c r="AU603" s="5">
        <v>9</v>
      </c>
      <c r="AV603" s="5">
        <v>43.2</v>
      </c>
      <c r="AW603" s="5">
        <v>8.14</v>
      </c>
      <c r="AX603" s="5">
        <v>300</v>
      </c>
      <c r="AY603" s="5">
        <v>40.84</v>
      </c>
      <c r="AZ603" s="5" t="s">
        <v>75</v>
      </c>
      <c r="BA603" s="5">
        <v>2.33</v>
      </c>
      <c r="BB603" s="12" t="s">
        <v>76</v>
      </c>
      <c r="BC603" s="5">
        <v>5.52</v>
      </c>
      <c r="BD603" s="5">
        <v>92</v>
      </c>
      <c r="BE603" s="5" t="s">
        <v>76</v>
      </c>
      <c r="BF603" s="5" t="s">
        <v>76</v>
      </c>
      <c r="BG603" s="15">
        <v>36.6</v>
      </c>
      <c r="BH603" s="5">
        <v>78</v>
      </c>
      <c r="BI603" s="5">
        <v>78</v>
      </c>
      <c r="BJ603" s="5">
        <v>17</v>
      </c>
      <c r="BK603" s="5">
        <v>142</v>
      </c>
      <c r="BL603" s="5">
        <v>82</v>
      </c>
      <c r="BM603" s="5">
        <v>82</v>
      </c>
      <c r="BN603" s="5">
        <v>172</v>
      </c>
      <c r="BO603" s="5">
        <f t="shared" si="9"/>
        <v>27.7176852352623</v>
      </c>
      <c r="BP603" s="5" t="s">
        <v>85</v>
      </c>
      <c r="BQ603" s="5">
        <v>6.7</v>
      </c>
      <c r="BR603" s="5">
        <v>5285</v>
      </c>
    </row>
    <row r="604" s="1" customFormat="1" spans="1:70">
      <c r="A604" s="1">
        <v>3275965</v>
      </c>
      <c r="B604" s="1" t="s">
        <v>1651</v>
      </c>
      <c r="D604" s="4">
        <v>44959</v>
      </c>
      <c r="E604" s="4">
        <v>44968</v>
      </c>
      <c r="F604" s="7">
        <v>18462</v>
      </c>
      <c r="G604" s="1">
        <v>48</v>
      </c>
      <c r="H604" s="1">
        <v>10</v>
      </c>
      <c r="I604" s="1">
        <v>65</v>
      </c>
      <c r="J604" s="1">
        <v>10</v>
      </c>
      <c r="K604" s="1">
        <v>44</v>
      </c>
      <c r="L604" s="1">
        <v>22</v>
      </c>
      <c r="M604" s="1">
        <v>0.66</v>
      </c>
      <c r="N604" s="1">
        <v>18.3</v>
      </c>
      <c r="O604" s="7">
        <v>18462</v>
      </c>
      <c r="P604" s="4">
        <v>44959</v>
      </c>
      <c r="Q604" s="4">
        <v>44968</v>
      </c>
      <c r="R604" s="1" t="s">
        <v>80</v>
      </c>
      <c r="AO604" s="7">
        <v>18462</v>
      </c>
      <c r="AP604" s="5">
        <v>5.1</v>
      </c>
      <c r="AQ604" s="5">
        <v>140</v>
      </c>
      <c r="AR604" s="5">
        <v>43.4</v>
      </c>
      <c r="AS604" s="5">
        <v>1</v>
      </c>
      <c r="AT604" s="5">
        <v>8</v>
      </c>
      <c r="AU604" s="5" t="s">
        <v>171</v>
      </c>
      <c r="AV604" s="5">
        <v>38.7</v>
      </c>
      <c r="AW604" s="5">
        <v>5.68</v>
      </c>
      <c r="AX604" s="5">
        <v>66</v>
      </c>
      <c r="AY604" s="5">
        <v>111.34</v>
      </c>
      <c r="AZ604" s="5">
        <v>9.04</v>
      </c>
      <c r="BA604" s="5">
        <v>4.98</v>
      </c>
      <c r="BB604" s="12" t="s">
        <v>76</v>
      </c>
      <c r="BC604" s="5">
        <v>3.98</v>
      </c>
      <c r="BD604" s="5">
        <v>140</v>
      </c>
      <c r="BE604" s="5">
        <v>1.33</v>
      </c>
      <c r="BF604" s="5">
        <v>3.2</v>
      </c>
      <c r="BG604" s="15">
        <v>36.4</v>
      </c>
      <c r="BH604" s="5">
        <v>72</v>
      </c>
      <c r="BI604" s="5">
        <v>72</v>
      </c>
      <c r="BJ604" s="5">
        <v>17</v>
      </c>
      <c r="BK604" s="5">
        <v>135</v>
      </c>
      <c r="BL604" s="5">
        <v>75</v>
      </c>
      <c r="BM604" s="5">
        <v>65</v>
      </c>
      <c r="BN604" s="5">
        <v>170</v>
      </c>
      <c r="BO604" s="5">
        <f t="shared" si="9"/>
        <v>22.4913494809689</v>
      </c>
      <c r="BP604" s="5" t="s">
        <v>121</v>
      </c>
      <c r="BQ604" s="5">
        <v>7.7</v>
      </c>
      <c r="BR604" s="5">
        <v>1914</v>
      </c>
    </row>
    <row r="605" s="1" customFormat="1" spans="1:70">
      <c r="A605" s="1">
        <v>3282063</v>
      </c>
      <c r="B605" s="1" t="s">
        <v>1652</v>
      </c>
      <c r="D605" s="4">
        <v>44965</v>
      </c>
      <c r="E605" s="4">
        <v>44972</v>
      </c>
      <c r="F605" s="7">
        <v>18462</v>
      </c>
      <c r="G605" s="1">
        <v>30</v>
      </c>
      <c r="H605" s="1">
        <v>10</v>
      </c>
      <c r="I605" s="1">
        <v>47</v>
      </c>
      <c r="J605" s="1">
        <v>10</v>
      </c>
      <c r="K605" s="1">
        <v>60</v>
      </c>
      <c r="L605" s="1">
        <v>32</v>
      </c>
      <c r="M605" s="1">
        <v>0.75</v>
      </c>
      <c r="N605" s="1">
        <v>7.9</v>
      </c>
      <c r="O605" s="7">
        <v>18462</v>
      </c>
      <c r="P605" s="4">
        <v>44965</v>
      </c>
      <c r="Q605" s="4">
        <v>44972</v>
      </c>
      <c r="R605" s="1" t="s">
        <v>80</v>
      </c>
      <c r="AO605" s="7">
        <v>18462</v>
      </c>
      <c r="AP605" s="5">
        <v>7.7</v>
      </c>
      <c r="AQ605" s="5">
        <v>123</v>
      </c>
      <c r="AR605" s="5">
        <v>38.2</v>
      </c>
      <c r="AS605" s="5">
        <v>6.4</v>
      </c>
      <c r="AT605" s="5">
        <v>15</v>
      </c>
      <c r="AU605" s="5">
        <v>12</v>
      </c>
      <c r="AV605" s="5">
        <v>40.8</v>
      </c>
      <c r="AW605" s="5">
        <v>7.02</v>
      </c>
      <c r="AX605" s="5">
        <v>85</v>
      </c>
      <c r="AY605" s="5">
        <v>81.69</v>
      </c>
      <c r="AZ605" s="5" t="s">
        <v>75</v>
      </c>
      <c r="BA605" s="5">
        <v>4.09</v>
      </c>
      <c r="BB605" s="12" t="s">
        <v>76</v>
      </c>
      <c r="BC605" s="5">
        <v>3.64</v>
      </c>
      <c r="BD605" s="5">
        <v>123</v>
      </c>
      <c r="BE605" s="5">
        <v>0.98</v>
      </c>
      <c r="BF605" s="5">
        <v>2.72</v>
      </c>
      <c r="BG605" s="15">
        <v>36.5</v>
      </c>
      <c r="BH605" s="5">
        <v>86</v>
      </c>
      <c r="BI605" s="5">
        <v>86</v>
      </c>
      <c r="BJ605" s="5">
        <v>20</v>
      </c>
      <c r="BK605" s="5">
        <v>190</v>
      </c>
      <c r="BL605" s="5">
        <v>110</v>
      </c>
      <c r="BM605" s="5">
        <v>53</v>
      </c>
      <c r="BN605" s="5">
        <v>163</v>
      </c>
      <c r="BO605" s="5">
        <f t="shared" si="9"/>
        <v>19.9480597689036</v>
      </c>
      <c r="BP605" s="5" t="s">
        <v>161</v>
      </c>
      <c r="BQ605" s="5">
        <v>5.2</v>
      </c>
      <c r="BR605" s="5">
        <v>2112</v>
      </c>
    </row>
    <row r="606" s="1" customFormat="1" spans="1:70">
      <c r="A606" s="1">
        <v>3265688</v>
      </c>
      <c r="B606" s="1" t="s">
        <v>1653</v>
      </c>
      <c r="D606" s="4">
        <v>44937</v>
      </c>
      <c r="E606" s="4">
        <v>44945</v>
      </c>
      <c r="F606" s="7">
        <v>18487</v>
      </c>
      <c r="G606" s="1">
        <v>49</v>
      </c>
      <c r="H606" s="1">
        <v>10</v>
      </c>
      <c r="I606" s="1">
        <v>70</v>
      </c>
      <c r="J606" s="1">
        <v>10</v>
      </c>
      <c r="K606" s="1">
        <v>23</v>
      </c>
      <c r="M606" s="1">
        <v>0.68</v>
      </c>
      <c r="N606" s="10">
        <v>14</v>
      </c>
      <c r="O606" s="7">
        <v>18487</v>
      </c>
      <c r="P606" s="4">
        <v>44937</v>
      </c>
      <c r="Q606" s="4">
        <v>44945</v>
      </c>
      <c r="R606" s="1" t="s">
        <v>80</v>
      </c>
      <c r="AO606" s="7">
        <v>18487</v>
      </c>
      <c r="AP606" s="5">
        <v>5.3</v>
      </c>
      <c r="AQ606" s="5">
        <v>129</v>
      </c>
      <c r="AR606" s="5">
        <v>39.7</v>
      </c>
      <c r="AS606" s="5">
        <v>97.4</v>
      </c>
      <c r="AT606" s="5">
        <v>40</v>
      </c>
      <c r="AU606" s="5">
        <v>44</v>
      </c>
      <c r="AV606" s="5">
        <v>35.6</v>
      </c>
      <c r="AW606" s="5">
        <v>7.7</v>
      </c>
      <c r="AX606" s="5">
        <v>96</v>
      </c>
      <c r="AY606" s="5">
        <v>70.99</v>
      </c>
      <c r="AZ606" s="5">
        <v>6.33</v>
      </c>
      <c r="BA606" s="5">
        <v>3.56</v>
      </c>
      <c r="BB606" s="12" t="s">
        <v>76</v>
      </c>
      <c r="BC606" s="5">
        <v>4.35</v>
      </c>
      <c r="BD606" s="5">
        <v>129</v>
      </c>
      <c r="BE606" s="5">
        <v>0.98</v>
      </c>
      <c r="BF606" s="5">
        <v>2.32</v>
      </c>
      <c r="BG606" s="15">
        <v>36.7</v>
      </c>
      <c r="BH606" s="5">
        <v>78</v>
      </c>
      <c r="BI606" s="5" t="s">
        <v>76</v>
      </c>
      <c r="BJ606" s="5">
        <v>16</v>
      </c>
      <c r="BK606" s="5">
        <v>117</v>
      </c>
      <c r="BL606" s="5">
        <v>74</v>
      </c>
      <c r="BM606" s="5" t="s">
        <v>77</v>
      </c>
      <c r="BN606" s="5" t="s">
        <v>77</v>
      </c>
      <c r="BO606" s="5" t="e">
        <f t="shared" si="9"/>
        <v>#VALUE!</v>
      </c>
      <c r="BP606" s="5" t="s">
        <v>1486</v>
      </c>
      <c r="BQ606" s="5" t="s">
        <v>76</v>
      </c>
      <c r="BR606" s="5">
        <v>1651</v>
      </c>
    </row>
    <row r="607" s="1" customFormat="1" spans="1:70">
      <c r="A607" s="1">
        <v>3256436</v>
      </c>
      <c r="B607" s="1" t="s">
        <v>1654</v>
      </c>
      <c r="D607" s="4">
        <v>44921</v>
      </c>
      <c r="E607" s="4">
        <v>44928</v>
      </c>
      <c r="F607" s="7">
        <v>18488</v>
      </c>
      <c r="G607" s="1">
        <v>36</v>
      </c>
      <c r="H607" s="1">
        <v>9</v>
      </c>
      <c r="I607" s="1">
        <v>47</v>
      </c>
      <c r="J607" s="1">
        <v>9</v>
      </c>
      <c r="K607" s="1">
        <v>60</v>
      </c>
      <c r="L607" s="1">
        <v>32</v>
      </c>
      <c r="M607" s="1">
        <v>0.61</v>
      </c>
      <c r="N607" s="1">
        <v>10.5</v>
      </c>
      <c r="O607" s="7">
        <v>18488</v>
      </c>
      <c r="P607" s="4">
        <v>44921</v>
      </c>
      <c r="Q607" s="4">
        <v>44928</v>
      </c>
      <c r="R607" s="1" t="s">
        <v>73</v>
      </c>
      <c r="AO607" s="7">
        <v>18488</v>
      </c>
      <c r="AP607" s="5">
        <v>6.5</v>
      </c>
      <c r="AQ607" s="5">
        <v>122</v>
      </c>
      <c r="AR607" s="5">
        <v>38.6</v>
      </c>
      <c r="AS607" s="5">
        <v>9.7</v>
      </c>
      <c r="AT607" s="5">
        <v>20</v>
      </c>
      <c r="AU607" s="5">
        <v>15</v>
      </c>
      <c r="AV607" s="5">
        <v>39.2</v>
      </c>
      <c r="AW607" s="5">
        <v>10.75</v>
      </c>
      <c r="AX607" s="5">
        <v>207</v>
      </c>
      <c r="AY607" s="5" t="s">
        <v>76</v>
      </c>
      <c r="AZ607" s="5" t="s">
        <v>75</v>
      </c>
      <c r="BA607" s="5">
        <v>5.59</v>
      </c>
      <c r="BB607" s="12" t="s">
        <v>76</v>
      </c>
      <c r="BC607" s="5">
        <v>3.69</v>
      </c>
      <c r="BD607" s="5">
        <v>122</v>
      </c>
      <c r="BE607" s="5">
        <v>0.89</v>
      </c>
      <c r="BF607" s="5">
        <v>4.02</v>
      </c>
      <c r="BG607" s="15">
        <v>36.3</v>
      </c>
      <c r="BH607" s="5">
        <v>110</v>
      </c>
      <c r="BI607" s="5" t="s">
        <v>76</v>
      </c>
      <c r="BJ607" s="5">
        <v>12</v>
      </c>
      <c r="BK607" s="5">
        <v>88</v>
      </c>
      <c r="BL607" s="5">
        <v>80</v>
      </c>
      <c r="BM607" s="5">
        <v>75</v>
      </c>
      <c r="BN607" s="5">
        <v>163</v>
      </c>
      <c r="BO607" s="5">
        <f t="shared" si="9"/>
        <v>28.2283864654296</v>
      </c>
      <c r="BP607" s="5" t="s">
        <v>438</v>
      </c>
      <c r="BQ607" s="5" t="s">
        <v>76</v>
      </c>
      <c r="BR607" s="5">
        <v>1438</v>
      </c>
    </row>
    <row r="608" s="1" customFormat="1" spans="1:70">
      <c r="A608" s="1">
        <v>3485610</v>
      </c>
      <c r="B608" s="1" t="s">
        <v>1655</v>
      </c>
      <c r="D608" s="4">
        <v>45247</v>
      </c>
      <c r="E608" s="4">
        <v>45264</v>
      </c>
      <c r="F608" s="7">
        <v>18505</v>
      </c>
      <c r="G608" s="1">
        <v>36</v>
      </c>
      <c r="H608" s="1">
        <v>10</v>
      </c>
      <c r="I608" s="1">
        <v>48</v>
      </c>
      <c r="J608" s="1">
        <v>10</v>
      </c>
      <c r="K608" s="1">
        <v>59</v>
      </c>
      <c r="L608" s="1">
        <v>31</v>
      </c>
      <c r="M608" s="1">
        <v>1.16</v>
      </c>
      <c r="N608" s="10">
        <v>13</v>
      </c>
      <c r="O608" s="7">
        <v>18505</v>
      </c>
      <c r="P608" s="4">
        <v>45247</v>
      </c>
      <c r="Q608" s="4">
        <v>45264</v>
      </c>
      <c r="R608" s="1" t="s">
        <v>80</v>
      </c>
      <c r="AO608" s="7">
        <v>18505</v>
      </c>
      <c r="AP608" s="5">
        <v>6.9</v>
      </c>
      <c r="AQ608" s="5">
        <v>78</v>
      </c>
      <c r="AR608" s="5">
        <v>26.4</v>
      </c>
      <c r="AS608" s="5">
        <v>98.2</v>
      </c>
      <c r="AT608" s="5">
        <v>31</v>
      </c>
      <c r="AU608" s="5">
        <v>17</v>
      </c>
      <c r="AV608" s="5">
        <v>32.8</v>
      </c>
      <c r="AW608" s="5">
        <v>8.27</v>
      </c>
      <c r="AX608" s="5">
        <v>56</v>
      </c>
      <c r="AY608" s="5" t="s">
        <v>125</v>
      </c>
      <c r="AZ608" s="5" t="s">
        <v>75</v>
      </c>
      <c r="BA608" s="5" t="s">
        <v>76</v>
      </c>
      <c r="BB608" s="12" t="s">
        <v>76</v>
      </c>
      <c r="BC608" s="5">
        <v>3.83</v>
      </c>
      <c r="BD608" s="5">
        <v>78</v>
      </c>
      <c r="BE608" s="5" t="s">
        <v>76</v>
      </c>
      <c r="BF608" s="5" t="s">
        <v>76</v>
      </c>
      <c r="BG608" s="15">
        <v>36.6</v>
      </c>
      <c r="BH608" s="5">
        <v>80</v>
      </c>
      <c r="BI608" s="5">
        <v>80</v>
      </c>
      <c r="BJ608" s="5">
        <v>18</v>
      </c>
      <c r="BK608" s="5">
        <v>111</v>
      </c>
      <c r="BL608" s="5">
        <v>55</v>
      </c>
      <c r="BM608" s="5">
        <v>60</v>
      </c>
      <c r="BN608" s="5">
        <v>173</v>
      </c>
      <c r="BO608" s="5">
        <f t="shared" si="9"/>
        <v>20.0474456213038</v>
      </c>
      <c r="BP608" s="5" t="s">
        <v>168</v>
      </c>
      <c r="BQ608" s="5">
        <v>8.9</v>
      </c>
      <c r="BR608" s="5">
        <v>973</v>
      </c>
    </row>
    <row r="609" s="1" customFormat="1" spans="1:70">
      <c r="A609" s="1">
        <v>3287863</v>
      </c>
      <c r="B609" s="1" t="s">
        <v>1656</v>
      </c>
      <c r="D609" s="4">
        <v>44974</v>
      </c>
      <c r="E609" s="4">
        <v>44979</v>
      </c>
      <c r="F609" s="7">
        <v>18509</v>
      </c>
      <c r="G609" s="1">
        <v>46</v>
      </c>
      <c r="H609" s="1">
        <v>10</v>
      </c>
      <c r="I609" s="1">
        <v>53</v>
      </c>
      <c r="J609" s="1">
        <v>10</v>
      </c>
      <c r="K609" s="1">
        <v>57</v>
      </c>
      <c r="L609" s="1">
        <v>30</v>
      </c>
      <c r="N609" s="1">
        <v>11.6</v>
      </c>
      <c r="O609" s="7">
        <v>18509</v>
      </c>
      <c r="P609" s="4">
        <v>44974</v>
      </c>
      <c r="Q609" s="4">
        <v>44979</v>
      </c>
      <c r="R609" s="1" t="s">
        <v>80</v>
      </c>
      <c r="AO609" s="7">
        <v>18509</v>
      </c>
      <c r="AP609" s="5">
        <v>6.7</v>
      </c>
      <c r="AQ609" s="5">
        <v>104</v>
      </c>
      <c r="AR609" s="5">
        <v>35.4</v>
      </c>
      <c r="AS609" s="5" t="s">
        <v>76</v>
      </c>
      <c r="AT609" s="5">
        <v>21</v>
      </c>
      <c r="AU609" s="5">
        <v>17</v>
      </c>
      <c r="AV609" s="5">
        <v>35.1</v>
      </c>
      <c r="AW609" s="5">
        <v>5.46</v>
      </c>
      <c r="AX609" s="5">
        <v>51</v>
      </c>
      <c r="AY609" s="5" t="s">
        <v>76</v>
      </c>
      <c r="AZ609" s="5" t="s">
        <v>75</v>
      </c>
      <c r="BA609" s="5">
        <v>2.84</v>
      </c>
      <c r="BB609" s="12" t="s">
        <v>76</v>
      </c>
      <c r="BC609" s="5" t="s">
        <v>76</v>
      </c>
      <c r="BD609" s="5">
        <v>104</v>
      </c>
      <c r="BE609" s="5" t="s">
        <v>76</v>
      </c>
      <c r="BF609" s="5" t="s">
        <v>76</v>
      </c>
      <c r="BG609" s="15">
        <v>36</v>
      </c>
      <c r="BH609" s="5" t="s">
        <v>76</v>
      </c>
      <c r="BI609" s="5">
        <v>96</v>
      </c>
      <c r="BJ609" s="5">
        <v>22</v>
      </c>
      <c r="BK609" s="5">
        <v>126</v>
      </c>
      <c r="BL609" s="5">
        <v>76</v>
      </c>
      <c r="BM609" s="5">
        <v>85</v>
      </c>
      <c r="BN609" s="5">
        <v>180</v>
      </c>
      <c r="BO609" s="5">
        <f t="shared" si="9"/>
        <v>26.2345679012346</v>
      </c>
      <c r="BP609" s="5" t="s">
        <v>161</v>
      </c>
      <c r="BQ609" s="5" t="s">
        <v>76</v>
      </c>
      <c r="BR609" s="5">
        <v>1274</v>
      </c>
    </row>
    <row r="610" s="1" customFormat="1" spans="1:70">
      <c r="A610" s="1" t="s">
        <v>1657</v>
      </c>
      <c r="B610" s="1" t="s">
        <v>1658</v>
      </c>
      <c r="D610" s="4">
        <v>44937</v>
      </c>
      <c r="E610" s="4">
        <v>44942</v>
      </c>
      <c r="F610" s="7">
        <v>18540</v>
      </c>
      <c r="G610" s="1">
        <v>37</v>
      </c>
      <c r="H610" s="1">
        <v>9</v>
      </c>
      <c r="I610" s="1">
        <v>47</v>
      </c>
      <c r="J610" s="1">
        <v>9</v>
      </c>
      <c r="K610" s="1">
        <v>59</v>
      </c>
      <c r="L610" s="1">
        <v>31</v>
      </c>
      <c r="M610" s="1">
        <v>0.76</v>
      </c>
      <c r="N610" s="1">
        <v>14</v>
      </c>
      <c r="O610" s="7">
        <v>18540</v>
      </c>
      <c r="P610" s="4">
        <v>44937</v>
      </c>
      <c r="Q610" s="4">
        <v>44942</v>
      </c>
      <c r="R610" s="1" t="s">
        <v>73</v>
      </c>
      <c r="AO610" s="7">
        <v>18540</v>
      </c>
      <c r="AP610" s="5" t="s">
        <v>1659</v>
      </c>
      <c r="AQ610" s="5" t="s">
        <v>972</v>
      </c>
      <c r="AR610" s="5" t="s">
        <v>536</v>
      </c>
      <c r="AS610" s="5" t="s">
        <v>1660</v>
      </c>
      <c r="AT610" s="5" t="s">
        <v>511</v>
      </c>
      <c r="AU610" s="5" t="s">
        <v>391</v>
      </c>
      <c r="AV610" s="5" t="s">
        <v>1561</v>
      </c>
      <c r="AW610" s="5" t="s">
        <v>1661</v>
      </c>
      <c r="AX610" s="5" t="s">
        <v>422</v>
      </c>
      <c r="AY610" s="5" t="s">
        <v>76</v>
      </c>
      <c r="AZ610" s="5" t="s">
        <v>1662</v>
      </c>
      <c r="BA610" s="5" t="s">
        <v>76</v>
      </c>
      <c r="BB610" s="12" t="s">
        <v>76</v>
      </c>
      <c r="BC610" s="5" t="s">
        <v>1663</v>
      </c>
      <c r="BD610" s="5" t="s">
        <v>972</v>
      </c>
      <c r="BE610" s="5" t="s">
        <v>76</v>
      </c>
      <c r="BF610" s="5" t="s">
        <v>76</v>
      </c>
      <c r="BG610" s="15">
        <v>36.9</v>
      </c>
      <c r="BH610" s="5" t="s">
        <v>76</v>
      </c>
      <c r="BI610" s="5" t="s">
        <v>493</v>
      </c>
      <c r="BJ610" s="5" t="s">
        <v>445</v>
      </c>
      <c r="BK610" s="5" t="s">
        <v>1664</v>
      </c>
      <c r="BL610" s="5" t="s">
        <v>419</v>
      </c>
      <c r="BM610" s="5" t="s">
        <v>192</v>
      </c>
      <c r="BN610" s="5">
        <v>160</v>
      </c>
      <c r="BO610" s="5">
        <f t="shared" si="9"/>
        <v>30.46875</v>
      </c>
      <c r="BP610" s="5" t="s">
        <v>986</v>
      </c>
      <c r="BQ610" s="5" t="s">
        <v>76</v>
      </c>
      <c r="BR610" s="5">
        <v>1825</v>
      </c>
    </row>
    <row r="611" s="1" customFormat="1" spans="1:70">
      <c r="A611" s="1" t="s">
        <v>1665</v>
      </c>
      <c r="B611" s="1" t="s">
        <v>1666</v>
      </c>
      <c r="D611" s="4">
        <v>45260</v>
      </c>
      <c r="E611" s="4">
        <v>45271</v>
      </c>
      <c r="F611" s="7">
        <v>18542</v>
      </c>
      <c r="G611" s="1">
        <v>46</v>
      </c>
      <c r="H611" s="1">
        <v>8</v>
      </c>
      <c r="I611" s="1">
        <v>59</v>
      </c>
      <c r="J611" s="1">
        <v>8</v>
      </c>
      <c r="K611" s="1">
        <v>64</v>
      </c>
      <c r="L611" s="1">
        <v>36</v>
      </c>
      <c r="M611" s="1">
        <v>0.89</v>
      </c>
      <c r="N611" s="1">
        <v>11</v>
      </c>
      <c r="O611" s="7">
        <v>18542</v>
      </c>
      <c r="P611" s="4">
        <v>45260</v>
      </c>
      <c r="Q611" s="4">
        <v>45271</v>
      </c>
      <c r="R611" s="1" t="s">
        <v>80</v>
      </c>
      <c r="AO611" s="7">
        <v>18542</v>
      </c>
      <c r="AP611" s="5" t="s">
        <v>489</v>
      </c>
      <c r="AQ611" s="5" t="s">
        <v>129</v>
      </c>
      <c r="AR611" s="5" t="s">
        <v>1667</v>
      </c>
      <c r="AS611" s="5" t="s">
        <v>1668</v>
      </c>
      <c r="AT611" s="5" t="s">
        <v>344</v>
      </c>
      <c r="AU611" s="5" t="s">
        <v>183</v>
      </c>
      <c r="AV611" s="5" t="s">
        <v>1669</v>
      </c>
      <c r="AW611" s="5" t="s">
        <v>406</v>
      </c>
      <c r="AX611" s="5" t="s">
        <v>192</v>
      </c>
      <c r="AY611" s="5" t="s">
        <v>125</v>
      </c>
      <c r="AZ611" s="5" t="s">
        <v>75</v>
      </c>
      <c r="BA611" s="5" t="s">
        <v>76</v>
      </c>
      <c r="BB611" s="12" t="s">
        <v>76</v>
      </c>
      <c r="BC611" s="5" t="s">
        <v>330</v>
      </c>
      <c r="BD611" s="5" t="s">
        <v>129</v>
      </c>
      <c r="BE611" s="5" t="s">
        <v>76</v>
      </c>
      <c r="BF611" s="5" t="s">
        <v>76</v>
      </c>
      <c r="BG611" s="15">
        <v>36</v>
      </c>
      <c r="BH611" s="5" t="s">
        <v>140</v>
      </c>
      <c r="BI611" s="5" t="s">
        <v>140</v>
      </c>
      <c r="BJ611" s="5" t="s">
        <v>1249</v>
      </c>
      <c r="BK611" s="5" t="s">
        <v>818</v>
      </c>
      <c r="BL611" s="5" t="s">
        <v>212</v>
      </c>
      <c r="BM611" s="5" t="s">
        <v>1670</v>
      </c>
      <c r="BN611" s="5">
        <v>0</v>
      </c>
      <c r="BO611" s="5" t="e">
        <f t="shared" si="9"/>
        <v>#DIV/0!</v>
      </c>
      <c r="BP611" s="5" t="s">
        <v>353</v>
      </c>
      <c r="BQ611" s="5" t="s">
        <v>76</v>
      </c>
      <c r="BR611" s="5">
        <v>1820</v>
      </c>
    </row>
    <row r="612" s="1" customFormat="1" spans="1:70">
      <c r="A612" s="1" t="s">
        <v>1671</v>
      </c>
      <c r="B612" s="1" t="s">
        <v>1672</v>
      </c>
      <c r="D612" s="4">
        <v>44957</v>
      </c>
      <c r="E612" s="4">
        <v>44978</v>
      </c>
      <c r="F612" s="7">
        <v>18546</v>
      </c>
      <c r="G612" s="1">
        <v>44</v>
      </c>
      <c r="H612" s="1">
        <v>10</v>
      </c>
      <c r="I612" s="1">
        <v>55</v>
      </c>
      <c r="J612" s="1">
        <v>10</v>
      </c>
      <c r="K612" s="1">
        <v>66</v>
      </c>
      <c r="L612" s="1">
        <v>36</v>
      </c>
      <c r="M612" s="1">
        <v>0.91</v>
      </c>
      <c r="N612" s="1">
        <v>13.1</v>
      </c>
      <c r="O612" s="7">
        <v>18546</v>
      </c>
      <c r="P612" s="4">
        <v>44957</v>
      </c>
      <c r="Q612" s="4">
        <v>44978</v>
      </c>
      <c r="R612" s="1" t="s">
        <v>80</v>
      </c>
      <c r="AO612" s="7">
        <v>18546</v>
      </c>
      <c r="AP612" s="5" t="s">
        <v>1673</v>
      </c>
      <c r="AQ612" s="5" t="s">
        <v>613</v>
      </c>
      <c r="AR612" s="5" t="s">
        <v>1674</v>
      </c>
      <c r="AS612" s="5" t="s">
        <v>1675</v>
      </c>
      <c r="AT612" s="5" t="s">
        <v>614</v>
      </c>
      <c r="AU612" s="5" t="s">
        <v>309</v>
      </c>
      <c r="AV612" s="5" t="s">
        <v>184</v>
      </c>
      <c r="AW612" s="5" t="s">
        <v>1676</v>
      </c>
      <c r="AX612" s="5" t="s">
        <v>533</v>
      </c>
      <c r="AY612" s="5" t="s">
        <v>125</v>
      </c>
      <c r="AZ612" s="5" t="s">
        <v>75</v>
      </c>
      <c r="BA612" s="5" t="s">
        <v>76</v>
      </c>
      <c r="BB612" s="12" t="s">
        <v>76</v>
      </c>
      <c r="BC612" s="5" t="s">
        <v>1281</v>
      </c>
      <c r="BD612" s="5" t="s">
        <v>613</v>
      </c>
      <c r="BE612" s="5" t="s">
        <v>76</v>
      </c>
      <c r="BF612" s="5" t="s">
        <v>76</v>
      </c>
      <c r="BG612" s="15">
        <v>36.5</v>
      </c>
      <c r="BH612" s="5" t="s">
        <v>192</v>
      </c>
      <c r="BI612" s="5" t="s">
        <v>76</v>
      </c>
      <c r="BJ612" s="5" t="s">
        <v>246</v>
      </c>
      <c r="BK612" s="5" t="s">
        <v>1222</v>
      </c>
      <c r="BL612" s="5" t="s">
        <v>760</v>
      </c>
      <c r="BM612" s="5" t="s">
        <v>140</v>
      </c>
      <c r="BN612" s="5">
        <v>175</v>
      </c>
      <c r="BO612" s="5">
        <f t="shared" si="9"/>
        <v>26.1224489795918</v>
      </c>
      <c r="BP612" s="5" t="s">
        <v>412</v>
      </c>
      <c r="BQ612" s="5" t="s">
        <v>76</v>
      </c>
      <c r="BR612" s="5">
        <v>4293</v>
      </c>
    </row>
    <row r="613" s="1" customFormat="1" spans="1:70">
      <c r="A613" s="1">
        <v>3240284</v>
      </c>
      <c r="B613" s="1" t="s">
        <v>1677</v>
      </c>
      <c r="D613" s="4">
        <v>44883</v>
      </c>
      <c r="E613" s="4">
        <v>44888</v>
      </c>
      <c r="F613" s="7">
        <v>18547</v>
      </c>
      <c r="G613" s="1">
        <v>41</v>
      </c>
      <c r="H613" s="1">
        <v>9</v>
      </c>
      <c r="I613" s="1">
        <v>49</v>
      </c>
      <c r="J613" s="1">
        <v>9</v>
      </c>
      <c r="K613" s="1">
        <v>69</v>
      </c>
      <c r="L613" s="1">
        <v>38</v>
      </c>
      <c r="M613" s="1">
        <v>0.74</v>
      </c>
      <c r="N613" s="1">
        <v>10.7</v>
      </c>
      <c r="O613" s="7">
        <v>18547</v>
      </c>
      <c r="P613" s="4">
        <v>44883</v>
      </c>
      <c r="Q613" s="4">
        <v>44888</v>
      </c>
      <c r="R613" s="1" t="s">
        <v>73</v>
      </c>
      <c r="AO613" s="7">
        <v>18547</v>
      </c>
      <c r="AP613" s="5">
        <v>7.6</v>
      </c>
      <c r="AQ613" s="5">
        <v>80</v>
      </c>
      <c r="AR613" s="5">
        <v>26.7</v>
      </c>
      <c r="AS613" s="5">
        <v>1.3</v>
      </c>
      <c r="AT613" s="5">
        <v>18</v>
      </c>
      <c r="AU613" s="5">
        <v>7</v>
      </c>
      <c r="AV613" s="5">
        <v>30.5</v>
      </c>
      <c r="AW613" s="5">
        <v>14.65</v>
      </c>
      <c r="AX613" s="5">
        <v>256</v>
      </c>
      <c r="AY613" s="5">
        <v>16.98</v>
      </c>
      <c r="AZ613" s="5" t="s">
        <v>75</v>
      </c>
      <c r="BA613" s="5">
        <v>4.5</v>
      </c>
      <c r="BB613" s="12" t="s">
        <v>76</v>
      </c>
      <c r="BC613" s="5">
        <v>5.96</v>
      </c>
      <c r="BD613" s="5">
        <v>80</v>
      </c>
      <c r="BE613" s="5" t="s">
        <v>76</v>
      </c>
      <c r="BF613" s="5" t="s">
        <v>76</v>
      </c>
      <c r="BG613" s="15">
        <v>36.5</v>
      </c>
      <c r="BH613" s="5" t="s">
        <v>76</v>
      </c>
      <c r="BI613" s="5">
        <v>80</v>
      </c>
      <c r="BJ613" s="5">
        <v>16</v>
      </c>
      <c r="BK613" s="5">
        <v>154</v>
      </c>
      <c r="BL613" s="5">
        <v>70</v>
      </c>
      <c r="BM613" s="5" t="s">
        <v>77</v>
      </c>
      <c r="BN613" s="5" t="s">
        <v>77</v>
      </c>
      <c r="BO613" s="5" t="e">
        <f t="shared" si="9"/>
        <v>#VALUE!</v>
      </c>
      <c r="BP613" s="5" t="s">
        <v>300</v>
      </c>
      <c r="BQ613" s="5" t="s">
        <v>76</v>
      </c>
      <c r="BR613" s="5">
        <v>4988</v>
      </c>
    </row>
    <row r="614" s="1" customFormat="1" spans="1:70">
      <c r="A614" s="1">
        <v>3242130</v>
      </c>
      <c r="B614" s="1" t="s">
        <v>1678</v>
      </c>
      <c r="D614" s="4">
        <v>44886</v>
      </c>
      <c r="E614" s="4">
        <v>44887</v>
      </c>
      <c r="F614" s="7">
        <v>18571</v>
      </c>
      <c r="G614" s="1">
        <v>43</v>
      </c>
      <c r="H614" s="1">
        <v>10</v>
      </c>
      <c r="I614" s="1">
        <v>57</v>
      </c>
      <c r="J614" s="1">
        <v>10</v>
      </c>
      <c r="K614" s="1">
        <v>38</v>
      </c>
      <c r="L614" s="1">
        <v>19</v>
      </c>
      <c r="M614" s="1">
        <v>1.04</v>
      </c>
      <c r="N614" s="1">
        <v>15.3</v>
      </c>
      <c r="O614" s="7">
        <v>18571</v>
      </c>
      <c r="P614" s="4">
        <v>44886</v>
      </c>
      <c r="Q614" s="4">
        <v>44887</v>
      </c>
      <c r="R614" s="1" t="s">
        <v>80</v>
      </c>
      <c r="AO614" s="7">
        <v>18571</v>
      </c>
      <c r="AP614" s="5">
        <v>4.6</v>
      </c>
      <c r="AQ614" s="5">
        <v>147</v>
      </c>
      <c r="AR614" s="5">
        <v>45.9</v>
      </c>
      <c r="AS614" s="5" t="s">
        <v>81</v>
      </c>
      <c r="AT614" s="5">
        <v>14</v>
      </c>
      <c r="AU614" s="5">
        <v>14</v>
      </c>
      <c r="AV614" s="5">
        <v>39.5</v>
      </c>
      <c r="AW614" s="5">
        <v>5.86</v>
      </c>
      <c r="AX614" s="5">
        <v>75</v>
      </c>
      <c r="AY614" s="5">
        <v>94.39</v>
      </c>
      <c r="AZ614" s="5" t="s">
        <v>76</v>
      </c>
      <c r="BA614" s="5" t="s">
        <v>76</v>
      </c>
      <c r="BB614" s="12" t="s">
        <v>76</v>
      </c>
      <c r="BC614" s="5">
        <v>4.53</v>
      </c>
      <c r="BD614" s="5">
        <v>147</v>
      </c>
      <c r="BE614" s="5" t="s">
        <v>76</v>
      </c>
      <c r="BF614" s="5" t="s">
        <v>76</v>
      </c>
      <c r="BG614" s="15">
        <v>36.6</v>
      </c>
      <c r="BH614" s="5">
        <v>82</v>
      </c>
      <c r="BI614" s="5" t="s">
        <v>76</v>
      </c>
      <c r="BJ614" s="5">
        <v>18</v>
      </c>
      <c r="BK614" s="5">
        <v>129</v>
      </c>
      <c r="BL614" s="5">
        <v>87</v>
      </c>
      <c r="BM614" s="5">
        <v>68</v>
      </c>
      <c r="BN614" s="5">
        <v>165</v>
      </c>
      <c r="BO614" s="5">
        <f t="shared" si="9"/>
        <v>24.9770431588613</v>
      </c>
      <c r="BP614" s="5" t="s">
        <v>109</v>
      </c>
      <c r="BQ614" s="5" t="s">
        <v>76</v>
      </c>
      <c r="BR614" s="5">
        <v>1942</v>
      </c>
    </row>
    <row r="615" s="1" customFormat="1" spans="1:70">
      <c r="A615" s="1">
        <v>3273748</v>
      </c>
      <c r="B615" s="1" t="s">
        <v>1679</v>
      </c>
      <c r="D615" s="4">
        <v>44955</v>
      </c>
      <c r="E615" s="4">
        <v>44985</v>
      </c>
      <c r="F615" s="7">
        <v>18573</v>
      </c>
      <c r="G615" s="1">
        <v>30</v>
      </c>
      <c r="H615" s="1">
        <v>8</v>
      </c>
      <c r="I615" s="1">
        <v>41</v>
      </c>
      <c r="J615" s="1">
        <v>8</v>
      </c>
      <c r="K615" s="1">
        <v>57</v>
      </c>
      <c r="L615" s="1">
        <v>30</v>
      </c>
      <c r="M615" s="1">
        <v>0.57</v>
      </c>
      <c r="O615" s="7">
        <v>18573</v>
      </c>
      <c r="P615" s="4">
        <v>44955</v>
      </c>
      <c r="Q615" s="4">
        <v>44985</v>
      </c>
      <c r="R615" s="1" t="s">
        <v>80</v>
      </c>
      <c r="AO615" s="7">
        <v>18573</v>
      </c>
      <c r="AP615" s="5">
        <v>9.3</v>
      </c>
      <c r="AQ615" s="5">
        <v>97</v>
      </c>
      <c r="AR615" s="5">
        <v>33.2</v>
      </c>
      <c r="AS615" s="5">
        <v>98.8</v>
      </c>
      <c r="AT615" s="5">
        <v>61</v>
      </c>
      <c r="AU615" s="5">
        <v>79</v>
      </c>
      <c r="AV615" s="5">
        <v>38.6</v>
      </c>
      <c r="AW615" s="5">
        <v>8.52</v>
      </c>
      <c r="AX615" s="5" t="s">
        <v>1455</v>
      </c>
      <c r="AY615" s="5" t="s">
        <v>125</v>
      </c>
      <c r="AZ615" s="5" t="s">
        <v>75</v>
      </c>
      <c r="BA615" s="5" t="s">
        <v>76</v>
      </c>
      <c r="BB615" s="12" t="s">
        <v>76</v>
      </c>
      <c r="BC615" s="5">
        <v>4.72</v>
      </c>
      <c r="BD615" s="5">
        <v>97</v>
      </c>
      <c r="BE615" s="5" t="s">
        <v>76</v>
      </c>
      <c r="BF615" s="5" t="s">
        <v>76</v>
      </c>
      <c r="BG615" s="15">
        <v>37</v>
      </c>
      <c r="BH615" s="5" t="s">
        <v>76</v>
      </c>
      <c r="BI615" s="5">
        <v>92</v>
      </c>
      <c r="BJ615" s="5">
        <v>28</v>
      </c>
      <c r="BK615" s="5">
        <v>132</v>
      </c>
      <c r="BL615" s="5">
        <v>79</v>
      </c>
      <c r="BM615" s="5" t="s">
        <v>77</v>
      </c>
      <c r="BN615" s="5" t="s">
        <v>77</v>
      </c>
      <c r="BO615" s="5" t="e">
        <f t="shared" si="9"/>
        <v>#VALUE!</v>
      </c>
      <c r="BP615" s="5" t="s">
        <v>117</v>
      </c>
      <c r="BQ615" s="5" t="s">
        <v>76</v>
      </c>
      <c r="BR615" s="5">
        <v>983</v>
      </c>
    </row>
    <row r="616" s="1" customFormat="1" spans="1:70">
      <c r="A616" s="1">
        <v>3270026</v>
      </c>
      <c r="B616" s="1" t="s">
        <v>1680</v>
      </c>
      <c r="D616" s="4">
        <v>44950</v>
      </c>
      <c r="E616" s="4">
        <v>44957</v>
      </c>
      <c r="F616" s="7">
        <v>18588</v>
      </c>
      <c r="G616" s="1">
        <v>40</v>
      </c>
      <c r="H616" s="1">
        <v>9</v>
      </c>
      <c r="I616" s="1">
        <v>49</v>
      </c>
      <c r="J616" s="1">
        <v>8</v>
      </c>
      <c r="K616" s="1">
        <v>51</v>
      </c>
      <c r="L616" s="1">
        <v>26</v>
      </c>
      <c r="M616" s="1">
        <v>0.8</v>
      </c>
      <c r="N616" s="1">
        <v>19.6</v>
      </c>
      <c r="O616" s="7">
        <v>18588</v>
      </c>
      <c r="P616" s="4">
        <v>44950</v>
      </c>
      <c r="Q616" s="4">
        <v>44957</v>
      </c>
      <c r="R616" s="1" t="s">
        <v>73</v>
      </c>
      <c r="AO616" s="7">
        <v>18588</v>
      </c>
      <c r="AP616" s="5">
        <v>9.8</v>
      </c>
      <c r="AQ616" s="5">
        <v>99</v>
      </c>
      <c r="AR616" s="5">
        <v>36.4</v>
      </c>
      <c r="AS616" s="5">
        <v>9.7</v>
      </c>
      <c r="AT616" s="5">
        <v>54</v>
      </c>
      <c r="AU616" s="5">
        <v>37</v>
      </c>
      <c r="AV616" s="5">
        <v>37.4</v>
      </c>
      <c r="AW616" s="5">
        <v>8.03</v>
      </c>
      <c r="AX616" s="5">
        <v>76</v>
      </c>
      <c r="AY616" s="5">
        <v>94.22</v>
      </c>
      <c r="AZ616" s="5" t="s">
        <v>75</v>
      </c>
      <c r="BA616" s="5">
        <v>4.73</v>
      </c>
      <c r="BB616" s="12" t="s">
        <v>76</v>
      </c>
      <c r="BC616" s="5">
        <v>4.19</v>
      </c>
      <c r="BD616" s="5">
        <v>99</v>
      </c>
      <c r="BE616" s="5">
        <v>1.03</v>
      </c>
      <c r="BF616" s="5">
        <v>2.96</v>
      </c>
      <c r="BG616" s="15">
        <v>36.2</v>
      </c>
      <c r="BH616" s="5">
        <v>84</v>
      </c>
      <c r="BI616" s="5">
        <v>84</v>
      </c>
      <c r="BJ616" s="5">
        <v>18</v>
      </c>
      <c r="BK616" s="5">
        <v>129</v>
      </c>
      <c r="BL616" s="5">
        <v>81</v>
      </c>
      <c r="BM616" s="5">
        <v>56</v>
      </c>
      <c r="BN616" s="5">
        <v>161</v>
      </c>
      <c r="BO616" s="5">
        <f t="shared" si="9"/>
        <v>21.6041047799082</v>
      </c>
      <c r="BP616" s="5" t="s">
        <v>323</v>
      </c>
      <c r="BQ616" s="5">
        <v>6.3</v>
      </c>
      <c r="BR616" s="5">
        <v>4316</v>
      </c>
    </row>
    <row r="617" s="1" customFormat="1" spans="1:70">
      <c r="A617" s="1">
        <v>3325379</v>
      </c>
      <c r="B617" s="1" t="s">
        <v>1681</v>
      </c>
      <c r="D617" s="4">
        <v>45026</v>
      </c>
      <c r="E617" s="4">
        <v>45033</v>
      </c>
      <c r="F617" s="7">
        <v>18599</v>
      </c>
      <c r="G617" s="1">
        <v>33</v>
      </c>
      <c r="H617" s="1">
        <v>8</v>
      </c>
      <c r="I617" s="1">
        <v>46</v>
      </c>
      <c r="J617" s="1">
        <v>8</v>
      </c>
      <c r="K617" s="1">
        <v>67</v>
      </c>
      <c r="L617" s="1">
        <v>37</v>
      </c>
      <c r="M617" s="1">
        <v>0.81</v>
      </c>
      <c r="N617" s="1">
        <v>8.5</v>
      </c>
      <c r="O617" s="7">
        <v>18599</v>
      </c>
      <c r="P617" s="4">
        <v>45026</v>
      </c>
      <c r="Q617" s="4">
        <v>45033</v>
      </c>
      <c r="R617" s="1" t="s">
        <v>73</v>
      </c>
      <c r="S617" s="1">
        <v>72</v>
      </c>
      <c r="T617" s="1" t="s">
        <v>1682</v>
      </c>
      <c r="V617" s="1" t="s">
        <v>155</v>
      </c>
      <c r="W617" s="1" t="s">
        <v>155</v>
      </c>
      <c r="AA617" s="1" t="s">
        <v>155</v>
      </c>
      <c r="AH617" s="1">
        <v>1</v>
      </c>
      <c r="AN617" s="1">
        <v>1</v>
      </c>
      <c r="AO617" s="7">
        <v>18599</v>
      </c>
      <c r="AP617" s="5">
        <v>6.1</v>
      </c>
      <c r="AQ617" s="5">
        <v>117</v>
      </c>
      <c r="AR617" s="5">
        <v>37</v>
      </c>
      <c r="AS617" s="5">
        <v>2.4</v>
      </c>
      <c r="AT617" s="5">
        <v>19</v>
      </c>
      <c r="AU617" s="5">
        <v>22</v>
      </c>
      <c r="AV617" s="5">
        <v>44.8</v>
      </c>
      <c r="AW617" s="5">
        <v>14.59</v>
      </c>
      <c r="AX617" s="5">
        <v>242</v>
      </c>
      <c r="AY617" s="5">
        <v>18.12</v>
      </c>
      <c r="AZ617" s="5" t="s">
        <v>75</v>
      </c>
      <c r="BA617" s="5">
        <v>7.11</v>
      </c>
      <c r="BB617" s="12" t="s">
        <v>76</v>
      </c>
      <c r="BC617" s="5" t="s">
        <v>4</v>
      </c>
      <c r="BD617" s="5">
        <v>117</v>
      </c>
      <c r="BE617" s="5">
        <v>1.14</v>
      </c>
      <c r="BF617" s="5">
        <v>3.56</v>
      </c>
      <c r="BG617" s="15">
        <v>36.3</v>
      </c>
      <c r="BH617" s="5">
        <v>81</v>
      </c>
      <c r="BI617" s="5">
        <v>81</v>
      </c>
      <c r="BJ617" s="5">
        <v>16</v>
      </c>
      <c r="BK617" s="5">
        <v>144</v>
      </c>
      <c r="BL617" s="5">
        <v>78</v>
      </c>
      <c r="BM617" s="5">
        <v>75</v>
      </c>
      <c r="BN617" s="5">
        <v>167</v>
      </c>
      <c r="BO617" s="5">
        <f t="shared" si="9"/>
        <v>26.8923231381548</v>
      </c>
      <c r="BP617" s="5" t="s">
        <v>300</v>
      </c>
      <c r="BQ617" s="5">
        <v>5.5</v>
      </c>
      <c r="BR617" s="5">
        <v>949</v>
      </c>
    </row>
    <row r="618" s="1" customFormat="1" spans="1:70">
      <c r="A618" s="1">
        <v>3250693</v>
      </c>
      <c r="B618" s="1" t="s">
        <v>1683</v>
      </c>
      <c r="D618" s="4">
        <v>44902</v>
      </c>
      <c r="E618" s="4">
        <v>44911</v>
      </c>
      <c r="F618" s="7">
        <v>18613</v>
      </c>
      <c r="G618" s="1">
        <v>46</v>
      </c>
      <c r="H618" s="1">
        <v>9</v>
      </c>
      <c r="I618" s="1">
        <v>47</v>
      </c>
      <c r="J618" s="1">
        <v>9</v>
      </c>
      <c r="K618" s="1">
        <v>63</v>
      </c>
      <c r="L618" s="1">
        <v>34</v>
      </c>
      <c r="N618" s="1">
        <v>9.8</v>
      </c>
      <c r="O618" s="7">
        <v>18613</v>
      </c>
      <c r="P618" s="4">
        <v>44902</v>
      </c>
      <c r="Q618" s="4">
        <v>44911</v>
      </c>
      <c r="R618" s="1" t="s">
        <v>80</v>
      </c>
      <c r="S618" s="1">
        <v>71</v>
      </c>
      <c r="T618" s="1">
        <v>15996960049</v>
      </c>
      <c r="V618" s="1">
        <v>1</v>
      </c>
      <c r="Z618" s="1">
        <v>1</v>
      </c>
      <c r="AB618" s="1">
        <v>1</v>
      </c>
      <c r="AC618" s="1">
        <v>1</v>
      </c>
      <c r="AG618" s="1">
        <v>1</v>
      </c>
      <c r="AH618" s="1">
        <v>1</v>
      </c>
      <c r="AM618" s="1">
        <v>1</v>
      </c>
      <c r="AO618" s="7">
        <v>18613</v>
      </c>
      <c r="AP618" s="5">
        <v>6.6</v>
      </c>
      <c r="AQ618" s="5">
        <v>142</v>
      </c>
      <c r="AR618" s="5">
        <v>43.7</v>
      </c>
      <c r="AS618" s="5" t="s">
        <v>81</v>
      </c>
      <c r="AT618" s="5">
        <v>19</v>
      </c>
      <c r="AU618" s="5">
        <v>24</v>
      </c>
      <c r="AV618" s="5">
        <v>39.5</v>
      </c>
      <c r="AW618" s="5">
        <v>7.86</v>
      </c>
      <c r="AX618" s="5">
        <v>115</v>
      </c>
      <c r="AY618" s="5">
        <v>57.8</v>
      </c>
      <c r="AZ618" s="5" t="s">
        <v>75</v>
      </c>
      <c r="BA618" s="5">
        <v>3.45</v>
      </c>
      <c r="BB618" s="12" t="s">
        <v>76</v>
      </c>
      <c r="BC618" s="5">
        <v>3.91</v>
      </c>
      <c r="BD618" s="5">
        <v>142</v>
      </c>
      <c r="BE618" s="5">
        <v>0.82</v>
      </c>
      <c r="BF618" s="5">
        <v>1.76</v>
      </c>
      <c r="BG618" s="15">
        <v>36.5</v>
      </c>
      <c r="BH618" s="5">
        <v>85</v>
      </c>
      <c r="BI618" s="5">
        <v>85</v>
      </c>
      <c r="BJ618" s="5">
        <v>19</v>
      </c>
      <c r="BK618" s="5">
        <v>141</v>
      </c>
      <c r="BL618" s="5">
        <v>109</v>
      </c>
      <c r="BM618" s="5">
        <v>79</v>
      </c>
      <c r="BN618" s="5">
        <v>170</v>
      </c>
      <c r="BO618" s="5">
        <f t="shared" si="9"/>
        <v>27.3356401384083</v>
      </c>
      <c r="BP618" s="5" t="s">
        <v>161</v>
      </c>
      <c r="BQ618" s="5">
        <v>6</v>
      </c>
      <c r="BR618" s="5">
        <v>1604</v>
      </c>
    </row>
    <row r="619" s="1" customFormat="1" spans="1:70">
      <c r="A619" s="1">
        <v>3511737</v>
      </c>
      <c r="B619" s="1" t="s">
        <v>1684</v>
      </c>
      <c r="D619" s="4">
        <v>45282</v>
      </c>
      <c r="E619" s="4">
        <v>45289</v>
      </c>
      <c r="F619" s="7">
        <v>18616</v>
      </c>
      <c r="G619" s="1">
        <v>34</v>
      </c>
      <c r="H619" s="1">
        <v>9</v>
      </c>
      <c r="I619" s="1">
        <v>46</v>
      </c>
      <c r="J619" s="1">
        <v>9</v>
      </c>
      <c r="K619" s="1">
        <v>62</v>
      </c>
      <c r="L619" s="1">
        <v>33</v>
      </c>
      <c r="M619" s="1">
        <v>0.83</v>
      </c>
      <c r="O619" s="7">
        <v>18616</v>
      </c>
      <c r="P619" s="4">
        <v>45282</v>
      </c>
      <c r="Q619" s="4">
        <v>45289</v>
      </c>
      <c r="R619" s="1" t="s">
        <v>73</v>
      </c>
      <c r="AO619" s="7">
        <v>18616</v>
      </c>
      <c r="AP619" s="5">
        <v>7.6</v>
      </c>
      <c r="AQ619" s="5">
        <v>95</v>
      </c>
      <c r="AR619" s="5">
        <v>39.1</v>
      </c>
      <c r="AS619" s="5">
        <v>71.4</v>
      </c>
      <c r="AT619" s="5">
        <v>18</v>
      </c>
      <c r="AU619" s="5">
        <v>16</v>
      </c>
      <c r="AV619" s="5">
        <v>9.1</v>
      </c>
      <c r="AW619" s="5">
        <v>5.06</v>
      </c>
      <c r="AX619" s="5">
        <v>44</v>
      </c>
      <c r="AY619" s="5" t="s">
        <v>125</v>
      </c>
      <c r="AZ619" s="5">
        <v>9.3</v>
      </c>
      <c r="BA619" s="5">
        <v>3.41</v>
      </c>
      <c r="BB619" s="12" t="s">
        <v>76</v>
      </c>
      <c r="BC619" s="5">
        <v>3.77</v>
      </c>
      <c r="BD619" s="5">
        <v>95</v>
      </c>
      <c r="BE619" s="5">
        <v>0.91</v>
      </c>
      <c r="BF619" s="5">
        <v>1.71</v>
      </c>
      <c r="BG619" s="5" t="s">
        <v>76</v>
      </c>
      <c r="BH619" s="5" t="s">
        <v>76</v>
      </c>
      <c r="BI619" s="5" t="s">
        <v>76</v>
      </c>
      <c r="BJ619" s="5" t="s">
        <v>76</v>
      </c>
      <c r="BK619" s="5" t="s">
        <v>76</v>
      </c>
      <c r="BL619" s="5" t="s">
        <v>76</v>
      </c>
      <c r="BM619" s="5" t="s">
        <v>76</v>
      </c>
      <c r="BN619" s="5" t="s">
        <v>76</v>
      </c>
      <c r="BO619" s="5" t="e">
        <f t="shared" si="9"/>
        <v>#VALUE!</v>
      </c>
      <c r="BP619" s="5" t="s">
        <v>262</v>
      </c>
      <c r="BQ619" s="5">
        <v>6.1</v>
      </c>
      <c r="BR619" s="5">
        <v>3750</v>
      </c>
    </row>
    <row r="620" s="1" customFormat="1" spans="1:70">
      <c r="A620" s="1">
        <v>3294929</v>
      </c>
      <c r="B620" s="1" t="s">
        <v>1685</v>
      </c>
      <c r="D620" s="4">
        <v>44984</v>
      </c>
      <c r="E620" s="4">
        <v>44988</v>
      </c>
      <c r="F620" s="7">
        <v>18618</v>
      </c>
      <c r="G620" s="1">
        <v>39</v>
      </c>
      <c r="H620" s="1">
        <v>10</v>
      </c>
      <c r="I620" s="1">
        <v>46</v>
      </c>
      <c r="J620" s="1">
        <v>10</v>
      </c>
      <c r="K620" s="1">
        <v>60</v>
      </c>
      <c r="L620" s="1">
        <v>32</v>
      </c>
      <c r="N620" s="1">
        <v>8</v>
      </c>
      <c r="O620" s="7">
        <v>18618</v>
      </c>
      <c r="P620" s="4">
        <v>44984</v>
      </c>
      <c r="Q620" s="4">
        <v>44988</v>
      </c>
      <c r="R620" s="1" t="s">
        <v>80</v>
      </c>
      <c r="AO620" s="7">
        <v>18618</v>
      </c>
      <c r="AP620" s="5">
        <v>4.3</v>
      </c>
      <c r="AQ620" s="5">
        <v>110</v>
      </c>
      <c r="AR620" s="5">
        <v>34.7</v>
      </c>
      <c r="AS620" s="5">
        <v>0.6</v>
      </c>
      <c r="AT620" s="5">
        <v>40</v>
      </c>
      <c r="AU620" s="5">
        <v>23</v>
      </c>
      <c r="AV620" s="5">
        <v>32</v>
      </c>
      <c r="AW620" s="5">
        <v>7.5</v>
      </c>
      <c r="AX620" s="5">
        <v>48</v>
      </c>
      <c r="AY620" s="5" t="s">
        <v>125</v>
      </c>
      <c r="AZ620" s="5">
        <v>4.07</v>
      </c>
      <c r="BA620" s="5">
        <v>2.8</v>
      </c>
      <c r="BB620" s="12" t="s">
        <v>76</v>
      </c>
      <c r="BC620" s="5">
        <v>4.5</v>
      </c>
      <c r="BD620" s="5">
        <v>110</v>
      </c>
      <c r="BE620" s="5">
        <v>1.41</v>
      </c>
      <c r="BF620" s="5">
        <v>1.18</v>
      </c>
      <c r="BG620" s="15">
        <v>36.3</v>
      </c>
      <c r="BH620" s="5">
        <v>70</v>
      </c>
      <c r="BI620" s="5" t="s">
        <v>76</v>
      </c>
      <c r="BJ620" s="5">
        <v>15</v>
      </c>
      <c r="BK620" s="5">
        <v>132</v>
      </c>
      <c r="BL620" s="5">
        <v>90</v>
      </c>
      <c r="BM620" s="5">
        <v>60</v>
      </c>
      <c r="BN620" s="5">
        <v>172</v>
      </c>
      <c r="BO620" s="5">
        <f t="shared" si="9"/>
        <v>20.2812330989724</v>
      </c>
      <c r="BP620" s="5" t="s">
        <v>156</v>
      </c>
      <c r="BQ620" s="5" t="s">
        <v>76</v>
      </c>
      <c r="BR620" s="5">
        <v>1439</v>
      </c>
    </row>
    <row r="621" s="1" customFormat="1" spans="1:70">
      <c r="A621" s="1">
        <v>3507712</v>
      </c>
      <c r="B621" s="1" t="s">
        <v>1686</v>
      </c>
      <c r="D621" s="4">
        <v>45278</v>
      </c>
      <c r="E621" s="4">
        <v>45289</v>
      </c>
      <c r="F621" s="7">
        <v>18625</v>
      </c>
      <c r="G621" s="1">
        <v>40</v>
      </c>
      <c r="H621" s="1">
        <v>8</v>
      </c>
      <c r="I621" s="1">
        <v>47</v>
      </c>
      <c r="J621" s="1">
        <v>8</v>
      </c>
      <c r="K621" s="1">
        <v>67</v>
      </c>
      <c r="L621" s="1">
        <v>37</v>
      </c>
      <c r="M621" s="1">
        <v>0.69</v>
      </c>
      <c r="N621" s="1">
        <v>8.3</v>
      </c>
      <c r="O621" s="7">
        <v>18625</v>
      </c>
      <c r="P621" s="4">
        <v>45278</v>
      </c>
      <c r="Q621" s="4">
        <v>45289</v>
      </c>
      <c r="R621" s="1" t="s">
        <v>80</v>
      </c>
      <c r="AO621" s="7">
        <v>18625</v>
      </c>
      <c r="AP621" s="5">
        <v>6.7</v>
      </c>
      <c r="AQ621" s="5">
        <v>149</v>
      </c>
      <c r="AR621" s="5">
        <v>44.5</v>
      </c>
      <c r="AS621" s="5">
        <v>9.3</v>
      </c>
      <c r="AT621" s="5">
        <v>11</v>
      </c>
      <c r="AU621" s="5">
        <v>10</v>
      </c>
      <c r="AV621" s="5">
        <v>17.9</v>
      </c>
      <c r="AW621" s="5">
        <v>6.22</v>
      </c>
      <c r="AX621" s="5">
        <v>52</v>
      </c>
      <c r="AY621" s="5" t="s">
        <v>125</v>
      </c>
      <c r="AZ621" s="5" t="s">
        <v>75</v>
      </c>
      <c r="BA621" s="5">
        <v>12.73</v>
      </c>
      <c r="BB621" s="12" t="s">
        <v>76</v>
      </c>
      <c r="BC621" s="5" t="s">
        <v>4</v>
      </c>
      <c r="BD621" s="5">
        <v>149</v>
      </c>
      <c r="BE621" s="5" t="s">
        <v>76</v>
      </c>
      <c r="BF621" s="5" t="s">
        <v>76</v>
      </c>
      <c r="BG621" s="15">
        <v>36.3</v>
      </c>
      <c r="BH621" s="5">
        <v>96</v>
      </c>
      <c r="BI621" s="5" t="s">
        <v>76</v>
      </c>
      <c r="BJ621" s="5">
        <v>19</v>
      </c>
      <c r="BK621" s="5">
        <v>138</v>
      </c>
      <c r="BL621" s="5">
        <v>79</v>
      </c>
      <c r="BM621" s="5">
        <v>75</v>
      </c>
      <c r="BN621" s="5">
        <v>165</v>
      </c>
      <c r="BO621" s="5">
        <f t="shared" si="9"/>
        <v>27.5482093663912</v>
      </c>
      <c r="BP621" s="5" t="s">
        <v>415</v>
      </c>
      <c r="BQ621" s="5">
        <v>6.3</v>
      </c>
      <c r="BR621" s="5">
        <v>907</v>
      </c>
    </row>
    <row r="622" s="1" customFormat="1" spans="1:70">
      <c r="A622" s="1">
        <v>3246313</v>
      </c>
      <c r="B622" s="1" t="s">
        <v>1687</v>
      </c>
      <c r="D622" s="4">
        <v>44893</v>
      </c>
      <c r="E622" s="4">
        <v>44897</v>
      </c>
      <c r="F622" s="7">
        <v>18645</v>
      </c>
      <c r="G622" s="1">
        <v>32</v>
      </c>
      <c r="H622" s="1">
        <v>9</v>
      </c>
      <c r="I622" s="1">
        <v>47</v>
      </c>
      <c r="J622" s="1">
        <v>9</v>
      </c>
      <c r="K622" s="1">
        <v>48</v>
      </c>
      <c r="L622" s="1">
        <v>24</v>
      </c>
      <c r="M622" s="1">
        <v>0.62</v>
      </c>
      <c r="N622" s="1">
        <v>10.7</v>
      </c>
      <c r="O622" s="7">
        <v>18645</v>
      </c>
      <c r="P622" s="4">
        <v>44893</v>
      </c>
      <c r="Q622" s="4">
        <v>44897</v>
      </c>
      <c r="R622" s="1" t="s">
        <v>73</v>
      </c>
      <c r="AO622" s="7">
        <v>18645</v>
      </c>
      <c r="AP622" s="5">
        <v>7.4</v>
      </c>
      <c r="AQ622" s="5">
        <v>145</v>
      </c>
      <c r="AR622" s="5">
        <v>45.8</v>
      </c>
      <c r="AS622" s="5" t="s">
        <v>81</v>
      </c>
      <c r="AT622" s="5">
        <v>66</v>
      </c>
      <c r="AU622" s="5">
        <v>34</v>
      </c>
      <c r="AV622" s="5">
        <v>39.8</v>
      </c>
      <c r="AW622" s="5">
        <v>4.13</v>
      </c>
      <c r="AX622" s="5">
        <v>64</v>
      </c>
      <c r="AY622" s="5">
        <v>87.49</v>
      </c>
      <c r="AZ622" s="5" t="s">
        <v>75</v>
      </c>
      <c r="BA622" s="5">
        <v>5.19</v>
      </c>
      <c r="BB622" s="12" t="s">
        <v>76</v>
      </c>
      <c r="BC622" s="5">
        <v>3.67</v>
      </c>
      <c r="BD622" s="5">
        <v>145</v>
      </c>
      <c r="BE622" s="5">
        <v>1.12</v>
      </c>
      <c r="BF622" s="5">
        <v>3.46</v>
      </c>
      <c r="BG622" s="15">
        <v>36.6</v>
      </c>
      <c r="BH622" s="5">
        <v>64</v>
      </c>
      <c r="BI622" s="5">
        <v>64</v>
      </c>
      <c r="BJ622" s="5">
        <v>18</v>
      </c>
      <c r="BK622" s="5">
        <v>135</v>
      </c>
      <c r="BL622" s="5">
        <v>80</v>
      </c>
      <c r="BM622" s="5">
        <v>52</v>
      </c>
      <c r="BN622" s="5">
        <v>150</v>
      </c>
      <c r="BO622" s="5">
        <f t="shared" si="9"/>
        <v>23.1111111111111</v>
      </c>
      <c r="BP622" s="5" t="s">
        <v>323</v>
      </c>
      <c r="BQ622" s="5" t="s">
        <v>76</v>
      </c>
      <c r="BR622" s="5">
        <v>7100</v>
      </c>
    </row>
    <row r="623" s="1" customFormat="1" spans="1:70">
      <c r="A623" s="1">
        <v>3334776</v>
      </c>
      <c r="B623" s="1" t="s">
        <v>1688</v>
      </c>
      <c r="D623" s="4">
        <v>45039</v>
      </c>
      <c r="E623" s="4">
        <v>45045</v>
      </c>
      <c r="F623" s="7">
        <v>18663</v>
      </c>
      <c r="G623" s="1">
        <v>36</v>
      </c>
      <c r="H623" s="1">
        <v>9</v>
      </c>
      <c r="I623" s="1">
        <v>51</v>
      </c>
      <c r="J623" s="1">
        <v>9</v>
      </c>
      <c r="K623" s="1">
        <v>42</v>
      </c>
      <c r="L623" s="1">
        <v>21</v>
      </c>
      <c r="M623" s="1">
        <v>0.35</v>
      </c>
      <c r="N623" s="1">
        <v>11.1</v>
      </c>
      <c r="O623" s="7">
        <v>18663</v>
      </c>
      <c r="P623" s="4">
        <v>45039</v>
      </c>
      <c r="Q623" s="4">
        <v>45045</v>
      </c>
      <c r="R623" s="1" t="s">
        <v>73</v>
      </c>
      <c r="AO623" s="7">
        <v>18663</v>
      </c>
      <c r="AP623" s="5" t="s">
        <v>76</v>
      </c>
      <c r="AQ623" s="5" t="s">
        <v>76</v>
      </c>
      <c r="AR623" s="5" t="s">
        <v>76</v>
      </c>
      <c r="AS623" s="5" t="s">
        <v>76</v>
      </c>
      <c r="AT623" s="5">
        <v>25</v>
      </c>
      <c r="AU623" s="5">
        <v>28</v>
      </c>
      <c r="AV623" s="5">
        <v>47.5</v>
      </c>
      <c r="AW623" s="5">
        <v>6.07</v>
      </c>
      <c r="AX623" s="5">
        <v>54</v>
      </c>
      <c r="AY623" s="5">
        <v>102.32</v>
      </c>
      <c r="AZ623" s="5" t="s">
        <v>75</v>
      </c>
      <c r="BA623" s="5">
        <v>4.46</v>
      </c>
      <c r="BB623" s="12" t="s">
        <v>76</v>
      </c>
      <c r="BC623" s="5">
        <v>4.71</v>
      </c>
      <c r="BD623" s="5" t="s">
        <v>76</v>
      </c>
      <c r="BE623" s="5">
        <v>1.4</v>
      </c>
      <c r="BF623" s="5">
        <v>2.59</v>
      </c>
      <c r="BG623" s="15">
        <v>36.3</v>
      </c>
      <c r="BH623" s="5">
        <v>79</v>
      </c>
      <c r="BI623" s="5">
        <v>79</v>
      </c>
      <c r="BJ623" s="5">
        <v>17</v>
      </c>
      <c r="BK623" s="5">
        <v>119</v>
      </c>
      <c r="BL623" s="5">
        <v>72</v>
      </c>
      <c r="BM623" s="5">
        <v>55</v>
      </c>
      <c r="BN623" s="5">
        <v>157</v>
      </c>
      <c r="BO623" s="5">
        <f t="shared" si="9"/>
        <v>22.3132784291452</v>
      </c>
      <c r="BP623" s="5" t="s">
        <v>121</v>
      </c>
      <c r="BQ623" s="5" t="s">
        <v>76</v>
      </c>
      <c r="BR623" s="5">
        <v>1598</v>
      </c>
    </row>
    <row r="624" s="1" customFormat="1" spans="1:70">
      <c r="A624" s="1">
        <v>3509362</v>
      </c>
      <c r="B624" s="1" t="s">
        <v>1689</v>
      </c>
      <c r="D624" s="4">
        <v>45279</v>
      </c>
      <c r="E624" s="4">
        <v>45288</v>
      </c>
      <c r="F624" s="7">
        <v>18666</v>
      </c>
      <c r="G624" s="1">
        <v>54</v>
      </c>
      <c r="H624" s="1">
        <v>10</v>
      </c>
      <c r="I624" s="1">
        <v>50</v>
      </c>
      <c r="J624" s="1">
        <v>10</v>
      </c>
      <c r="K624" s="1">
        <v>50</v>
      </c>
      <c r="L624" s="1">
        <v>26</v>
      </c>
      <c r="M624" s="1">
        <v>1.78</v>
      </c>
      <c r="N624" s="1">
        <v>23.6</v>
      </c>
      <c r="O624" s="7">
        <v>18666</v>
      </c>
      <c r="P624" s="4">
        <v>45279</v>
      </c>
      <c r="Q624" s="4">
        <v>45288</v>
      </c>
      <c r="R624" s="1" t="s">
        <v>73</v>
      </c>
      <c r="AO624" s="7">
        <v>18666</v>
      </c>
      <c r="AP624" s="5">
        <v>9.6</v>
      </c>
      <c r="AQ624" s="5">
        <v>128</v>
      </c>
      <c r="AR624" s="5">
        <v>39.9</v>
      </c>
      <c r="AS624" s="5">
        <v>74.3</v>
      </c>
      <c r="AT624" s="5">
        <v>27</v>
      </c>
      <c r="AU624" s="5">
        <v>22</v>
      </c>
      <c r="AV624" s="5">
        <v>37.6</v>
      </c>
      <c r="AW624" s="5">
        <v>8.94</v>
      </c>
      <c r="AX624" s="5">
        <v>62</v>
      </c>
      <c r="AY624" s="5">
        <v>90.61</v>
      </c>
      <c r="AZ624" s="5">
        <v>9.44</v>
      </c>
      <c r="BA624" s="5">
        <v>3.86</v>
      </c>
      <c r="BB624" s="12" t="s">
        <v>76</v>
      </c>
      <c r="BC624" s="5">
        <v>4.11</v>
      </c>
      <c r="BD624" s="5">
        <v>128</v>
      </c>
      <c r="BE624" s="5" t="s">
        <v>76</v>
      </c>
      <c r="BF624" s="5" t="s">
        <v>76</v>
      </c>
      <c r="BG624" s="15">
        <v>38.5</v>
      </c>
      <c r="BH624" s="5">
        <v>60</v>
      </c>
      <c r="BI624" s="5">
        <v>60</v>
      </c>
      <c r="BJ624" s="5">
        <v>20</v>
      </c>
      <c r="BK624" s="5">
        <v>104</v>
      </c>
      <c r="BL624" s="5">
        <v>50</v>
      </c>
      <c r="BM624" s="5">
        <v>64</v>
      </c>
      <c r="BN624" s="5">
        <v>160</v>
      </c>
      <c r="BO624" s="5">
        <f t="shared" si="9"/>
        <v>25</v>
      </c>
      <c r="BP624" s="5" t="s">
        <v>83</v>
      </c>
      <c r="BQ624" s="5" t="s">
        <v>76</v>
      </c>
      <c r="BR624" s="5">
        <v>7444</v>
      </c>
    </row>
    <row r="625" s="1" customFormat="1" spans="1:70">
      <c r="A625" s="1">
        <v>3245669</v>
      </c>
      <c r="B625" s="1" t="s">
        <v>1690</v>
      </c>
      <c r="D625" s="4">
        <v>44893</v>
      </c>
      <c r="E625" s="4">
        <v>44895</v>
      </c>
      <c r="F625" s="7">
        <v>18666</v>
      </c>
      <c r="G625" s="1">
        <v>47</v>
      </c>
      <c r="H625" s="1">
        <v>10</v>
      </c>
      <c r="I625" s="1">
        <v>47</v>
      </c>
      <c r="J625" s="1">
        <v>10</v>
      </c>
      <c r="K625" s="1">
        <v>56</v>
      </c>
      <c r="L625" s="1">
        <v>29</v>
      </c>
      <c r="N625" s="1">
        <v>13.1</v>
      </c>
      <c r="O625" s="7">
        <v>18666</v>
      </c>
      <c r="P625" s="4">
        <v>44893</v>
      </c>
      <c r="Q625" s="4">
        <v>44895</v>
      </c>
      <c r="R625" s="1" t="s">
        <v>73</v>
      </c>
      <c r="AO625" s="7">
        <v>18666</v>
      </c>
      <c r="AP625" s="5">
        <v>5.9</v>
      </c>
      <c r="AQ625" s="5">
        <v>135</v>
      </c>
      <c r="AR625" s="5">
        <v>43.8</v>
      </c>
      <c r="AS625" s="5">
        <v>1.9</v>
      </c>
      <c r="AT625" s="5">
        <v>13</v>
      </c>
      <c r="AU625" s="5">
        <v>8</v>
      </c>
      <c r="AV625" s="5">
        <v>44.7</v>
      </c>
      <c r="AW625" s="5">
        <v>5.08</v>
      </c>
      <c r="AX625" s="5">
        <v>52</v>
      </c>
      <c r="AY625" s="5">
        <v>107.18</v>
      </c>
      <c r="AZ625" s="5">
        <v>5.06</v>
      </c>
      <c r="BA625" s="5">
        <v>5.75</v>
      </c>
      <c r="BB625" s="12" t="s">
        <v>76</v>
      </c>
      <c r="BC625" s="5">
        <v>3.9</v>
      </c>
      <c r="BD625" s="5">
        <v>135</v>
      </c>
      <c r="BE625" s="5">
        <v>1.21</v>
      </c>
      <c r="BF625" s="5">
        <v>3.72</v>
      </c>
      <c r="BG625" s="15">
        <v>36.5</v>
      </c>
      <c r="BH625" s="5">
        <v>92</v>
      </c>
      <c r="BI625" s="5" t="s">
        <v>76</v>
      </c>
      <c r="BJ625" s="5">
        <v>19</v>
      </c>
      <c r="BK625" s="5">
        <v>109</v>
      </c>
      <c r="BL625" s="5">
        <v>92</v>
      </c>
      <c r="BM625" s="5">
        <v>75</v>
      </c>
      <c r="BN625" s="5">
        <v>160</v>
      </c>
      <c r="BO625" s="5">
        <f t="shared" si="9"/>
        <v>29.296875</v>
      </c>
      <c r="BP625" s="5" t="s">
        <v>78</v>
      </c>
      <c r="BQ625" s="5">
        <v>5.5</v>
      </c>
      <c r="BR625" s="5">
        <v>965</v>
      </c>
    </row>
    <row r="626" s="1" customFormat="1" spans="1:70">
      <c r="A626" s="1">
        <v>3292713</v>
      </c>
      <c r="B626" s="1" t="s">
        <v>1691</v>
      </c>
      <c r="D626" s="4">
        <v>44980</v>
      </c>
      <c r="E626" s="4">
        <v>44984</v>
      </c>
      <c r="F626" s="7">
        <v>18674</v>
      </c>
      <c r="G626" s="1">
        <v>44</v>
      </c>
      <c r="H626" s="1">
        <v>10</v>
      </c>
      <c r="I626" s="1">
        <v>53</v>
      </c>
      <c r="J626" s="1">
        <v>10</v>
      </c>
      <c r="K626" s="1">
        <v>52</v>
      </c>
      <c r="L626" s="1">
        <v>27</v>
      </c>
      <c r="M626" s="1">
        <v>1.26</v>
      </c>
      <c r="N626" s="1">
        <v>14.8</v>
      </c>
      <c r="O626" s="7">
        <v>18674</v>
      </c>
      <c r="P626" s="4">
        <v>44980</v>
      </c>
      <c r="Q626" s="4">
        <v>44984</v>
      </c>
      <c r="R626" s="1" t="s">
        <v>80</v>
      </c>
      <c r="AO626" s="7">
        <v>18674</v>
      </c>
      <c r="AP626" s="5">
        <v>9.1</v>
      </c>
      <c r="AQ626" s="5">
        <v>156</v>
      </c>
      <c r="AR626" s="5">
        <v>49.2</v>
      </c>
      <c r="AS626" s="5">
        <v>23.6</v>
      </c>
      <c r="AT626" s="5">
        <v>33</v>
      </c>
      <c r="AU626" s="5">
        <v>30</v>
      </c>
      <c r="AV626" s="5">
        <v>38.4</v>
      </c>
      <c r="AW626" s="5">
        <v>7.82</v>
      </c>
      <c r="AX626" s="5">
        <v>84</v>
      </c>
      <c r="AY626" s="5">
        <v>98.94</v>
      </c>
      <c r="AZ626" s="5" t="s">
        <v>75</v>
      </c>
      <c r="BA626" s="5">
        <v>4.36</v>
      </c>
      <c r="BB626" s="12" t="s">
        <v>76</v>
      </c>
      <c r="BC626" s="5">
        <v>4.18</v>
      </c>
      <c r="BD626" s="5">
        <v>156</v>
      </c>
      <c r="BE626" s="5">
        <v>0.81</v>
      </c>
      <c r="BF626" s="5">
        <v>2.76</v>
      </c>
      <c r="BG626" s="15">
        <v>36.5</v>
      </c>
      <c r="BH626" s="5">
        <v>90</v>
      </c>
      <c r="BI626" s="5">
        <v>90</v>
      </c>
      <c r="BJ626" s="5">
        <v>20</v>
      </c>
      <c r="BK626" s="5">
        <v>183</v>
      </c>
      <c r="BL626" s="5">
        <v>81</v>
      </c>
      <c r="BM626" s="5">
        <v>75</v>
      </c>
      <c r="BN626" s="5">
        <v>165</v>
      </c>
      <c r="BO626" s="5">
        <f t="shared" si="9"/>
        <v>27.5482093663912</v>
      </c>
      <c r="BP626" s="5" t="s">
        <v>323</v>
      </c>
      <c r="BQ626" s="5">
        <v>6.1</v>
      </c>
      <c r="BR626" s="5">
        <v>916</v>
      </c>
    </row>
    <row r="627" s="1" customFormat="1" spans="1:70">
      <c r="A627" s="1">
        <v>3274052</v>
      </c>
      <c r="B627" s="1" t="s">
        <v>1692</v>
      </c>
      <c r="D627" s="4">
        <v>44956</v>
      </c>
      <c r="E627" s="4">
        <v>44963</v>
      </c>
      <c r="F627" s="7">
        <v>18676</v>
      </c>
      <c r="G627" s="1">
        <v>44</v>
      </c>
      <c r="H627" s="1">
        <v>9</v>
      </c>
      <c r="I627" s="1">
        <v>48</v>
      </c>
      <c r="J627" s="1">
        <v>9</v>
      </c>
      <c r="K627" s="1">
        <v>41</v>
      </c>
      <c r="L627" s="1">
        <v>20</v>
      </c>
      <c r="N627" s="1">
        <v>17.8</v>
      </c>
      <c r="O627" s="7">
        <v>18676</v>
      </c>
      <c r="P627" s="4">
        <v>44956</v>
      </c>
      <c r="Q627" s="4">
        <v>44963</v>
      </c>
      <c r="R627" s="1" t="s">
        <v>80</v>
      </c>
      <c r="AO627" s="7">
        <v>18676</v>
      </c>
      <c r="AP627" s="5">
        <v>8.5</v>
      </c>
      <c r="AQ627" s="5">
        <v>150</v>
      </c>
      <c r="AR627" s="5">
        <v>47.5</v>
      </c>
      <c r="AS627" s="5">
        <v>5.5</v>
      </c>
      <c r="AT627" s="5">
        <v>16</v>
      </c>
      <c r="AU627" s="5">
        <v>20</v>
      </c>
      <c r="AV627" s="5">
        <v>41.6</v>
      </c>
      <c r="AW627" s="5">
        <v>7</v>
      </c>
      <c r="AX627" s="5">
        <v>81</v>
      </c>
      <c r="AY627" s="5">
        <v>86.61</v>
      </c>
      <c r="AZ627" s="5" t="s">
        <v>75</v>
      </c>
      <c r="BA627" s="5" t="s">
        <v>76</v>
      </c>
      <c r="BB627" s="12" t="s">
        <v>76</v>
      </c>
      <c r="BC627" s="5">
        <v>3.94</v>
      </c>
      <c r="BD627" s="5">
        <v>150</v>
      </c>
      <c r="BE627" s="5" t="s">
        <v>76</v>
      </c>
      <c r="BF627" s="5" t="s">
        <v>76</v>
      </c>
      <c r="BG627" s="15">
        <v>36.5</v>
      </c>
      <c r="BH627" s="5">
        <v>120</v>
      </c>
      <c r="BI627" s="5">
        <v>120</v>
      </c>
      <c r="BJ627" s="5">
        <v>18</v>
      </c>
      <c r="BK627" s="5">
        <v>151</v>
      </c>
      <c r="BL627" s="5">
        <v>117</v>
      </c>
      <c r="BM627" s="5">
        <v>70</v>
      </c>
      <c r="BN627" s="5">
        <v>170</v>
      </c>
      <c r="BO627" s="5">
        <f t="shared" si="9"/>
        <v>24.2214532871972</v>
      </c>
      <c r="BP627" s="5" t="s">
        <v>164</v>
      </c>
      <c r="BQ627" s="5" t="s">
        <v>76</v>
      </c>
      <c r="BR627" s="5">
        <v>1395</v>
      </c>
    </row>
    <row r="628" s="1" customFormat="1" spans="1:70">
      <c r="A628" s="1">
        <v>3265161</v>
      </c>
      <c r="B628" s="1" t="s">
        <v>1693</v>
      </c>
      <c r="D628" s="4">
        <v>44937</v>
      </c>
      <c r="E628" s="4">
        <v>44946</v>
      </c>
      <c r="F628" s="7">
        <v>18687</v>
      </c>
      <c r="G628" s="1">
        <v>39</v>
      </c>
      <c r="H628" s="1">
        <v>10</v>
      </c>
      <c r="I628" s="1">
        <v>46</v>
      </c>
      <c r="J628" s="1">
        <v>10</v>
      </c>
      <c r="K628" s="1">
        <v>69</v>
      </c>
      <c r="L628" s="1">
        <v>39</v>
      </c>
      <c r="N628" s="1">
        <v>16.5</v>
      </c>
      <c r="O628" s="7">
        <v>18687</v>
      </c>
      <c r="P628" s="4">
        <v>44937</v>
      </c>
      <c r="Q628" s="4">
        <v>44946</v>
      </c>
      <c r="R628" s="1" t="s">
        <v>80</v>
      </c>
      <c r="S628" s="1">
        <v>61</v>
      </c>
      <c r="T628" s="1" t="s">
        <v>1694</v>
      </c>
      <c r="X628" s="1" t="s">
        <v>155</v>
      </c>
      <c r="AA628" s="1" t="s">
        <v>155</v>
      </c>
      <c r="AC628" s="1" t="s">
        <v>155</v>
      </c>
      <c r="AG628" s="1">
        <v>1</v>
      </c>
      <c r="AO628" s="7">
        <v>18687</v>
      </c>
      <c r="AP628" s="5" t="s">
        <v>76</v>
      </c>
      <c r="AQ628" s="5" t="s">
        <v>76</v>
      </c>
      <c r="AR628" s="5" t="s">
        <v>76</v>
      </c>
      <c r="AS628" s="5" t="s">
        <v>76</v>
      </c>
      <c r="AT628" s="5">
        <v>12</v>
      </c>
      <c r="AU628" s="5">
        <v>13</v>
      </c>
      <c r="AV628" s="5">
        <v>37</v>
      </c>
      <c r="AW628" s="5" t="s">
        <v>76</v>
      </c>
      <c r="AX628" s="5" t="s">
        <v>76</v>
      </c>
      <c r="AY628" s="5" t="s">
        <v>76</v>
      </c>
      <c r="AZ628" s="5">
        <v>10.41</v>
      </c>
      <c r="BA628" s="5">
        <v>3.81</v>
      </c>
      <c r="BB628" s="12" t="s">
        <v>76</v>
      </c>
      <c r="BC628" s="5" t="s">
        <v>76</v>
      </c>
      <c r="BD628" s="5" t="s">
        <v>76</v>
      </c>
      <c r="BE628" s="5">
        <v>1.19</v>
      </c>
      <c r="BF628" s="5">
        <v>2.4</v>
      </c>
      <c r="BG628" s="15">
        <v>36.7</v>
      </c>
      <c r="BH628" s="5">
        <v>64</v>
      </c>
      <c r="BI628" s="5" t="s">
        <v>76</v>
      </c>
      <c r="BJ628" s="5">
        <v>16</v>
      </c>
      <c r="BK628" s="5">
        <v>169</v>
      </c>
      <c r="BL628" s="5">
        <v>97</v>
      </c>
      <c r="BM628" s="5">
        <v>75</v>
      </c>
      <c r="BN628" s="5">
        <v>165</v>
      </c>
      <c r="BO628" s="5">
        <f t="shared" si="9"/>
        <v>27.5482093663912</v>
      </c>
      <c r="BP628" s="5" t="s">
        <v>457</v>
      </c>
      <c r="BQ628" s="5">
        <v>8.2</v>
      </c>
      <c r="BR628" s="5">
        <v>2082</v>
      </c>
    </row>
    <row r="629" s="1" customFormat="1" spans="1:70">
      <c r="A629" s="1">
        <v>3242325</v>
      </c>
      <c r="B629" s="1" t="s">
        <v>1695</v>
      </c>
      <c r="D629" s="4">
        <v>44886</v>
      </c>
      <c r="E629" s="4">
        <v>44890</v>
      </c>
      <c r="F629" s="7">
        <v>18691</v>
      </c>
      <c r="G629" s="1">
        <v>43</v>
      </c>
      <c r="H629" s="1">
        <v>10</v>
      </c>
      <c r="I629" s="1">
        <v>50</v>
      </c>
      <c r="J629" s="1">
        <v>10</v>
      </c>
      <c r="K629" s="1">
        <v>47</v>
      </c>
      <c r="L629" s="1">
        <v>24</v>
      </c>
      <c r="M629" s="1">
        <v>2.09</v>
      </c>
      <c r="N629" s="10">
        <v>16</v>
      </c>
      <c r="O629" s="7">
        <v>18691</v>
      </c>
      <c r="P629" s="4">
        <v>44886</v>
      </c>
      <c r="Q629" s="4">
        <v>44890</v>
      </c>
      <c r="R629" s="1" t="s">
        <v>73</v>
      </c>
      <c r="AO629" s="7">
        <v>18691</v>
      </c>
      <c r="AP629" s="5">
        <v>4.6</v>
      </c>
      <c r="AQ629" s="5">
        <v>111</v>
      </c>
      <c r="AR629" s="5">
        <v>36.1</v>
      </c>
      <c r="AS629" s="5">
        <v>2.6</v>
      </c>
      <c r="AT629" s="5">
        <v>31</v>
      </c>
      <c r="AU629" s="5" t="s">
        <v>1696</v>
      </c>
      <c r="AV629" s="5">
        <v>36.8</v>
      </c>
      <c r="AW629" s="5">
        <v>5.8</v>
      </c>
      <c r="AX629" s="5">
        <v>69</v>
      </c>
      <c r="AY629" s="5">
        <v>77.33</v>
      </c>
      <c r="AZ629" s="5" t="s">
        <v>75</v>
      </c>
      <c r="BA629" s="5">
        <v>3.33</v>
      </c>
      <c r="BB629" s="12" t="s">
        <v>76</v>
      </c>
      <c r="BC629" s="5">
        <v>5.21</v>
      </c>
      <c r="BD629" s="5">
        <v>111</v>
      </c>
      <c r="BE629" s="5">
        <v>1.32</v>
      </c>
      <c r="BF629" s="5">
        <v>1.73</v>
      </c>
      <c r="BG629" s="15">
        <v>36.2</v>
      </c>
      <c r="BH629" s="5" t="s">
        <v>76</v>
      </c>
      <c r="BI629" s="5">
        <v>60</v>
      </c>
      <c r="BJ629" s="5">
        <v>16</v>
      </c>
      <c r="BK629" s="5">
        <v>146</v>
      </c>
      <c r="BL629" s="5">
        <v>85</v>
      </c>
      <c r="BM629" s="5">
        <v>45</v>
      </c>
      <c r="BN629" s="5">
        <v>150</v>
      </c>
      <c r="BO629" s="5">
        <f t="shared" si="9"/>
        <v>20</v>
      </c>
      <c r="BP629" s="5" t="s">
        <v>78</v>
      </c>
      <c r="BQ629" s="5">
        <v>6</v>
      </c>
      <c r="BR629" s="5">
        <v>3044</v>
      </c>
    </row>
    <row r="630" s="1" customFormat="1" spans="1:70">
      <c r="A630" s="1">
        <v>3273520</v>
      </c>
      <c r="B630" s="1" t="s">
        <v>1697</v>
      </c>
      <c r="D630" s="4">
        <v>44955</v>
      </c>
      <c r="E630" s="4">
        <v>44959</v>
      </c>
      <c r="F630" s="7">
        <v>18703</v>
      </c>
      <c r="G630" s="1">
        <v>41</v>
      </c>
      <c r="H630" s="1">
        <v>10</v>
      </c>
      <c r="I630" s="1">
        <v>53</v>
      </c>
      <c r="J630" s="1">
        <v>10</v>
      </c>
      <c r="K630" s="1">
        <v>50</v>
      </c>
      <c r="L630" s="1">
        <v>25</v>
      </c>
      <c r="M630" s="1">
        <v>0.49</v>
      </c>
      <c r="N630" s="1">
        <v>7.4</v>
      </c>
      <c r="O630" s="7">
        <v>18703</v>
      </c>
      <c r="P630" s="4">
        <v>44955</v>
      </c>
      <c r="Q630" s="4">
        <v>44959</v>
      </c>
      <c r="R630" s="1" t="s">
        <v>80</v>
      </c>
      <c r="AO630" s="7">
        <v>18703</v>
      </c>
      <c r="AP630" s="5">
        <v>5.9</v>
      </c>
      <c r="AQ630" s="5">
        <v>126</v>
      </c>
      <c r="AR630" s="5">
        <v>40.8</v>
      </c>
      <c r="AS630" s="5">
        <v>3.2</v>
      </c>
      <c r="AT630" s="5">
        <v>17</v>
      </c>
      <c r="AU630" s="5" t="s">
        <v>76</v>
      </c>
      <c r="AV630" s="5" t="s">
        <v>76</v>
      </c>
      <c r="AW630" s="5" t="s">
        <v>76</v>
      </c>
      <c r="AX630" s="5" t="s">
        <v>76</v>
      </c>
      <c r="AY630" s="5" t="s">
        <v>76</v>
      </c>
      <c r="AZ630" s="5">
        <v>5.56</v>
      </c>
      <c r="BA630" s="5">
        <v>4.22</v>
      </c>
      <c r="BB630" s="12" t="s">
        <v>76</v>
      </c>
      <c r="BC630" s="5">
        <v>3.68</v>
      </c>
      <c r="BD630" s="5">
        <v>126</v>
      </c>
      <c r="BE630" s="5">
        <v>0.77</v>
      </c>
      <c r="BF630" s="5">
        <v>2.78</v>
      </c>
      <c r="BG630" s="15">
        <v>36.3</v>
      </c>
      <c r="BH630" s="5">
        <v>78</v>
      </c>
      <c r="BI630" s="5">
        <v>78</v>
      </c>
      <c r="BJ630" s="5">
        <v>20</v>
      </c>
      <c r="BK630" s="5">
        <v>125</v>
      </c>
      <c r="BL630" s="5">
        <v>75</v>
      </c>
      <c r="BM630" s="5">
        <v>84</v>
      </c>
      <c r="BN630" s="5">
        <v>170</v>
      </c>
      <c r="BO630" s="5">
        <f t="shared" si="9"/>
        <v>29.0657439446367</v>
      </c>
      <c r="BP630" s="5" t="s">
        <v>121</v>
      </c>
      <c r="BQ630" s="5" t="s">
        <v>76</v>
      </c>
      <c r="BR630" s="5">
        <v>1452</v>
      </c>
    </row>
    <row r="631" s="1" customFormat="1" spans="1:70">
      <c r="A631" s="1">
        <v>3263287</v>
      </c>
      <c r="B631" s="1" t="s">
        <v>1698</v>
      </c>
      <c r="D631" s="4">
        <v>44933</v>
      </c>
      <c r="E631" s="4">
        <v>44946</v>
      </c>
      <c r="F631" s="7">
        <v>18707</v>
      </c>
      <c r="G631" s="1">
        <v>32</v>
      </c>
      <c r="H631" s="1">
        <v>9</v>
      </c>
      <c r="I631" s="1">
        <v>42</v>
      </c>
      <c r="J631" s="1">
        <v>9</v>
      </c>
      <c r="K631" s="1">
        <v>59</v>
      </c>
      <c r="L631" s="1">
        <v>32</v>
      </c>
      <c r="M631" s="1">
        <v>1.73</v>
      </c>
      <c r="N631" s="1">
        <v>6.8</v>
      </c>
      <c r="O631" s="7">
        <v>18707</v>
      </c>
      <c r="P631" s="4">
        <v>44933</v>
      </c>
      <c r="Q631" s="4">
        <v>44946</v>
      </c>
      <c r="R631" s="1" t="s">
        <v>80</v>
      </c>
      <c r="S631" s="1">
        <v>71</v>
      </c>
      <c r="T631" s="1" t="s">
        <v>1699</v>
      </c>
      <c r="Y631" s="1">
        <v>1</v>
      </c>
      <c r="AC631" s="1">
        <v>1</v>
      </c>
      <c r="AG631" s="1">
        <v>1</v>
      </c>
      <c r="AH631" s="1">
        <v>1</v>
      </c>
      <c r="AI631" s="1">
        <v>1</v>
      </c>
      <c r="AM631" s="1">
        <v>1</v>
      </c>
      <c r="AO631" s="7">
        <v>18707</v>
      </c>
      <c r="AP631" s="5">
        <v>8.7</v>
      </c>
      <c r="AQ631" s="5">
        <v>98</v>
      </c>
      <c r="AR631" s="5">
        <v>36.4</v>
      </c>
      <c r="AS631" s="5">
        <v>88.7</v>
      </c>
      <c r="AT631" s="5">
        <v>46</v>
      </c>
      <c r="AU631" s="5">
        <v>42</v>
      </c>
      <c r="AV631" s="5">
        <v>33.3</v>
      </c>
      <c r="AW631" s="5">
        <v>9.2</v>
      </c>
      <c r="AX631" s="5">
        <v>52</v>
      </c>
      <c r="AY631" s="5" t="s">
        <v>125</v>
      </c>
      <c r="AZ631" s="5" t="s">
        <v>75</v>
      </c>
      <c r="BA631" s="5">
        <v>4.11</v>
      </c>
      <c r="BB631" s="12" t="s">
        <v>76</v>
      </c>
      <c r="BC631" s="5">
        <v>4.05</v>
      </c>
      <c r="BD631" s="5">
        <v>98</v>
      </c>
      <c r="BE631" s="5">
        <v>1.25</v>
      </c>
      <c r="BF631" s="5">
        <v>2.68</v>
      </c>
      <c r="BG631" s="15">
        <v>36.2</v>
      </c>
      <c r="BH631" s="5">
        <v>50</v>
      </c>
      <c r="BI631" s="5">
        <v>54</v>
      </c>
      <c r="BJ631" s="5">
        <v>13</v>
      </c>
      <c r="BK631" s="5">
        <v>142</v>
      </c>
      <c r="BL631" s="5">
        <v>71</v>
      </c>
      <c r="BM631" s="5">
        <v>55</v>
      </c>
      <c r="BN631" s="5">
        <v>172</v>
      </c>
      <c r="BO631" s="5">
        <f t="shared" si="9"/>
        <v>18.5911303407247</v>
      </c>
      <c r="BP631" s="5" t="s">
        <v>357</v>
      </c>
      <c r="BQ631" s="5" t="s">
        <v>76</v>
      </c>
      <c r="BR631" s="5">
        <v>2409</v>
      </c>
    </row>
    <row r="632" s="1" customFormat="1" spans="1:70">
      <c r="A632" s="1">
        <v>3325285</v>
      </c>
      <c r="B632" s="1" t="s">
        <v>1700</v>
      </c>
      <c r="D632" s="4">
        <v>45026</v>
      </c>
      <c r="E632" s="4">
        <v>45033</v>
      </c>
      <c r="F632" s="7">
        <v>18712</v>
      </c>
      <c r="G632" s="1">
        <v>58</v>
      </c>
      <c r="H632" s="1">
        <v>13</v>
      </c>
      <c r="I632" s="1">
        <v>53</v>
      </c>
      <c r="J632" s="1">
        <v>13</v>
      </c>
      <c r="K632" s="1">
        <v>58</v>
      </c>
      <c r="L632" s="1">
        <v>31</v>
      </c>
      <c r="N632" s="1">
        <v>10.2</v>
      </c>
      <c r="O632" s="7">
        <v>18712</v>
      </c>
      <c r="P632" s="4">
        <v>45026</v>
      </c>
      <c r="Q632" s="4">
        <v>45033</v>
      </c>
      <c r="R632" s="1" t="s">
        <v>80</v>
      </c>
      <c r="AO632" s="7">
        <v>18712</v>
      </c>
      <c r="AP632" s="5">
        <v>5.9</v>
      </c>
      <c r="AQ632" s="5">
        <v>135</v>
      </c>
      <c r="AR632" s="5">
        <v>43.1</v>
      </c>
      <c r="AS632" s="5">
        <v>3.7</v>
      </c>
      <c r="AT632" s="5">
        <v>13</v>
      </c>
      <c r="AU632" s="5" t="s">
        <v>171</v>
      </c>
      <c r="AV632" s="5">
        <v>38</v>
      </c>
      <c r="AW632" s="5">
        <v>3.96</v>
      </c>
      <c r="AX632" s="5">
        <v>64</v>
      </c>
      <c r="AY632" s="5">
        <v>113.35</v>
      </c>
      <c r="AZ632" s="5" t="s">
        <v>75</v>
      </c>
      <c r="BA632" s="5">
        <v>5</v>
      </c>
      <c r="BB632" s="12" t="s">
        <v>76</v>
      </c>
      <c r="BC632" s="5">
        <v>3.32</v>
      </c>
      <c r="BD632" s="5">
        <v>135</v>
      </c>
      <c r="BE632" s="5">
        <v>0.86</v>
      </c>
      <c r="BF632" s="5">
        <v>3.33</v>
      </c>
      <c r="BG632" s="15">
        <v>36</v>
      </c>
      <c r="BH632" s="5">
        <v>52</v>
      </c>
      <c r="BI632" s="5">
        <v>52</v>
      </c>
      <c r="BJ632" s="5">
        <v>17</v>
      </c>
      <c r="BK632" s="5">
        <v>164</v>
      </c>
      <c r="BL632" s="5">
        <v>80</v>
      </c>
      <c r="BM632" s="5">
        <v>80</v>
      </c>
      <c r="BN632" s="5">
        <v>176</v>
      </c>
      <c r="BO632" s="5">
        <f t="shared" si="9"/>
        <v>25.8264462809917</v>
      </c>
      <c r="BP632" s="5" t="s">
        <v>83</v>
      </c>
      <c r="BQ632" s="5">
        <v>6.4</v>
      </c>
      <c r="BR632" s="5">
        <v>3300</v>
      </c>
    </row>
    <row r="633" s="1" customFormat="1" spans="1:70">
      <c r="A633" s="1">
        <v>3307197</v>
      </c>
      <c r="B633" s="1" t="s">
        <v>1701</v>
      </c>
      <c r="D633" s="4">
        <v>45000</v>
      </c>
      <c r="E633" s="4">
        <v>45006</v>
      </c>
      <c r="F633" s="7">
        <v>18725</v>
      </c>
      <c r="G633" s="1">
        <v>41</v>
      </c>
      <c r="H633" s="1">
        <v>10</v>
      </c>
      <c r="I633" s="1">
        <v>53</v>
      </c>
      <c r="J633" s="1">
        <v>10</v>
      </c>
      <c r="K633" s="1">
        <v>58</v>
      </c>
      <c r="L633" s="1">
        <v>31</v>
      </c>
      <c r="M633" s="1">
        <v>1.49</v>
      </c>
      <c r="N633" s="1">
        <v>20.6</v>
      </c>
      <c r="O633" s="7">
        <v>18725</v>
      </c>
      <c r="P633" s="4">
        <v>45000</v>
      </c>
      <c r="Q633" s="4">
        <v>45006</v>
      </c>
      <c r="R633" s="1" t="s">
        <v>80</v>
      </c>
      <c r="AO633" s="7">
        <v>18725</v>
      </c>
      <c r="AP633" s="5">
        <v>7.8</v>
      </c>
      <c r="AQ633" s="5">
        <v>145</v>
      </c>
      <c r="AR633" s="5">
        <v>43.7</v>
      </c>
      <c r="AS633" s="5">
        <v>5</v>
      </c>
      <c r="AT633" s="5">
        <v>50</v>
      </c>
      <c r="AU633" s="5">
        <v>78</v>
      </c>
      <c r="AV633" s="5">
        <v>36.1</v>
      </c>
      <c r="AW633" s="5">
        <v>11.38</v>
      </c>
      <c r="AX633" s="5">
        <v>76</v>
      </c>
      <c r="AY633" s="5">
        <v>93.22</v>
      </c>
      <c r="AZ633" s="5" t="s">
        <v>75</v>
      </c>
      <c r="BA633" s="5" t="s">
        <v>76</v>
      </c>
      <c r="BB633" s="12" t="s">
        <v>76</v>
      </c>
      <c r="BC633" s="5">
        <v>4.34</v>
      </c>
      <c r="BD633" s="5">
        <v>145</v>
      </c>
      <c r="BE633" s="5" t="s">
        <v>76</v>
      </c>
      <c r="BF633" s="5" t="s">
        <v>76</v>
      </c>
      <c r="BG633" s="15">
        <v>36.4</v>
      </c>
      <c r="BH633" s="5">
        <v>82</v>
      </c>
      <c r="BI633" s="5">
        <v>82</v>
      </c>
      <c r="BJ633" s="5">
        <v>35</v>
      </c>
      <c r="BK633" s="5">
        <v>138</v>
      </c>
      <c r="BL633" s="5">
        <v>94</v>
      </c>
      <c r="BM633" s="5">
        <v>56</v>
      </c>
      <c r="BN633" s="5">
        <v>162</v>
      </c>
      <c r="BO633" s="5">
        <f t="shared" si="9"/>
        <v>21.3382106386222</v>
      </c>
      <c r="BP633" s="5" t="s">
        <v>174</v>
      </c>
      <c r="BQ633" s="5">
        <v>5.4</v>
      </c>
      <c r="BR633" s="5">
        <v>2511</v>
      </c>
    </row>
    <row r="634" s="1" customFormat="1" spans="1:70">
      <c r="A634" s="1">
        <v>3268742</v>
      </c>
      <c r="B634" s="1" t="s">
        <v>1702</v>
      </c>
      <c r="D634" s="4">
        <v>44945</v>
      </c>
      <c r="E634" s="4">
        <v>44953</v>
      </c>
      <c r="F634" s="7">
        <v>18732</v>
      </c>
      <c r="G634" s="1">
        <v>42</v>
      </c>
      <c r="H634" s="1">
        <v>9</v>
      </c>
      <c r="I634" s="1">
        <v>49</v>
      </c>
      <c r="J634" s="1">
        <v>9</v>
      </c>
      <c r="K634" s="1">
        <v>55</v>
      </c>
      <c r="L634" s="1">
        <v>29</v>
      </c>
      <c r="N634" s="1">
        <v>7.2</v>
      </c>
      <c r="O634" s="7">
        <v>18732</v>
      </c>
      <c r="P634" s="4">
        <v>44945</v>
      </c>
      <c r="Q634" s="4">
        <v>44953</v>
      </c>
      <c r="R634" s="1" t="s">
        <v>73</v>
      </c>
      <c r="AO634" s="7">
        <v>18732</v>
      </c>
      <c r="AP634" s="5">
        <v>12400.6</v>
      </c>
      <c r="AQ634" s="5" t="s">
        <v>76</v>
      </c>
      <c r="AR634" s="5" t="s">
        <v>76</v>
      </c>
      <c r="AS634" s="5" t="s">
        <v>76</v>
      </c>
      <c r="AT634" s="5" t="s">
        <v>76</v>
      </c>
      <c r="AU634" s="5" t="s">
        <v>76</v>
      </c>
      <c r="AV634" s="5" t="s">
        <v>76</v>
      </c>
      <c r="AW634" s="5" t="s">
        <v>76</v>
      </c>
      <c r="AX634" s="5" t="s">
        <v>76</v>
      </c>
      <c r="AY634" s="5" t="s">
        <v>76</v>
      </c>
      <c r="AZ634" s="5" t="s">
        <v>75</v>
      </c>
      <c r="BA634" s="5">
        <v>4.38</v>
      </c>
      <c r="BB634" s="12" t="s">
        <v>76</v>
      </c>
      <c r="BC634" s="5">
        <v>3.29</v>
      </c>
      <c r="BD634" s="5" t="s">
        <v>76</v>
      </c>
      <c r="BE634" s="5">
        <v>1.24</v>
      </c>
      <c r="BF634" s="5">
        <v>2.41</v>
      </c>
      <c r="BG634" s="15">
        <v>36.9</v>
      </c>
      <c r="BH634" s="5">
        <v>102</v>
      </c>
      <c r="BI634" s="5">
        <v>114</v>
      </c>
      <c r="BJ634" s="5">
        <v>16</v>
      </c>
      <c r="BK634" s="5">
        <v>138</v>
      </c>
      <c r="BL634" s="5">
        <v>72</v>
      </c>
      <c r="BM634" s="5">
        <v>69</v>
      </c>
      <c r="BN634" s="5">
        <v>162</v>
      </c>
      <c r="BO634" s="5">
        <f t="shared" si="9"/>
        <v>26.291723822588</v>
      </c>
      <c r="BP634" s="5" t="s">
        <v>438</v>
      </c>
      <c r="BQ634" s="5" t="s">
        <v>76</v>
      </c>
      <c r="BR634" s="5">
        <v>1088</v>
      </c>
    </row>
    <row r="635" s="1" customFormat="1" spans="1:70">
      <c r="A635" s="1">
        <v>3332073</v>
      </c>
      <c r="B635" s="1" t="s">
        <v>1703</v>
      </c>
      <c r="C635" s="1" t="s">
        <v>273</v>
      </c>
      <c r="D635" s="4">
        <v>45034</v>
      </c>
      <c r="E635" s="4">
        <v>45036</v>
      </c>
      <c r="F635" s="7">
        <v>18736</v>
      </c>
      <c r="G635" s="1">
        <v>29</v>
      </c>
      <c r="H635" s="1">
        <v>9</v>
      </c>
      <c r="I635" s="1">
        <v>40</v>
      </c>
      <c r="J635" s="1">
        <v>9</v>
      </c>
      <c r="K635" s="1">
        <v>40</v>
      </c>
      <c r="L635" s="1">
        <v>19</v>
      </c>
      <c r="M635" s="1">
        <v>0.55</v>
      </c>
      <c r="N635" s="1">
        <v>7.7</v>
      </c>
      <c r="O635" s="7">
        <v>18736</v>
      </c>
      <c r="P635" s="4">
        <v>45034</v>
      </c>
      <c r="Q635" s="4">
        <v>45036</v>
      </c>
      <c r="R635" s="1" t="s">
        <v>73</v>
      </c>
      <c r="AO635" s="7">
        <v>18736</v>
      </c>
      <c r="AP635" s="5">
        <v>3.9</v>
      </c>
      <c r="AQ635" s="5">
        <v>123</v>
      </c>
      <c r="AR635" s="5">
        <v>36.8</v>
      </c>
      <c r="AS635" s="5">
        <v>196.4</v>
      </c>
      <c r="AT635" s="5">
        <v>333</v>
      </c>
      <c r="AU635" s="5">
        <v>87</v>
      </c>
      <c r="AV635" s="5">
        <v>27.3</v>
      </c>
      <c r="AW635" s="5">
        <v>14.1</v>
      </c>
      <c r="AX635" s="5">
        <v>62</v>
      </c>
      <c r="AY635" s="5" t="s">
        <v>76</v>
      </c>
      <c r="AZ635" s="5">
        <v>6.36</v>
      </c>
      <c r="BA635" s="5" t="s">
        <v>76</v>
      </c>
      <c r="BB635" s="12" t="s">
        <v>76</v>
      </c>
      <c r="BC635" s="5">
        <v>5.54</v>
      </c>
      <c r="BD635" s="5">
        <v>123</v>
      </c>
      <c r="BE635" s="5" t="s">
        <v>76</v>
      </c>
      <c r="BF635" s="5" t="s">
        <v>76</v>
      </c>
      <c r="BG635" s="15">
        <v>36.7</v>
      </c>
      <c r="BH635" s="5">
        <v>69</v>
      </c>
      <c r="BI635" s="5">
        <v>69</v>
      </c>
      <c r="BJ635" s="5">
        <v>20</v>
      </c>
      <c r="BK635" s="5">
        <v>110</v>
      </c>
      <c r="BL635" s="5">
        <v>60</v>
      </c>
      <c r="BM635" s="5">
        <v>40</v>
      </c>
      <c r="BN635" s="5">
        <v>158</v>
      </c>
      <c r="BO635" s="5">
        <f t="shared" si="9"/>
        <v>16.0230732254446</v>
      </c>
      <c r="BP635" s="5" t="s">
        <v>394</v>
      </c>
      <c r="BQ635" s="5" t="s">
        <v>76</v>
      </c>
      <c r="BR635" s="5" t="s">
        <v>118</v>
      </c>
    </row>
    <row r="636" s="1" customFormat="1" spans="1:70">
      <c r="A636" s="1">
        <v>3258513</v>
      </c>
      <c r="B636" s="1" t="s">
        <v>1704</v>
      </c>
      <c r="D636" s="4">
        <v>44925</v>
      </c>
      <c r="E636" s="4">
        <v>44935</v>
      </c>
      <c r="F636" s="7">
        <v>18743</v>
      </c>
      <c r="G636" s="1">
        <v>34</v>
      </c>
      <c r="H636" s="1">
        <v>10</v>
      </c>
      <c r="I636" s="1">
        <v>52</v>
      </c>
      <c r="J636" s="1">
        <v>10</v>
      </c>
      <c r="K636" s="1">
        <v>62</v>
      </c>
      <c r="L636" s="1">
        <v>34</v>
      </c>
      <c r="M636" s="1">
        <v>0.75</v>
      </c>
      <c r="N636" s="1">
        <v>10.3</v>
      </c>
      <c r="O636" s="7">
        <v>18743</v>
      </c>
      <c r="P636" s="4">
        <v>44925</v>
      </c>
      <c r="Q636" s="4">
        <v>44935</v>
      </c>
      <c r="R636" s="1" t="s">
        <v>80</v>
      </c>
      <c r="AO636" s="7">
        <v>18743</v>
      </c>
      <c r="AP636" s="5">
        <v>7</v>
      </c>
      <c r="AQ636" s="5">
        <v>113</v>
      </c>
      <c r="AR636" s="5">
        <v>39</v>
      </c>
      <c r="AS636" s="5">
        <v>72.2</v>
      </c>
      <c r="AT636" s="5">
        <v>29</v>
      </c>
      <c r="AU636" s="5">
        <v>29</v>
      </c>
      <c r="AV636" s="5">
        <v>27.5</v>
      </c>
      <c r="AW636" s="5">
        <v>5.42</v>
      </c>
      <c r="AX636" s="5">
        <v>58</v>
      </c>
      <c r="AY636" s="5" t="s">
        <v>125</v>
      </c>
      <c r="AZ636" s="5" t="s">
        <v>75</v>
      </c>
      <c r="BA636" s="5" t="s">
        <v>76</v>
      </c>
      <c r="BB636" s="12" t="s">
        <v>76</v>
      </c>
      <c r="BC636" s="5">
        <v>3.36</v>
      </c>
      <c r="BD636" s="5">
        <v>113</v>
      </c>
      <c r="BE636" s="5" t="s">
        <v>76</v>
      </c>
      <c r="BF636" s="5" t="s">
        <v>76</v>
      </c>
      <c r="BG636" s="15">
        <v>36.3</v>
      </c>
      <c r="BH636" s="5" t="s">
        <v>76</v>
      </c>
      <c r="BI636" s="5">
        <v>71</v>
      </c>
      <c r="BJ636" s="5">
        <v>22</v>
      </c>
      <c r="BK636" s="5">
        <v>167</v>
      </c>
      <c r="BL636" s="5">
        <v>97</v>
      </c>
      <c r="BM636" s="5">
        <v>78</v>
      </c>
      <c r="BN636" s="5">
        <v>173</v>
      </c>
      <c r="BO636" s="5">
        <f t="shared" si="9"/>
        <v>26.0616793076949</v>
      </c>
      <c r="BP636" s="5" t="s">
        <v>168</v>
      </c>
      <c r="BQ636" s="5" t="s">
        <v>76</v>
      </c>
      <c r="BR636" s="5">
        <v>1170</v>
      </c>
    </row>
    <row r="637" s="1" customFormat="1" spans="1:70">
      <c r="A637" s="1">
        <v>3271168</v>
      </c>
      <c r="B637" s="1" t="s">
        <v>1705</v>
      </c>
      <c r="D637" s="4">
        <v>44952</v>
      </c>
      <c r="E637" s="4">
        <v>44963</v>
      </c>
      <c r="F637" s="7">
        <v>18746</v>
      </c>
      <c r="G637" s="1">
        <v>40</v>
      </c>
      <c r="H637" s="1">
        <v>9</v>
      </c>
      <c r="I637" s="1">
        <v>57</v>
      </c>
      <c r="J637" s="1">
        <v>9</v>
      </c>
      <c r="K637" s="1">
        <v>35</v>
      </c>
      <c r="M637" s="1">
        <v>0.74</v>
      </c>
      <c r="N637" s="1">
        <v>15.8</v>
      </c>
      <c r="O637" s="7">
        <v>18746</v>
      </c>
      <c r="P637" s="4">
        <v>44952</v>
      </c>
      <c r="Q637" s="4">
        <v>44963</v>
      </c>
      <c r="R637" s="1" t="s">
        <v>80</v>
      </c>
      <c r="AO637" s="7">
        <v>18746</v>
      </c>
      <c r="AP637" s="5">
        <v>9.5</v>
      </c>
      <c r="AQ637" s="5">
        <v>89</v>
      </c>
      <c r="AR637" s="5">
        <v>31.3</v>
      </c>
      <c r="AS637" s="5" t="s">
        <v>81</v>
      </c>
      <c r="AT637" s="5">
        <v>75</v>
      </c>
      <c r="AU637" s="5">
        <v>90</v>
      </c>
      <c r="AV637" s="5">
        <v>35.9</v>
      </c>
      <c r="AW637" s="5">
        <v>9.35</v>
      </c>
      <c r="AX637" s="5">
        <v>94</v>
      </c>
      <c r="AY637" s="5">
        <v>89.15</v>
      </c>
      <c r="AZ637" s="5">
        <v>11.91</v>
      </c>
      <c r="BA637" s="5">
        <v>3.79</v>
      </c>
      <c r="BB637" s="12" t="s">
        <v>76</v>
      </c>
      <c r="BC637" s="5">
        <v>5.01</v>
      </c>
      <c r="BD637" s="5">
        <v>89</v>
      </c>
      <c r="BE637" s="5">
        <v>1.64</v>
      </c>
      <c r="BF637" s="5">
        <v>1.84</v>
      </c>
      <c r="BG637" s="15">
        <v>36.2</v>
      </c>
      <c r="BH637" s="5" t="s">
        <v>76</v>
      </c>
      <c r="BI637" s="5">
        <v>80</v>
      </c>
      <c r="BJ637" s="5" t="s">
        <v>76</v>
      </c>
      <c r="BK637" s="5">
        <v>122</v>
      </c>
      <c r="BL637" s="5">
        <v>82</v>
      </c>
      <c r="BM637" s="5">
        <v>75</v>
      </c>
      <c r="BN637" s="5">
        <v>175</v>
      </c>
      <c r="BO637" s="5">
        <f t="shared" si="9"/>
        <v>24.4897959183673</v>
      </c>
      <c r="BP637" s="5" t="s">
        <v>78</v>
      </c>
      <c r="BQ637" s="5">
        <v>7.5</v>
      </c>
      <c r="BR637" s="5">
        <v>7075</v>
      </c>
    </row>
    <row r="638" s="1" customFormat="1" spans="1:70">
      <c r="A638" s="1">
        <v>3517193</v>
      </c>
      <c r="B638" s="1" t="s">
        <v>1706</v>
      </c>
      <c r="D638" s="4">
        <v>45291</v>
      </c>
      <c r="E638" s="4">
        <v>45300</v>
      </c>
      <c r="F638" s="7">
        <v>18749</v>
      </c>
      <c r="G638" s="1">
        <v>46</v>
      </c>
      <c r="H638" s="1">
        <v>10</v>
      </c>
      <c r="I638" s="1">
        <v>51</v>
      </c>
      <c r="J638" s="1">
        <v>10</v>
      </c>
      <c r="K638" s="1">
        <v>61</v>
      </c>
      <c r="L638" s="1">
        <v>35</v>
      </c>
      <c r="M638" s="1">
        <v>0.79</v>
      </c>
      <c r="N638" s="1">
        <v>16.8</v>
      </c>
      <c r="O638" s="7">
        <v>18749</v>
      </c>
      <c r="P638" s="4">
        <v>45291</v>
      </c>
      <c r="Q638" s="4">
        <v>45300</v>
      </c>
      <c r="R638" s="1" t="s">
        <v>80</v>
      </c>
      <c r="S638" s="1">
        <v>72</v>
      </c>
      <c r="T638" s="1" t="s">
        <v>1707</v>
      </c>
      <c r="V638" s="1" t="s">
        <v>155</v>
      </c>
      <c r="X638" s="1" t="s">
        <v>155</v>
      </c>
      <c r="AA638" s="1" t="s">
        <v>155</v>
      </c>
      <c r="AL638" s="1">
        <v>1</v>
      </c>
      <c r="AM638" s="1">
        <v>1</v>
      </c>
      <c r="AN638" s="1">
        <v>1</v>
      </c>
      <c r="AO638" s="7">
        <v>18749</v>
      </c>
      <c r="AP638" s="5">
        <v>6.4</v>
      </c>
      <c r="AQ638" s="5">
        <v>92</v>
      </c>
      <c r="AR638" s="5">
        <v>31.2</v>
      </c>
      <c r="AS638" s="5">
        <v>30</v>
      </c>
      <c r="AT638" s="5">
        <v>13</v>
      </c>
      <c r="AU638" s="5">
        <v>5</v>
      </c>
      <c r="AV638" s="5">
        <v>32.3</v>
      </c>
      <c r="AW638" s="5">
        <v>22</v>
      </c>
      <c r="AX638" s="5">
        <v>356</v>
      </c>
      <c r="AY638" s="5">
        <v>16.33</v>
      </c>
      <c r="AZ638" s="5">
        <v>5.24</v>
      </c>
      <c r="BA638" s="5">
        <v>4.81</v>
      </c>
      <c r="BB638" s="12" t="s">
        <v>76</v>
      </c>
      <c r="BC638" s="5">
        <v>4.23</v>
      </c>
      <c r="BD638" s="5">
        <v>92</v>
      </c>
      <c r="BE638" s="5">
        <v>0.69</v>
      </c>
      <c r="BF638" s="5">
        <v>2.04</v>
      </c>
      <c r="BG638" s="15">
        <v>36.6</v>
      </c>
      <c r="BH638" s="5">
        <v>67</v>
      </c>
      <c r="BI638" s="5" t="s">
        <v>76</v>
      </c>
      <c r="BJ638" s="5">
        <v>20</v>
      </c>
      <c r="BK638" s="5">
        <v>147</v>
      </c>
      <c r="BL638" s="5">
        <v>70</v>
      </c>
      <c r="BM638" s="5">
        <v>75</v>
      </c>
      <c r="BN638" s="5">
        <v>170</v>
      </c>
      <c r="BO638" s="5">
        <f t="shared" si="9"/>
        <v>25.9515570934256</v>
      </c>
      <c r="BP638" s="5" t="s">
        <v>415</v>
      </c>
      <c r="BQ638" s="5">
        <v>7.1</v>
      </c>
      <c r="BR638" s="5">
        <v>9602</v>
      </c>
    </row>
    <row r="639" s="1" customFormat="1" spans="1:70">
      <c r="A639" s="1">
        <v>3262387</v>
      </c>
      <c r="B639" s="1" t="s">
        <v>1708</v>
      </c>
      <c r="D639" s="4">
        <v>44931</v>
      </c>
      <c r="E639" s="4">
        <v>44945</v>
      </c>
      <c r="F639" s="7">
        <v>18769</v>
      </c>
      <c r="G639" s="1">
        <v>37</v>
      </c>
      <c r="H639" s="1">
        <v>10</v>
      </c>
      <c r="I639" s="1">
        <v>51</v>
      </c>
      <c r="J639" s="1">
        <v>10</v>
      </c>
      <c r="K639" s="1">
        <v>54</v>
      </c>
      <c r="M639" s="1">
        <v>0.68</v>
      </c>
      <c r="N639" s="1">
        <v>16.3</v>
      </c>
      <c r="O639" s="7">
        <v>18769</v>
      </c>
      <c r="P639" s="4">
        <v>44931</v>
      </c>
      <c r="Q639" s="4">
        <v>44945</v>
      </c>
      <c r="R639" s="1" t="s">
        <v>80</v>
      </c>
      <c r="AO639" s="7">
        <v>18769</v>
      </c>
      <c r="AP639" s="5">
        <v>9.6</v>
      </c>
      <c r="AQ639" s="5">
        <v>89</v>
      </c>
      <c r="AR639" s="5">
        <v>34.7</v>
      </c>
      <c r="AS639" s="5">
        <v>7.2</v>
      </c>
      <c r="AT639" s="5">
        <v>7</v>
      </c>
      <c r="AU639" s="5">
        <v>36</v>
      </c>
      <c r="AV639" s="5">
        <v>34.2</v>
      </c>
      <c r="AW639" s="5">
        <v>26.22</v>
      </c>
      <c r="AX639" s="5">
        <v>256</v>
      </c>
      <c r="AY639" s="5">
        <v>25.34</v>
      </c>
      <c r="AZ639" s="5" t="s">
        <v>375</v>
      </c>
      <c r="BA639" s="5">
        <v>4.81</v>
      </c>
      <c r="BB639" s="12" t="s">
        <v>76</v>
      </c>
      <c r="BC639" s="5">
        <v>3.98</v>
      </c>
      <c r="BD639" s="5">
        <v>89</v>
      </c>
      <c r="BE639" s="5">
        <v>1.22</v>
      </c>
      <c r="BF639" s="5">
        <v>2.56</v>
      </c>
      <c r="BG639" s="15">
        <v>37.1</v>
      </c>
      <c r="BH639" s="5">
        <v>102</v>
      </c>
      <c r="BI639" s="5">
        <v>102</v>
      </c>
      <c r="BJ639" s="5">
        <v>20</v>
      </c>
      <c r="BK639" s="5">
        <v>160</v>
      </c>
      <c r="BL639" s="5">
        <v>80</v>
      </c>
      <c r="BM639" s="5">
        <v>80</v>
      </c>
      <c r="BN639" s="5">
        <v>170</v>
      </c>
      <c r="BO639" s="5">
        <f t="shared" si="9"/>
        <v>27.681660899654</v>
      </c>
      <c r="BP639" s="5" t="s">
        <v>258</v>
      </c>
      <c r="BQ639" s="5">
        <v>9.2</v>
      </c>
      <c r="BR639" s="5">
        <v>9057</v>
      </c>
    </row>
    <row r="640" s="1" customFormat="1" spans="1:70">
      <c r="A640" s="1">
        <v>3291925</v>
      </c>
      <c r="B640" s="1" t="s">
        <v>1709</v>
      </c>
      <c r="D640" s="4">
        <v>44979</v>
      </c>
      <c r="E640" s="4">
        <v>44986</v>
      </c>
      <c r="F640" s="7">
        <v>18781</v>
      </c>
      <c r="G640" s="1">
        <v>37</v>
      </c>
      <c r="H640" s="1">
        <v>11</v>
      </c>
      <c r="I640" s="1">
        <v>53</v>
      </c>
      <c r="J640" s="1">
        <v>10</v>
      </c>
      <c r="K640" s="1">
        <v>59</v>
      </c>
      <c r="L640" s="1">
        <v>31</v>
      </c>
      <c r="M640" s="1">
        <v>0.5</v>
      </c>
      <c r="N640" s="1">
        <v>12.6</v>
      </c>
      <c r="O640" s="7">
        <v>18781</v>
      </c>
      <c r="P640" s="4">
        <v>44979</v>
      </c>
      <c r="Q640" s="4">
        <v>44986</v>
      </c>
      <c r="R640" s="1" t="s">
        <v>80</v>
      </c>
      <c r="AO640" s="7">
        <v>18781</v>
      </c>
      <c r="AP640" s="5">
        <v>9.4</v>
      </c>
      <c r="AQ640" s="5">
        <v>64</v>
      </c>
      <c r="AR640" s="5">
        <v>20.9</v>
      </c>
      <c r="AS640" s="5" t="s">
        <v>76</v>
      </c>
      <c r="AT640" s="5">
        <v>15</v>
      </c>
      <c r="AU640" s="5">
        <v>25</v>
      </c>
      <c r="AV640" s="5">
        <v>34</v>
      </c>
      <c r="AW640" s="5">
        <v>32.4</v>
      </c>
      <c r="AX640" s="5">
        <v>243</v>
      </c>
      <c r="AY640" s="5">
        <v>26.37</v>
      </c>
      <c r="AZ640" s="5" t="s">
        <v>75</v>
      </c>
      <c r="BA640" s="5">
        <v>2.33</v>
      </c>
      <c r="BB640" s="12" t="s">
        <v>76</v>
      </c>
      <c r="BC640" s="5" t="s">
        <v>4</v>
      </c>
      <c r="BD640" s="5">
        <v>64</v>
      </c>
      <c r="BE640" s="5">
        <v>0.87</v>
      </c>
      <c r="BF640" s="5">
        <v>0.96</v>
      </c>
      <c r="BG640" s="15">
        <v>36.6</v>
      </c>
      <c r="BH640" s="5">
        <v>78</v>
      </c>
      <c r="BI640" s="5" t="s">
        <v>76</v>
      </c>
      <c r="BJ640" s="5">
        <v>18</v>
      </c>
      <c r="BK640" s="5">
        <v>160</v>
      </c>
      <c r="BL640" s="5">
        <v>75</v>
      </c>
      <c r="BM640" s="5">
        <v>68</v>
      </c>
      <c r="BN640" s="5">
        <v>169</v>
      </c>
      <c r="BO640" s="5">
        <f t="shared" si="9"/>
        <v>23.8086901719128</v>
      </c>
      <c r="BP640" s="5" t="s">
        <v>300</v>
      </c>
      <c r="BQ640" s="5">
        <v>6.9</v>
      </c>
      <c r="BR640" s="5">
        <v>1077</v>
      </c>
    </row>
    <row r="641" s="1" customFormat="1" spans="1:70">
      <c r="A641" s="1">
        <v>3243179</v>
      </c>
      <c r="B641" s="1" t="s">
        <v>1710</v>
      </c>
      <c r="D641" s="4">
        <v>44888</v>
      </c>
      <c r="E641" s="4">
        <v>44897</v>
      </c>
      <c r="F641" s="7">
        <v>18788</v>
      </c>
      <c r="G641" s="1">
        <v>39</v>
      </c>
      <c r="H641" s="1">
        <v>8</v>
      </c>
      <c r="I641" s="1">
        <v>51</v>
      </c>
      <c r="J641" s="1">
        <v>8</v>
      </c>
      <c r="K641" s="1">
        <v>63</v>
      </c>
      <c r="L641" s="1">
        <v>34</v>
      </c>
      <c r="M641" s="1">
        <v>0.86</v>
      </c>
      <c r="N641" s="1">
        <v>11.1</v>
      </c>
      <c r="O641" s="7">
        <v>18788</v>
      </c>
      <c r="P641" s="4">
        <v>44888</v>
      </c>
      <c r="Q641" s="4">
        <v>44897</v>
      </c>
      <c r="R641" s="1" t="s">
        <v>73</v>
      </c>
      <c r="S641" s="1">
        <v>71</v>
      </c>
      <c r="T641" s="1" t="s">
        <v>1711</v>
      </c>
      <c r="V641" s="1">
        <v>1</v>
      </c>
      <c r="AC641" s="1">
        <v>1</v>
      </c>
      <c r="AO641" s="7">
        <v>18788</v>
      </c>
      <c r="AP641" s="5">
        <v>0.6</v>
      </c>
      <c r="AQ641" s="5" t="s">
        <v>76</v>
      </c>
      <c r="AR641" s="5" t="s">
        <v>76</v>
      </c>
      <c r="AS641" s="5" t="s">
        <v>76</v>
      </c>
      <c r="AT641" s="5">
        <v>19</v>
      </c>
      <c r="AU641" s="5">
        <v>15</v>
      </c>
      <c r="AV641" s="5">
        <v>39.4</v>
      </c>
      <c r="AW641" s="5">
        <v>4</v>
      </c>
      <c r="AX641" s="5">
        <v>54</v>
      </c>
      <c r="AY641" s="5">
        <v>102.61</v>
      </c>
      <c r="AZ641" s="5" t="s">
        <v>75</v>
      </c>
      <c r="BA641" s="5">
        <v>3.08</v>
      </c>
      <c r="BB641" s="12" t="s">
        <v>76</v>
      </c>
      <c r="BC641" s="5">
        <v>4.06</v>
      </c>
      <c r="BD641" s="5" t="s">
        <v>76</v>
      </c>
      <c r="BE641" s="5">
        <v>0.88</v>
      </c>
      <c r="BF641" s="5">
        <v>1.73</v>
      </c>
      <c r="BG641" s="15">
        <v>36.6</v>
      </c>
      <c r="BH641" s="5">
        <v>63</v>
      </c>
      <c r="BI641" s="5" t="s">
        <v>76</v>
      </c>
      <c r="BJ641" s="5">
        <v>12</v>
      </c>
      <c r="BK641" s="5">
        <v>128</v>
      </c>
      <c r="BL641" s="5">
        <v>58</v>
      </c>
      <c r="BM641" s="5">
        <v>59</v>
      </c>
      <c r="BN641" s="5">
        <v>164</v>
      </c>
      <c r="BO641" s="5">
        <f t="shared" si="9"/>
        <v>21.9363474122546</v>
      </c>
      <c r="BP641" s="5" t="s">
        <v>149</v>
      </c>
      <c r="BQ641" s="5" t="s">
        <v>76</v>
      </c>
      <c r="BR641" s="5">
        <v>1158</v>
      </c>
    </row>
    <row r="642" s="1" customFormat="1" spans="1:70">
      <c r="A642" s="1">
        <v>3502127</v>
      </c>
      <c r="B642" s="1" t="s">
        <v>1712</v>
      </c>
      <c r="D642" s="4">
        <v>45270</v>
      </c>
      <c r="E642" s="4">
        <v>45283</v>
      </c>
      <c r="F642" s="7">
        <v>18795</v>
      </c>
      <c r="G642" s="1">
        <v>46</v>
      </c>
      <c r="H642" s="1">
        <v>12</v>
      </c>
      <c r="I642" s="1">
        <v>49</v>
      </c>
      <c r="J642" s="1">
        <v>12</v>
      </c>
      <c r="K642" s="1">
        <v>48</v>
      </c>
      <c r="L642" s="1">
        <v>24</v>
      </c>
      <c r="O642" s="7">
        <v>18795</v>
      </c>
      <c r="P642" s="4">
        <v>45270</v>
      </c>
      <c r="Q642" s="4">
        <v>45283</v>
      </c>
      <c r="R642" s="1" t="s">
        <v>80</v>
      </c>
      <c r="AO642" s="7">
        <v>18795</v>
      </c>
      <c r="AP642" s="5">
        <v>9.5</v>
      </c>
      <c r="AQ642" s="5">
        <v>98</v>
      </c>
      <c r="AR642" s="5">
        <v>46.3</v>
      </c>
      <c r="AS642" s="5">
        <v>97.2</v>
      </c>
      <c r="AT642" s="5">
        <v>89</v>
      </c>
      <c r="AU642" s="5">
        <v>80</v>
      </c>
      <c r="AV642" s="5">
        <v>27.6</v>
      </c>
      <c r="AW642" s="5">
        <v>37.16</v>
      </c>
      <c r="AX642" s="5">
        <v>91</v>
      </c>
      <c r="AY642" s="5">
        <v>82.82</v>
      </c>
      <c r="AZ642" s="5" t="s">
        <v>75</v>
      </c>
      <c r="BA642" s="5" t="s">
        <v>76</v>
      </c>
      <c r="BB642" s="12" t="s">
        <v>76</v>
      </c>
      <c r="BC642" s="5">
        <v>4.73</v>
      </c>
      <c r="BD642" s="5">
        <v>98</v>
      </c>
      <c r="BE642" s="5" t="s">
        <v>76</v>
      </c>
      <c r="BF642" s="5" t="s">
        <v>76</v>
      </c>
      <c r="BG642" s="5" t="s">
        <v>76</v>
      </c>
      <c r="BH642" s="5" t="s">
        <v>76</v>
      </c>
      <c r="BI642" s="5" t="s">
        <v>76</v>
      </c>
      <c r="BJ642" s="5" t="s">
        <v>76</v>
      </c>
      <c r="BK642" s="5" t="s">
        <v>76</v>
      </c>
      <c r="BL642" s="5" t="s">
        <v>76</v>
      </c>
      <c r="BM642" s="5" t="s">
        <v>76</v>
      </c>
      <c r="BN642" s="5" t="s">
        <v>76</v>
      </c>
      <c r="BO642" s="5" t="e">
        <f t="shared" si="9"/>
        <v>#VALUE!</v>
      </c>
      <c r="BP642" s="5" t="s">
        <v>117</v>
      </c>
      <c r="BQ642" s="5" t="s">
        <v>76</v>
      </c>
      <c r="BR642" s="5">
        <v>9678.69</v>
      </c>
    </row>
    <row r="643" s="1" customFormat="1" spans="1:70">
      <c r="A643" s="1">
        <v>3263571</v>
      </c>
      <c r="B643" s="1" t="s">
        <v>1713</v>
      </c>
      <c r="D643" s="4">
        <v>44934</v>
      </c>
      <c r="E643" s="4">
        <v>44947</v>
      </c>
      <c r="F643" s="7">
        <v>18796</v>
      </c>
      <c r="G643" s="1">
        <v>68</v>
      </c>
      <c r="H643" s="1">
        <v>9</v>
      </c>
      <c r="I643" s="1">
        <v>50</v>
      </c>
      <c r="J643" s="1">
        <v>9</v>
      </c>
      <c r="K643" s="1">
        <v>54</v>
      </c>
      <c r="L643" s="1">
        <v>28</v>
      </c>
      <c r="O643" s="7">
        <v>18796</v>
      </c>
      <c r="P643" s="4">
        <v>44934</v>
      </c>
      <c r="Q643" s="4">
        <v>44947</v>
      </c>
      <c r="R643" s="1" t="s">
        <v>73</v>
      </c>
      <c r="AO643" s="7">
        <v>18796</v>
      </c>
      <c r="AP643" s="5">
        <v>4.6</v>
      </c>
      <c r="AQ643" s="5">
        <v>121</v>
      </c>
      <c r="AR643" s="5">
        <v>37.5</v>
      </c>
      <c r="AS643" s="5">
        <v>4.3</v>
      </c>
      <c r="AT643" s="5">
        <v>20</v>
      </c>
      <c r="AU643" s="5">
        <v>14</v>
      </c>
      <c r="AV643" s="5">
        <v>41.9</v>
      </c>
      <c r="AW643" s="5">
        <v>13.8</v>
      </c>
      <c r="AX643" s="5">
        <v>89</v>
      </c>
      <c r="AY643" s="5">
        <v>72.46</v>
      </c>
      <c r="AZ643" s="5" t="s">
        <v>75</v>
      </c>
      <c r="BA643" s="5">
        <v>3.69</v>
      </c>
      <c r="BB643" s="12" t="s">
        <v>76</v>
      </c>
      <c r="BC643" s="5">
        <v>4.57</v>
      </c>
      <c r="BD643" s="5">
        <v>121</v>
      </c>
      <c r="BE643" s="5">
        <v>1.18</v>
      </c>
      <c r="BF643" s="5">
        <v>2.49</v>
      </c>
      <c r="BG643" s="15">
        <v>36.5</v>
      </c>
      <c r="BH643" s="5">
        <v>71</v>
      </c>
      <c r="BI643" s="5">
        <v>71</v>
      </c>
      <c r="BJ643" s="5">
        <v>18</v>
      </c>
      <c r="BK643" s="5">
        <v>106</v>
      </c>
      <c r="BL643" s="5">
        <v>59</v>
      </c>
      <c r="BM643" s="5">
        <v>65</v>
      </c>
      <c r="BN643" s="5">
        <v>168</v>
      </c>
      <c r="BO643" s="5">
        <f t="shared" ref="BO643:BO706" si="10">BM643/(BN643/100)^2</f>
        <v>23.0300453514739</v>
      </c>
      <c r="BP643" s="5" t="s">
        <v>156</v>
      </c>
      <c r="BQ643" s="5">
        <v>13.2</v>
      </c>
      <c r="BR643" s="5">
        <v>5375</v>
      </c>
    </row>
    <row r="644" s="1" customFormat="1" spans="1:70">
      <c r="A644" s="1">
        <v>3283795</v>
      </c>
      <c r="B644" s="1" t="s">
        <v>1714</v>
      </c>
      <c r="D644" s="4">
        <v>44968</v>
      </c>
      <c r="E644" s="4">
        <v>44977</v>
      </c>
      <c r="F644" s="7">
        <v>18799</v>
      </c>
      <c r="G644" s="1">
        <v>42</v>
      </c>
      <c r="H644" s="1">
        <v>10</v>
      </c>
      <c r="I644" s="1">
        <v>54</v>
      </c>
      <c r="J644" s="1">
        <v>10</v>
      </c>
      <c r="K644" s="1">
        <v>43</v>
      </c>
      <c r="L644" s="1">
        <v>21</v>
      </c>
      <c r="N644" s="1">
        <v>22</v>
      </c>
      <c r="O644" s="7">
        <v>18799</v>
      </c>
      <c r="P644" s="4">
        <v>44968</v>
      </c>
      <c r="Q644" s="4">
        <v>44977</v>
      </c>
      <c r="R644" s="1" t="s">
        <v>73</v>
      </c>
      <c r="AO644" s="7">
        <v>18799</v>
      </c>
      <c r="AP644" s="5">
        <v>6.3</v>
      </c>
      <c r="AQ644" s="5">
        <v>156</v>
      </c>
      <c r="AR644" s="5">
        <v>47.4</v>
      </c>
      <c r="AS644" s="5">
        <v>9.9</v>
      </c>
      <c r="AT644" s="5">
        <v>39</v>
      </c>
      <c r="AU644" s="5">
        <v>25</v>
      </c>
      <c r="AV644" s="5">
        <v>40.7</v>
      </c>
      <c r="AW644" s="5">
        <v>5.35</v>
      </c>
      <c r="AX644" s="5">
        <v>59</v>
      </c>
      <c r="AY644" s="5">
        <v>92.64</v>
      </c>
      <c r="AZ644" s="5">
        <v>4.25</v>
      </c>
      <c r="BA644" s="5">
        <v>3.65</v>
      </c>
      <c r="BB644" s="12" t="s">
        <v>76</v>
      </c>
      <c r="BC644" s="5">
        <v>5.2</v>
      </c>
      <c r="BD644" s="5">
        <v>156</v>
      </c>
      <c r="BE644" s="5">
        <v>0.89</v>
      </c>
      <c r="BF644" s="5">
        <v>2.34</v>
      </c>
      <c r="BG644" s="15">
        <v>36.5</v>
      </c>
      <c r="BH644" s="5">
        <v>72</v>
      </c>
      <c r="BI644" s="5">
        <v>86</v>
      </c>
      <c r="BJ644" s="5">
        <v>18</v>
      </c>
      <c r="BK644" s="5">
        <v>147</v>
      </c>
      <c r="BL644" s="5">
        <v>104</v>
      </c>
      <c r="BM644" s="5">
        <v>60</v>
      </c>
      <c r="BN644" s="5">
        <v>160</v>
      </c>
      <c r="BO644" s="5">
        <f t="shared" si="10"/>
        <v>23.4375</v>
      </c>
      <c r="BP644" s="5" t="s">
        <v>78</v>
      </c>
      <c r="BQ644" s="5">
        <v>6</v>
      </c>
      <c r="BR644" s="5">
        <v>9203</v>
      </c>
    </row>
    <row r="645" s="1" customFormat="1" spans="1:70">
      <c r="A645" s="1">
        <v>3510920</v>
      </c>
      <c r="B645" s="1" t="s">
        <v>1715</v>
      </c>
      <c r="D645" s="4">
        <v>45281</v>
      </c>
      <c r="E645" s="4">
        <v>45296</v>
      </c>
      <c r="F645" s="7">
        <v>18815</v>
      </c>
      <c r="G645" s="1">
        <v>45</v>
      </c>
      <c r="H645" s="1">
        <v>10</v>
      </c>
      <c r="I645" s="1">
        <v>53</v>
      </c>
      <c r="J645" s="1">
        <v>10</v>
      </c>
      <c r="K645" s="1">
        <v>77</v>
      </c>
      <c r="L645" s="1">
        <v>46</v>
      </c>
      <c r="M645" s="1">
        <v>3.22</v>
      </c>
      <c r="N645" s="1">
        <v>21.1</v>
      </c>
      <c r="O645" s="7">
        <v>18815</v>
      </c>
      <c r="P645" s="4">
        <v>45281</v>
      </c>
      <c r="Q645" s="4">
        <v>45296</v>
      </c>
      <c r="R645" s="1" t="s">
        <v>80</v>
      </c>
      <c r="S645" s="1">
        <v>72</v>
      </c>
      <c r="T645" s="1" t="s">
        <v>1716</v>
      </c>
      <c r="V645" s="1">
        <v>1</v>
      </c>
      <c r="Y645" s="1">
        <v>1</v>
      </c>
      <c r="AC645" s="1">
        <v>1</v>
      </c>
      <c r="AG645" s="1">
        <v>1</v>
      </c>
      <c r="AH645" s="1">
        <v>1</v>
      </c>
      <c r="AN645" s="1">
        <v>1</v>
      </c>
      <c r="AO645" s="7">
        <v>18815</v>
      </c>
      <c r="AP645" s="5">
        <v>6.9</v>
      </c>
      <c r="AQ645" s="5">
        <v>139</v>
      </c>
      <c r="AR645" s="5">
        <v>42.1</v>
      </c>
      <c r="AS645" s="5" t="s">
        <v>81</v>
      </c>
      <c r="AT645" s="5">
        <v>26</v>
      </c>
      <c r="AU645" s="5">
        <v>16</v>
      </c>
      <c r="AV645" s="5">
        <v>36.4</v>
      </c>
      <c r="AW645" s="5">
        <v>3.51</v>
      </c>
      <c r="AX645" s="5">
        <v>70</v>
      </c>
      <c r="AY645" s="5">
        <v>102.21</v>
      </c>
      <c r="AZ645" s="5" t="s">
        <v>75</v>
      </c>
      <c r="BA645" s="5">
        <v>3.21</v>
      </c>
      <c r="BB645" s="12" t="s">
        <v>76</v>
      </c>
      <c r="BC645" s="5">
        <v>3.66</v>
      </c>
      <c r="BD645" s="5">
        <v>139</v>
      </c>
      <c r="BE645" s="5">
        <v>0.67</v>
      </c>
      <c r="BF645" s="5">
        <v>2.08</v>
      </c>
      <c r="BG645" s="15">
        <v>36.2</v>
      </c>
      <c r="BH645" s="5">
        <v>70</v>
      </c>
      <c r="BI645" s="5">
        <v>82</v>
      </c>
      <c r="BJ645" s="5">
        <v>19</v>
      </c>
      <c r="BK645" s="5">
        <v>160</v>
      </c>
      <c r="BL645" s="5">
        <v>81</v>
      </c>
      <c r="BM645" s="5">
        <v>105</v>
      </c>
      <c r="BN645" s="5">
        <v>174</v>
      </c>
      <c r="BO645" s="5">
        <f t="shared" si="10"/>
        <v>34.6809353943718</v>
      </c>
      <c r="BP645" s="5" t="s">
        <v>78</v>
      </c>
      <c r="BQ645" s="5">
        <v>5.3</v>
      </c>
      <c r="BR645" s="5">
        <v>1259</v>
      </c>
    </row>
    <row r="646" s="1" customFormat="1" spans="1:70">
      <c r="A646" s="1">
        <v>3291212</v>
      </c>
      <c r="B646" s="1" t="s">
        <v>1717</v>
      </c>
      <c r="D646" s="4">
        <v>44978</v>
      </c>
      <c r="E646" s="4">
        <v>44985</v>
      </c>
      <c r="F646" s="7">
        <v>18816</v>
      </c>
      <c r="G646" s="1">
        <v>51</v>
      </c>
      <c r="H646" s="1">
        <v>10</v>
      </c>
      <c r="I646" s="1">
        <v>53</v>
      </c>
      <c r="J646" s="1">
        <v>10</v>
      </c>
      <c r="K646" s="1">
        <v>47</v>
      </c>
      <c r="O646" s="7">
        <v>18816</v>
      </c>
      <c r="P646" s="4">
        <v>44978</v>
      </c>
      <c r="Q646" s="4">
        <v>44985</v>
      </c>
      <c r="R646" s="1" t="s">
        <v>73</v>
      </c>
      <c r="AO646" s="7">
        <v>18816</v>
      </c>
      <c r="AP646" s="5">
        <v>7.6</v>
      </c>
      <c r="AQ646" s="5">
        <v>143</v>
      </c>
      <c r="AR646" s="5">
        <v>45.3</v>
      </c>
      <c r="AS646" s="5">
        <v>1.5</v>
      </c>
      <c r="AT646" s="5">
        <v>28</v>
      </c>
      <c r="AU646" s="5">
        <v>28</v>
      </c>
      <c r="AV646" s="5">
        <v>45.3</v>
      </c>
      <c r="AW646" s="5">
        <v>6.56</v>
      </c>
      <c r="AX646" s="5">
        <v>52</v>
      </c>
      <c r="AY646" s="5" t="s">
        <v>125</v>
      </c>
      <c r="AZ646" s="5">
        <v>6.97</v>
      </c>
      <c r="BA646" s="5">
        <v>3.38</v>
      </c>
      <c r="BB646" s="12" t="s">
        <v>76</v>
      </c>
      <c r="BC646" s="5">
        <v>3.97</v>
      </c>
      <c r="BD646" s="5">
        <v>143</v>
      </c>
      <c r="BE646" s="5">
        <v>1.02</v>
      </c>
      <c r="BF646" s="5">
        <v>1.76</v>
      </c>
      <c r="BG646" s="15">
        <v>36.7</v>
      </c>
      <c r="BH646" s="5" t="s">
        <v>76</v>
      </c>
      <c r="BI646" s="5">
        <v>83</v>
      </c>
      <c r="BJ646" s="5">
        <v>17</v>
      </c>
      <c r="BK646" s="5">
        <v>149</v>
      </c>
      <c r="BL646" s="5">
        <v>77</v>
      </c>
      <c r="BM646" s="5">
        <v>80</v>
      </c>
      <c r="BN646" s="5">
        <v>167</v>
      </c>
      <c r="BO646" s="5">
        <f t="shared" si="10"/>
        <v>28.6851446806985</v>
      </c>
      <c r="BP646" s="5" t="s">
        <v>161</v>
      </c>
      <c r="BQ646" s="5" t="s">
        <v>76</v>
      </c>
      <c r="BR646" s="5">
        <v>923</v>
      </c>
    </row>
    <row r="647" s="1" customFormat="1" spans="1:70">
      <c r="A647" s="1">
        <v>3318284</v>
      </c>
      <c r="B647" s="1" t="s">
        <v>1718</v>
      </c>
      <c r="D647" s="4">
        <v>45015</v>
      </c>
      <c r="E647" s="4">
        <v>45026</v>
      </c>
      <c r="F647" s="7">
        <v>18824</v>
      </c>
      <c r="G647" s="1">
        <v>34</v>
      </c>
      <c r="H647" s="1">
        <v>10</v>
      </c>
      <c r="I647" s="1">
        <v>48</v>
      </c>
      <c r="J647" s="1">
        <v>9</v>
      </c>
      <c r="K647" s="1">
        <v>64</v>
      </c>
      <c r="M647" s="1">
        <v>1.23</v>
      </c>
      <c r="N647" s="1">
        <v>10.8</v>
      </c>
      <c r="O647" s="7">
        <v>18824</v>
      </c>
      <c r="P647" s="4">
        <v>45015</v>
      </c>
      <c r="Q647" s="4">
        <v>45026</v>
      </c>
      <c r="R647" s="1" t="s">
        <v>80</v>
      </c>
      <c r="S647" s="1">
        <v>71</v>
      </c>
      <c r="T647" s="1" t="s">
        <v>1719</v>
      </c>
      <c r="Z647" s="1">
        <v>1</v>
      </c>
      <c r="AG647" s="1">
        <v>1</v>
      </c>
      <c r="AH647" s="1">
        <v>1</v>
      </c>
      <c r="AO647" s="7">
        <v>18824</v>
      </c>
      <c r="AP647" s="5">
        <v>6.6</v>
      </c>
      <c r="AQ647" s="5">
        <v>126</v>
      </c>
      <c r="AR647" s="5">
        <v>39.3</v>
      </c>
      <c r="AS647" s="5" t="s">
        <v>81</v>
      </c>
      <c r="AT647" s="5">
        <v>36</v>
      </c>
      <c r="AU647" s="5">
        <v>32</v>
      </c>
      <c r="AV647" s="5">
        <v>43</v>
      </c>
      <c r="AW647" s="5">
        <v>9.55</v>
      </c>
      <c r="AX647" s="5">
        <v>80</v>
      </c>
      <c r="AY647" s="5">
        <v>93.22</v>
      </c>
      <c r="AZ647" s="5">
        <v>5.22</v>
      </c>
      <c r="BA647" s="5">
        <v>2.88</v>
      </c>
      <c r="BB647" s="12" t="s">
        <v>76</v>
      </c>
      <c r="BC647" s="5">
        <v>3.89</v>
      </c>
      <c r="BD647" s="5">
        <v>126</v>
      </c>
      <c r="BE647" s="5">
        <v>0.68</v>
      </c>
      <c r="BF647" s="5">
        <v>1.81</v>
      </c>
      <c r="BG647" s="5" t="s">
        <v>76</v>
      </c>
      <c r="BH647" s="5">
        <v>85</v>
      </c>
      <c r="BI647" s="5">
        <v>85</v>
      </c>
      <c r="BJ647" s="5">
        <v>17</v>
      </c>
      <c r="BK647" s="5">
        <v>150</v>
      </c>
      <c r="BL647" s="5">
        <v>90</v>
      </c>
      <c r="BM647" s="5">
        <v>70</v>
      </c>
      <c r="BN647" s="5">
        <v>170</v>
      </c>
      <c r="BO647" s="5">
        <f t="shared" si="10"/>
        <v>24.2214532871972</v>
      </c>
      <c r="BP647" s="5" t="s">
        <v>78</v>
      </c>
      <c r="BQ647" s="5">
        <v>5.6</v>
      </c>
      <c r="BR647" s="5">
        <v>1785</v>
      </c>
    </row>
    <row r="648" s="1" customFormat="1" spans="1:70">
      <c r="A648" s="1">
        <v>3308781</v>
      </c>
      <c r="B648" s="1" t="s">
        <v>1720</v>
      </c>
      <c r="D648" s="4">
        <v>45002</v>
      </c>
      <c r="E648" s="4">
        <v>45011</v>
      </c>
      <c r="F648" s="7">
        <v>18841</v>
      </c>
      <c r="G648" s="1">
        <v>35</v>
      </c>
      <c r="H648" s="1">
        <v>9</v>
      </c>
      <c r="I648" s="1">
        <v>50</v>
      </c>
      <c r="J648" s="1">
        <v>9</v>
      </c>
      <c r="K648" s="1">
        <v>62</v>
      </c>
      <c r="L648" s="1">
        <v>33</v>
      </c>
      <c r="M648" s="1">
        <v>66</v>
      </c>
      <c r="O648" s="7">
        <v>18841</v>
      </c>
      <c r="P648" s="4">
        <v>45002</v>
      </c>
      <c r="Q648" s="4">
        <v>45011</v>
      </c>
      <c r="R648" s="1" t="s">
        <v>80</v>
      </c>
      <c r="AO648" s="7">
        <v>18841</v>
      </c>
      <c r="AP648" s="5">
        <v>37.9</v>
      </c>
      <c r="AQ648" s="5">
        <v>142</v>
      </c>
      <c r="AR648" s="5">
        <v>46.9</v>
      </c>
      <c r="AS648" s="5">
        <v>86.7</v>
      </c>
      <c r="AT648" s="5">
        <v>9</v>
      </c>
      <c r="AU648" s="5">
        <v>9</v>
      </c>
      <c r="AV648" s="5">
        <v>30.1</v>
      </c>
      <c r="AW648" s="5">
        <v>34.84</v>
      </c>
      <c r="AX648" s="5">
        <v>80</v>
      </c>
      <c r="AY648" s="5" t="s">
        <v>125</v>
      </c>
      <c r="AZ648" s="5" t="s">
        <v>75</v>
      </c>
      <c r="BA648" s="5">
        <v>4.81</v>
      </c>
      <c r="BB648" s="12" t="s">
        <v>76</v>
      </c>
      <c r="BC648" s="5">
        <v>4.8</v>
      </c>
      <c r="BD648" s="5">
        <v>142</v>
      </c>
      <c r="BE648" s="5" t="s">
        <v>76</v>
      </c>
      <c r="BF648" s="5" t="s">
        <v>76</v>
      </c>
      <c r="BG648" s="15">
        <v>37</v>
      </c>
      <c r="BH648" s="5">
        <v>113</v>
      </c>
      <c r="BI648" s="5">
        <v>113</v>
      </c>
      <c r="BJ648" s="5">
        <v>25</v>
      </c>
      <c r="BK648" s="5">
        <v>204</v>
      </c>
      <c r="BL648" s="5">
        <v>109</v>
      </c>
      <c r="BM648" s="5" t="s">
        <v>77</v>
      </c>
      <c r="BN648" s="5" t="s">
        <v>77</v>
      </c>
      <c r="BO648" s="5" t="e">
        <f t="shared" si="10"/>
        <v>#VALUE!</v>
      </c>
      <c r="BP648" s="5" t="s">
        <v>117</v>
      </c>
      <c r="BQ648" s="5" t="s">
        <v>76</v>
      </c>
      <c r="BR648" s="5">
        <v>7615</v>
      </c>
    </row>
    <row r="649" s="1" customFormat="1" spans="1:70">
      <c r="A649" s="1">
        <v>3303704</v>
      </c>
      <c r="B649" s="1" t="s">
        <v>1721</v>
      </c>
      <c r="D649" s="4">
        <v>44995</v>
      </c>
      <c r="E649" s="4">
        <v>44999</v>
      </c>
      <c r="F649" s="7">
        <v>18845</v>
      </c>
      <c r="G649" s="1">
        <v>45</v>
      </c>
      <c r="H649" s="1">
        <v>9</v>
      </c>
      <c r="I649" s="1">
        <v>55</v>
      </c>
      <c r="J649" s="1">
        <v>9</v>
      </c>
      <c r="K649" s="1">
        <v>51</v>
      </c>
      <c r="L649" s="1">
        <v>26</v>
      </c>
      <c r="N649" s="1">
        <v>9.1</v>
      </c>
      <c r="O649" s="7">
        <v>18845</v>
      </c>
      <c r="P649" s="4">
        <v>44995</v>
      </c>
      <c r="Q649" s="4">
        <v>44999</v>
      </c>
      <c r="R649" s="1" t="s">
        <v>80</v>
      </c>
      <c r="AO649" s="7">
        <v>18845</v>
      </c>
      <c r="AP649" s="5">
        <v>3.8</v>
      </c>
      <c r="AQ649" s="5">
        <v>133</v>
      </c>
      <c r="AR649" s="5">
        <v>40.9</v>
      </c>
      <c r="AS649" s="5">
        <v>2.8</v>
      </c>
      <c r="AT649" s="5">
        <v>18</v>
      </c>
      <c r="AU649" s="5">
        <v>20</v>
      </c>
      <c r="AV649" s="5">
        <v>43.8</v>
      </c>
      <c r="AW649" s="5">
        <v>3.41</v>
      </c>
      <c r="AX649" s="5">
        <v>50</v>
      </c>
      <c r="AY649" s="5" t="s">
        <v>125</v>
      </c>
      <c r="AZ649" s="5">
        <v>6.3</v>
      </c>
      <c r="BA649" s="5" t="s">
        <v>76</v>
      </c>
      <c r="BB649" s="12" t="s">
        <v>76</v>
      </c>
      <c r="BC649" s="5">
        <v>3.58</v>
      </c>
      <c r="BD649" s="5">
        <v>133</v>
      </c>
      <c r="BE649" s="5" t="s">
        <v>76</v>
      </c>
      <c r="BF649" s="5" t="s">
        <v>76</v>
      </c>
      <c r="BG649" s="15">
        <v>36.5</v>
      </c>
      <c r="BH649" s="5">
        <v>63</v>
      </c>
      <c r="BI649" s="5">
        <v>63</v>
      </c>
      <c r="BJ649" s="5">
        <v>15</v>
      </c>
      <c r="BK649" s="5">
        <v>136</v>
      </c>
      <c r="BL649" s="5">
        <v>82</v>
      </c>
      <c r="BM649" s="5">
        <v>80</v>
      </c>
      <c r="BN649" s="5">
        <v>183</v>
      </c>
      <c r="BO649" s="5">
        <f t="shared" si="10"/>
        <v>23.8884409806205</v>
      </c>
      <c r="BP649" s="5" t="s">
        <v>168</v>
      </c>
      <c r="BQ649" s="5" t="s">
        <v>76</v>
      </c>
      <c r="BR649" s="5">
        <v>960</v>
      </c>
    </row>
    <row r="650" s="1" customFormat="1" spans="1:70">
      <c r="A650" s="1">
        <v>3508684</v>
      </c>
      <c r="B650" s="1" t="s">
        <v>1722</v>
      </c>
      <c r="D650" s="4">
        <v>45278</v>
      </c>
      <c r="E650" s="4">
        <v>45288</v>
      </c>
      <c r="F650" s="7">
        <v>18847</v>
      </c>
      <c r="G650" s="1">
        <v>33</v>
      </c>
      <c r="H650" s="1">
        <v>10</v>
      </c>
      <c r="I650" s="1">
        <v>40</v>
      </c>
      <c r="J650" s="1">
        <v>10</v>
      </c>
      <c r="K650" s="1">
        <v>65</v>
      </c>
      <c r="L650" s="1">
        <v>36</v>
      </c>
      <c r="M650" s="1">
        <v>0.57</v>
      </c>
      <c r="O650" s="7">
        <v>18847</v>
      </c>
      <c r="P650" s="4">
        <v>45278</v>
      </c>
      <c r="Q650" s="4">
        <v>45288</v>
      </c>
      <c r="R650" s="1" t="s">
        <v>73</v>
      </c>
      <c r="AO650" s="7">
        <v>18847</v>
      </c>
      <c r="AP650" s="5">
        <v>9.3</v>
      </c>
      <c r="AQ650" s="5">
        <v>88</v>
      </c>
      <c r="AR650" s="5">
        <v>29</v>
      </c>
      <c r="AS650" s="5">
        <v>92.1</v>
      </c>
      <c r="AT650" s="5">
        <v>93</v>
      </c>
      <c r="AU650" s="5">
        <v>71</v>
      </c>
      <c r="AV650" s="5">
        <v>29.5</v>
      </c>
      <c r="AW650" s="5">
        <v>8.78</v>
      </c>
      <c r="AX650" s="5">
        <v>89</v>
      </c>
      <c r="AY650" s="5" t="s">
        <v>125</v>
      </c>
      <c r="AZ650" s="5" t="s">
        <v>75</v>
      </c>
      <c r="BA650" s="5" t="s">
        <v>76</v>
      </c>
      <c r="BB650" s="12" t="s">
        <v>76</v>
      </c>
      <c r="BC650" s="5">
        <v>3.84</v>
      </c>
      <c r="BD650" s="5">
        <v>88</v>
      </c>
      <c r="BE650" s="5" t="s">
        <v>76</v>
      </c>
      <c r="BF650" s="5" t="s">
        <v>76</v>
      </c>
      <c r="BG650" s="5" t="s">
        <v>76</v>
      </c>
      <c r="BH650" s="5" t="s">
        <v>76</v>
      </c>
      <c r="BI650" s="5" t="s">
        <v>76</v>
      </c>
      <c r="BJ650" s="5" t="s">
        <v>76</v>
      </c>
      <c r="BK650" s="5" t="s">
        <v>76</v>
      </c>
      <c r="BL650" s="5" t="s">
        <v>76</v>
      </c>
      <c r="BM650" s="5" t="s">
        <v>76</v>
      </c>
      <c r="BN650" s="5" t="s">
        <v>76</v>
      </c>
      <c r="BO650" s="5" t="e">
        <f t="shared" si="10"/>
        <v>#VALUE!</v>
      </c>
      <c r="BP650" s="5" t="s">
        <v>117</v>
      </c>
      <c r="BQ650" s="5" t="s">
        <v>76</v>
      </c>
      <c r="BR650" s="5">
        <v>955.45</v>
      </c>
    </row>
    <row r="651" s="1" customFormat="1" spans="1:70">
      <c r="A651" s="1">
        <v>3293782</v>
      </c>
      <c r="B651" s="1" t="s">
        <v>1723</v>
      </c>
      <c r="D651" s="4">
        <v>44982</v>
      </c>
      <c r="E651" s="4">
        <v>44993</v>
      </c>
      <c r="F651" s="7">
        <v>18852</v>
      </c>
      <c r="G651" s="1">
        <v>52</v>
      </c>
      <c r="H651" s="1">
        <v>9</v>
      </c>
      <c r="I651" s="1">
        <v>49</v>
      </c>
      <c r="J651" s="1">
        <v>9</v>
      </c>
      <c r="K651" s="1">
        <v>56</v>
      </c>
      <c r="L651" s="1">
        <v>29</v>
      </c>
      <c r="O651" s="7">
        <v>18852</v>
      </c>
      <c r="P651" s="4">
        <v>44982</v>
      </c>
      <c r="Q651" s="4">
        <v>44993</v>
      </c>
      <c r="R651" s="1" t="s">
        <v>73</v>
      </c>
      <c r="AO651" s="7">
        <v>18852</v>
      </c>
      <c r="AP651" s="5">
        <v>7.2</v>
      </c>
      <c r="AQ651" s="5">
        <v>124</v>
      </c>
      <c r="AR651" s="5">
        <v>36.8</v>
      </c>
      <c r="AS651" s="5">
        <v>7.3</v>
      </c>
      <c r="AT651" s="5">
        <v>90</v>
      </c>
      <c r="AU651" s="5">
        <v>20</v>
      </c>
      <c r="AV651" s="5">
        <v>41.1</v>
      </c>
      <c r="AW651" s="5">
        <v>6.85</v>
      </c>
      <c r="AX651" s="5">
        <v>73</v>
      </c>
      <c r="AY651" s="5">
        <v>72.46</v>
      </c>
      <c r="AZ651" s="5" t="s">
        <v>75</v>
      </c>
      <c r="BA651" s="5">
        <v>4.12</v>
      </c>
      <c r="BB651" s="12" t="s">
        <v>76</v>
      </c>
      <c r="BC651" s="5">
        <v>4.59</v>
      </c>
      <c r="BD651" s="5">
        <v>124</v>
      </c>
      <c r="BE651" s="5">
        <v>0.92</v>
      </c>
      <c r="BF651" s="5">
        <v>2.47</v>
      </c>
      <c r="BG651" s="15">
        <v>36.2</v>
      </c>
      <c r="BH651" s="5">
        <v>85</v>
      </c>
      <c r="BI651" s="5">
        <v>97</v>
      </c>
      <c r="BJ651" s="5">
        <v>19</v>
      </c>
      <c r="BK651" s="5">
        <v>120</v>
      </c>
      <c r="BL651" s="5">
        <v>79</v>
      </c>
      <c r="BM651" s="5">
        <v>59</v>
      </c>
      <c r="BN651" s="5">
        <v>160</v>
      </c>
      <c r="BO651" s="5">
        <f t="shared" si="10"/>
        <v>23.046875</v>
      </c>
      <c r="BP651" s="5" t="s">
        <v>78</v>
      </c>
      <c r="BQ651" s="5">
        <v>5.9</v>
      </c>
      <c r="BR651" s="5">
        <v>4663</v>
      </c>
    </row>
    <row r="652" s="1" customFormat="1" spans="1:70">
      <c r="A652" s="1">
        <v>3269071</v>
      </c>
      <c r="B652" s="1" t="s">
        <v>1724</v>
      </c>
      <c r="D652" s="4">
        <v>44946</v>
      </c>
      <c r="E652" s="4">
        <v>44955</v>
      </c>
      <c r="F652" s="7">
        <v>18853</v>
      </c>
      <c r="G652" s="1">
        <v>37</v>
      </c>
      <c r="H652" s="1">
        <v>8</v>
      </c>
      <c r="I652" s="1">
        <v>46</v>
      </c>
      <c r="J652" s="1">
        <v>9</v>
      </c>
      <c r="K652" s="1">
        <v>41</v>
      </c>
      <c r="L652" s="1">
        <v>21</v>
      </c>
      <c r="M652" s="1">
        <v>0.63</v>
      </c>
      <c r="N652" s="1">
        <v>9.4</v>
      </c>
      <c r="O652" s="7">
        <v>18853</v>
      </c>
      <c r="P652" s="4">
        <v>44946</v>
      </c>
      <c r="Q652" s="4">
        <v>44955</v>
      </c>
      <c r="R652" s="1" t="s">
        <v>73</v>
      </c>
      <c r="AO652" s="7">
        <v>18853</v>
      </c>
      <c r="AP652" s="5">
        <v>16</v>
      </c>
      <c r="AQ652" s="5">
        <v>138</v>
      </c>
      <c r="AR652" s="5">
        <v>45</v>
      </c>
      <c r="AS652" s="5">
        <v>98.1</v>
      </c>
      <c r="AT652" s="5">
        <v>49</v>
      </c>
      <c r="AU652" s="5">
        <v>30</v>
      </c>
      <c r="AV652" s="5">
        <v>37.1</v>
      </c>
      <c r="AW652" s="5">
        <v>9.31</v>
      </c>
      <c r="AX652" s="5">
        <v>53</v>
      </c>
      <c r="AY652" s="5" t="s">
        <v>125</v>
      </c>
      <c r="AZ652" s="5">
        <v>7.19</v>
      </c>
      <c r="BA652" s="5">
        <v>6.03</v>
      </c>
      <c r="BB652" s="12" t="s">
        <v>76</v>
      </c>
      <c r="BC652" s="5">
        <v>4.68</v>
      </c>
      <c r="BD652" s="5">
        <v>138</v>
      </c>
      <c r="BE652" s="5">
        <v>1.1</v>
      </c>
      <c r="BF652" s="5">
        <v>4.18</v>
      </c>
      <c r="BG652" s="15">
        <v>36.2</v>
      </c>
      <c r="BH652" s="5">
        <v>88</v>
      </c>
      <c r="BI652" s="5">
        <v>88</v>
      </c>
      <c r="BJ652" s="5">
        <v>18</v>
      </c>
      <c r="BK652" s="5">
        <v>99</v>
      </c>
      <c r="BL652" s="5">
        <v>57</v>
      </c>
      <c r="BM652" s="5">
        <v>50</v>
      </c>
      <c r="BN652" s="5">
        <v>155</v>
      </c>
      <c r="BO652" s="5">
        <f t="shared" si="10"/>
        <v>20.8116545265349</v>
      </c>
      <c r="BP652" s="5" t="s">
        <v>323</v>
      </c>
      <c r="BQ652" s="5">
        <v>7.8</v>
      </c>
      <c r="BR652" s="5">
        <v>4737</v>
      </c>
    </row>
    <row r="653" s="1" customFormat="1" spans="1:70">
      <c r="A653" s="1" t="s">
        <v>1725</v>
      </c>
      <c r="B653" s="1" t="s">
        <v>1726</v>
      </c>
      <c r="D653" s="4">
        <v>45253</v>
      </c>
      <c r="E653" s="4">
        <v>45263</v>
      </c>
      <c r="F653" s="7">
        <v>18880</v>
      </c>
      <c r="G653" s="1">
        <v>35</v>
      </c>
      <c r="H653" s="1">
        <v>10</v>
      </c>
      <c r="I653" s="1">
        <v>58</v>
      </c>
      <c r="J653" s="1">
        <v>10</v>
      </c>
      <c r="K653" s="1">
        <v>46</v>
      </c>
      <c r="L653" s="1">
        <v>23</v>
      </c>
      <c r="M653" s="1">
        <v>0.78</v>
      </c>
      <c r="N653" s="1">
        <v>9</v>
      </c>
      <c r="O653" s="7">
        <v>18880</v>
      </c>
      <c r="P653" s="4">
        <v>45253</v>
      </c>
      <c r="Q653" s="4">
        <v>45263</v>
      </c>
      <c r="R653" s="1" t="s">
        <v>73</v>
      </c>
      <c r="AO653" s="7">
        <v>18880</v>
      </c>
      <c r="AP653" s="5" t="s">
        <v>442</v>
      </c>
      <c r="AQ653" s="5" t="s">
        <v>232</v>
      </c>
      <c r="AR653" s="5" t="s">
        <v>1727</v>
      </c>
      <c r="AS653" s="5" t="s">
        <v>1728</v>
      </c>
      <c r="AT653" s="5" t="s">
        <v>96</v>
      </c>
      <c r="AU653" s="5" t="s">
        <v>511</v>
      </c>
      <c r="AV653" s="5" t="s">
        <v>1256</v>
      </c>
      <c r="AW653" s="5" t="s">
        <v>1359</v>
      </c>
      <c r="AX653" s="5" t="s">
        <v>228</v>
      </c>
      <c r="AY653" s="5" t="s">
        <v>1729</v>
      </c>
      <c r="AZ653" s="5" t="s">
        <v>946</v>
      </c>
      <c r="BA653" s="5" t="s">
        <v>76</v>
      </c>
      <c r="BB653" s="12" t="s">
        <v>76</v>
      </c>
      <c r="BC653" s="5" t="s">
        <v>1562</v>
      </c>
      <c r="BD653" s="5" t="s">
        <v>232</v>
      </c>
      <c r="BE653" s="5" t="s">
        <v>76</v>
      </c>
      <c r="BF653" s="5" t="s">
        <v>76</v>
      </c>
      <c r="BG653" s="15">
        <v>36</v>
      </c>
      <c r="BH653" s="5" t="s">
        <v>407</v>
      </c>
      <c r="BI653" s="5" t="s">
        <v>407</v>
      </c>
      <c r="BJ653" s="5" t="s">
        <v>182</v>
      </c>
      <c r="BK653" s="5" t="s">
        <v>500</v>
      </c>
      <c r="BL653" s="5" t="s">
        <v>482</v>
      </c>
      <c r="BM653" s="5" t="s">
        <v>274</v>
      </c>
      <c r="BN653" s="5" t="s">
        <v>274</v>
      </c>
      <c r="BO653" s="5" t="e">
        <f t="shared" si="10"/>
        <v>#VALUE!</v>
      </c>
      <c r="BP653" s="5" t="s">
        <v>234</v>
      </c>
      <c r="BQ653" s="5" t="s">
        <v>1029</v>
      </c>
      <c r="BR653" s="5">
        <v>2274</v>
      </c>
    </row>
    <row r="654" s="1" customFormat="1" spans="1:70">
      <c r="A654" s="1">
        <v>3323021</v>
      </c>
      <c r="B654" s="1" t="s">
        <v>1730</v>
      </c>
      <c r="D654" s="4">
        <v>45022</v>
      </c>
      <c r="E654" s="4">
        <v>45034</v>
      </c>
      <c r="F654" s="7">
        <v>18883</v>
      </c>
      <c r="G654" s="1">
        <v>41</v>
      </c>
      <c r="H654" s="1">
        <v>10</v>
      </c>
      <c r="I654" s="1">
        <v>63</v>
      </c>
      <c r="J654" s="1">
        <v>10</v>
      </c>
      <c r="K654" s="1">
        <v>35</v>
      </c>
      <c r="L654" s="1">
        <v>17</v>
      </c>
      <c r="M654" s="1">
        <v>0.46</v>
      </c>
      <c r="N654" s="1">
        <v>5.3</v>
      </c>
      <c r="O654" s="7">
        <v>18883</v>
      </c>
      <c r="P654" s="4">
        <v>45022</v>
      </c>
      <c r="Q654" s="4">
        <v>45034</v>
      </c>
      <c r="R654" s="1" t="s">
        <v>73</v>
      </c>
      <c r="AO654" s="7">
        <v>18883</v>
      </c>
      <c r="AP654" s="5">
        <v>6.6</v>
      </c>
      <c r="AQ654" s="5">
        <v>87</v>
      </c>
      <c r="AR654" s="5">
        <v>28.6</v>
      </c>
      <c r="AS654" s="5">
        <v>4.1</v>
      </c>
      <c r="AT654" s="5">
        <v>8</v>
      </c>
      <c r="AU654" s="5">
        <v>15</v>
      </c>
      <c r="AV654" s="5">
        <v>33.6</v>
      </c>
      <c r="AW654" s="5">
        <v>4.6</v>
      </c>
      <c r="AX654" s="5">
        <v>98</v>
      </c>
      <c r="AY654" s="5">
        <v>51.58</v>
      </c>
      <c r="AZ654" s="5" t="s">
        <v>75</v>
      </c>
      <c r="BA654" s="5">
        <v>2.62</v>
      </c>
      <c r="BB654" s="12" t="s">
        <v>76</v>
      </c>
      <c r="BC654" s="5">
        <v>4.49</v>
      </c>
      <c r="BD654" s="5">
        <v>87</v>
      </c>
      <c r="BE654" s="5">
        <v>0.65</v>
      </c>
      <c r="BF654" s="5">
        <v>1.09</v>
      </c>
      <c r="BG654" s="15">
        <v>36.5</v>
      </c>
      <c r="BH654" s="5">
        <v>78</v>
      </c>
      <c r="BI654" s="5">
        <v>78</v>
      </c>
      <c r="BJ654" s="5">
        <v>17</v>
      </c>
      <c r="BK654" s="5">
        <v>125</v>
      </c>
      <c r="BL654" s="5">
        <v>80</v>
      </c>
      <c r="BM654" s="5">
        <v>80</v>
      </c>
      <c r="BN654" s="5">
        <v>165</v>
      </c>
      <c r="BO654" s="5">
        <f t="shared" si="10"/>
        <v>29.3847566574839</v>
      </c>
      <c r="BP654" s="5" t="s">
        <v>121</v>
      </c>
      <c r="BQ654" s="5">
        <v>6.7</v>
      </c>
      <c r="BR654" s="5">
        <v>8366</v>
      </c>
    </row>
    <row r="655" s="1" customFormat="1" spans="1:70">
      <c r="A655" s="1">
        <v>3502142</v>
      </c>
      <c r="B655" s="1" t="s">
        <v>1731</v>
      </c>
      <c r="D655" s="4">
        <v>45270</v>
      </c>
      <c r="E655" s="4">
        <v>45283</v>
      </c>
      <c r="F655" s="7">
        <v>18884</v>
      </c>
      <c r="G655" s="1">
        <v>34</v>
      </c>
      <c r="H655" s="1">
        <v>9</v>
      </c>
      <c r="I655" s="1">
        <v>40</v>
      </c>
      <c r="J655" s="1">
        <v>9</v>
      </c>
      <c r="K655" s="1">
        <v>56</v>
      </c>
      <c r="L655" s="1">
        <v>28</v>
      </c>
      <c r="M655" s="1">
        <v>0.74</v>
      </c>
      <c r="N655" s="1">
        <v>6.2</v>
      </c>
      <c r="O655" s="7">
        <v>18884</v>
      </c>
      <c r="P655" s="4">
        <v>45270</v>
      </c>
      <c r="Q655" s="4">
        <v>45283</v>
      </c>
      <c r="R655" s="1" t="s">
        <v>80</v>
      </c>
      <c r="AO655" s="7">
        <v>18884</v>
      </c>
      <c r="AP655" s="5">
        <v>9.8</v>
      </c>
      <c r="AQ655" s="5">
        <v>96</v>
      </c>
      <c r="AR655" s="5">
        <v>56</v>
      </c>
      <c r="AS655" s="5">
        <v>40.5</v>
      </c>
      <c r="AT655" s="5">
        <v>92</v>
      </c>
      <c r="AU655" s="5">
        <v>89</v>
      </c>
      <c r="AV655" s="5">
        <v>40.1</v>
      </c>
      <c r="AW655" s="5">
        <v>9.98</v>
      </c>
      <c r="AX655" s="5">
        <v>94</v>
      </c>
      <c r="AY655" s="5" t="s">
        <v>125</v>
      </c>
      <c r="AZ655" s="5" t="s">
        <v>75</v>
      </c>
      <c r="BA655" s="5" t="s">
        <v>76</v>
      </c>
      <c r="BB655" s="12" t="s">
        <v>76</v>
      </c>
      <c r="BC655" s="5">
        <v>4.94</v>
      </c>
      <c r="BD655" s="5">
        <v>96</v>
      </c>
      <c r="BE655" s="5" t="s">
        <v>76</v>
      </c>
      <c r="BF655" s="5" t="s">
        <v>76</v>
      </c>
      <c r="BG655" s="15">
        <v>36.3</v>
      </c>
      <c r="BH655" s="5">
        <v>138</v>
      </c>
      <c r="BI655" s="5">
        <v>138</v>
      </c>
      <c r="BJ655" s="5">
        <v>22</v>
      </c>
      <c r="BK655" s="5">
        <v>240</v>
      </c>
      <c r="BL655" s="5">
        <v>136</v>
      </c>
      <c r="BM655" s="5">
        <v>50</v>
      </c>
      <c r="BN655" s="5">
        <v>168</v>
      </c>
      <c r="BO655" s="5">
        <f t="shared" si="10"/>
        <v>17.7154195011338</v>
      </c>
      <c r="BP655" s="5" t="s">
        <v>85</v>
      </c>
      <c r="BQ655" s="5" t="s">
        <v>76</v>
      </c>
      <c r="BR655" s="5">
        <v>957</v>
      </c>
    </row>
    <row r="656" s="1" customFormat="1" spans="1:70">
      <c r="A656" s="1">
        <v>3259973</v>
      </c>
      <c r="B656" s="1" t="s">
        <v>1732</v>
      </c>
      <c r="D656" s="4">
        <v>44928</v>
      </c>
      <c r="E656" s="4">
        <v>44934</v>
      </c>
      <c r="F656" s="7">
        <v>18892</v>
      </c>
      <c r="G656" s="1">
        <v>37</v>
      </c>
      <c r="H656" s="1">
        <v>10</v>
      </c>
      <c r="I656" s="1">
        <v>51</v>
      </c>
      <c r="J656" s="1">
        <v>10</v>
      </c>
      <c r="K656" s="1">
        <v>60</v>
      </c>
      <c r="L656" s="1">
        <v>32</v>
      </c>
      <c r="M656" s="1">
        <v>0.6</v>
      </c>
      <c r="O656" s="7">
        <v>18892</v>
      </c>
      <c r="P656" s="4">
        <v>44928</v>
      </c>
      <c r="Q656" s="4">
        <v>44934</v>
      </c>
      <c r="R656" s="1" t="s">
        <v>80</v>
      </c>
      <c r="AO656" s="7">
        <v>18892</v>
      </c>
      <c r="AP656" s="5">
        <v>22.9</v>
      </c>
      <c r="AQ656" s="5">
        <v>143</v>
      </c>
      <c r="AR656" s="5">
        <v>56.9</v>
      </c>
      <c r="AS656" s="5">
        <v>89.8</v>
      </c>
      <c r="AT656" s="5">
        <v>97</v>
      </c>
      <c r="AU656" s="5">
        <v>75</v>
      </c>
      <c r="AV656" s="5">
        <v>30.8</v>
      </c>
      <c r="AW656" s="5">
        <v>72.81</v>
      </c>
      <c r="AX656" s="5">
        <v>641</v>
      </c>
      <c r="AY656" s="5">
        <v>33.19</v>
      </c>
      <c r="AZ656" s="5">
        <v>9.7</v>
      </c>
      <c r="BA656" s="5">
        <v>2.57</v>
      </c>
      <c r="BB656" s="12" t="s">
        <v>76</v>
      </c>
      <c r="BC656" s="5">
        <v>4.26</v>
      </c>
      <c r="BD656" s="5">
        <v>143</v>
      </c>
      <c r="BE656" s="5" t="s">
        <v>76</v>
      </c>
      <c r="BF656" s="5" t="s">
        <v>76</v>
      </c>
      <c r="BG656" s="15">
        <v>37</v>
      </c>
      <c r="BH656" s="5">
        <v>78</v>
      </c>
      <c r="BI656" s="5">
        <v>78</v>
      </c>
      <c r="BJ656" s="5">
        <v>33</v>
      </c>
      <c r="BK656" s="5">
        <v>175</v>
      </c>
      <c r="BL656" s="5">
        <v>94</v>
      </c>
      <c r="BM656" s="5" t="s">
        <v>1733</v>
      </c>
      <c r="BN656" s="5" t="s">
        <v>77</v>
      </c>
      <c r="BO656" s="5" t="e">
        <f t="shared" si="10"/>
        <v>#VALUE!</v>
      </c>
      <c r="BP656" s="5" t="s">
        <v>117</v>
      </c>
      <c r="BQ656" s="5" t="s">
        <v>76</v>
      </c>
      <c r="BR656" s="5">
        <v>1866</v>
      </c>
    </row>
    <row r="657" s="1" customFormat="1" spans="1:70">
      <c r="A657" s="1">
        <v>3509617</v>
      </c>
      <c r="B657" s="1" t="s">
        <v>1734</v>
      </c>
      <c r="D657" s="4">
        <v>45279</v>
      </c>
      <c r="E657" s="4">
        <v>45285</v>
      </c>
      <c r="F657" s="7">
        <v>18892</v>
      </c>
      <c r="G657" s="1">
        <v>41</v>
      </c>
      <c r="H657" s="1">
        <v>9</v>
      </c>
      <c r="I657" s="1">
        <v>52</v>
      </c>
      <c r="J657" s="1">
        <v>9</v>
      </c>
      <c r="K657" s="1">
        <v>65</v>
      </c>
      <c r="L657" s="1">
        <v>35</v>
      </c>
      <c r="M657" s="1">
        <v>0.79</v>
      </c>
      <c r="N657" s="1">
        <v>12.9</v>
      </c>
      <c r="O657" s="7">
        <v>18892</v>
      </c>
      <c r="P657" s="4">
        <v>45279</v>
      </c>
      <c r="Q657" s="4">
        <v>45285</v>
      </c>
      <c r="R657" s="1" t="s">
        <v>80</v>
      </c>
      <c r="S657" s="1">
        <v>72</v>
      </c>
      <c r="T657" s="1" t="s">
        <v>1735</v>
      </c>
      <c r="V657" s="1">
        <v>1</v>
      </c>
      <c r="W657" s="1">
        <v>1</v>
      </c>
      <c r="Y657" s="1">
        <v>1</v>
      </c>
      <c r="Z657" s="1">
        <v>1</v>
      </c>
      <c r="AG657" s="1">
        <v>1</v>
      </c>
      <c r="AH657" s="1">
        <v>1</v>
      </c>
      <c r="AO657" s="7">
        <v>18892</v>
      </c>
      <c r="AP657" s="5">
        <v>9</v>
      </c>
      <c r="AQ657" s="5">
        <v>155</v>
      </c>
      <c r="AR657" s="5">
        <v>46.5</v>
      </c>
      <c r="AS657" s="5">
        <v>1.8</v>
      </c>
      <c r="AT657" s="5">
        <v>16</v>
      </c>
      <c r="AU657" s="5">
        <v>9</v>
      </c>
      <c r="AV657" s="5">
        <v>43</v>
      </c>
      <c r="AW657" s="5">
        <v>8.6</v>
      </c>
      <c r="AX657" s="5">
        <v>94</v>
      </c>
      <c r="AY657" s="5">
        <v>72.74</v>
      </c>
      <c r="AZ657" s="5">
        <v>7.02</v>
      </c>
      <c r="BA657" s="5">
        <v>5.59</v>
      </c>
      <c r="BB657" s="12" t="s">
        <v>76</v>
      </c>
      <c r="BC657" s="5">
        <v>4.58</v>
      </c>
      <c r="BD657" s="5">
        <v>155</v>
      </c>
      <c r="BE657" s="5">
        <v>0.79</v>
      </c>
      <c r="BF657" s="5">
        <v>3</v>
      </c>
      <c r="BG657" s="15">
        <v>36.5</v>
      </c>
      <c r="BH657" s="5">
        <v>101</v>
      </c>
      <c r="BI657" s="5">
        <v>178</v>
      </c>
      <c r="BJ657" s="5">
        <v>20</v>
      </c>
      <c r="BK657" s="5">
        <v>127</v>
      </c>
      <c r="BL657" s="5">
        <v>98</v>
      </c>
      <c r="BM657" s="5">
        <v>92.5</v>
      </c>
      <c r="BN657" s="5">
        <v>169</v>
      </c>
      <c r="BO657" s="5">
        <f t="shared" si="10"/>
        <v>32.3868211897343</v>
      </c>
      <c r="BP657" s="5" t="s">
        <v>156</v>
      </c>
      <c r="BQ657" s="5">
        <v>6.9</v>
      </c>
      <c r="BR657" s="5">
        <v>1505</v>
      </c>
    </row>
    <row r="658" s="1" customFormat="1" spans="1:70">
      <c r="A658" s="1">
        <v>3276562</v>
      </c>
      <c r="B658" s="1" t="s">
        <v>1736</v>
      </c>
      <c r="D658" s="4">
        <v>44965</v>
      </c>
      <c r="E658" s="4">
        <v>44978</v>
      </c>
      <c r="F658" s="7">
        <v>18901</v>
      </c>
      <c r="G658" s="1">
        <v>49</v>
      </c>
      <c r="H658" s="1">
        <v>10</v>
      </c>
      <c r="I658" s="1">
        <v>52</v>
      </c>
      <c r="J658" s="1">
        <v>9</v>
      </c>
      <c r="K658" s="1">
        <v>48</v>
      </c>
      <c r="L658" s="1">
        <v>24</v>
      </c>
      <c r="N658" s="1">
        <v>15</v>
      </c>
      <c r="O658" s="7">
        <v>18901</v>
      </c>
      <c r="P658" s="4">
        <v>44965</v>
      </c>
      <c r="Q658" s="4">
        <v>44978</v>
      </c>
      <c r="R658" s="1" t="s">
        <v>80</v>
      </c>
      <c r="AO658" s="7">
        <v>18901</v>
      </c>
      <c r="AP658" s="5">
        <v>27.9</v>
      </c>
      <c r="AQ658" s="5">
        <v>168</v>
      </c>
      <c r="AR658" s="5">
        <v>49.6</v>
      </c>
      <c r="AS658" s="5" t="s">
        <v>81</v>
      </c>
      <c r="AT658" s="5">
        <v>78</v>
      </c>
      <c r="AU658" s="5">
        <v>26</v>
      </c>
      <c r="AV658" s="5">
        <v>44.5</v>
      </c>
      <c r="AW658" s="5">
        <v>7.01</v>
      </c>
      <c r="AX658" s="5">
        <v>67</v>
      </c>
      <c r="AY658" s="5">
        <v>107.82</v>
      </c>
      <c r="AZ658" s="5" t="s">
        <v>871</v>
      </c>
      <c r="BA658" s="5" t="s">
        <v>76</v>
      </c>
      <c r="BB658" s="12" t="s">
        <v>76</v>
      </c>
      <c r="BC658" s="5">
        <v>4.17</v>
      </c>
      <c r="BD658" s="5">
        <v>168</v>
      </c>
      <c r="BE658" s="5" t="s">
        <v>76</v>
      </c>
      <c r="BF658" s="5" t="s">
        <v>76</v>
      </c>
      <c r="BG658" s="15">
        <v>36.5</v>
      </c>
      <c r="BH658" s="5">
        <v>122</v>
      </c>
      <c r="BI658" s="5">
        <v>137</v>
      </c>
      <c r="BJ658" s="5">
        <v>16</v>
      </c>
      <c r="BK658" s="5">
        <v>138</v>
      </c>
      <c r="BL658" s="5">
        <v>97</v>
      </c>
      <c r="BM658" s="5">
        <v>80</v>
      </c>
      <c r="BN658" s="5">
        <v>175</v>
      </c>
      <c r="BO658" s="5">
        <f t="shared" si="10"/>
        <v>26.1224489795918</v>
      </c>
      <c r="BP658" s="5" t="s">
        <v>121</v>
      </c>
      <c r="BQ658" s="5">
        <v>6.5</v>
      </c>
      <c r="BR658" s="5">
        <v>8292</v>
      </c>
    </row>
    <row r="659" s="1" customFormat="1" spans="1:70">
      <c r="A659" s="1">
        <v>3312442</v>
      </c>
      <c r="B659" s="1" t="s">
        <v>1736</v>
      </c>
      <c r="C659" s="1" t="s">
        <v>273</v>
      </c>
      <c r="D659" s="4">
        <v>45007</v>
      </c>
      <c r="E659" s="4">
        <v>45014</v>
      </c>
      <c r="F659" s="7">
        <v>18901</v>
      </c>
      <c r="G659" s="1">
        <v>48</v>
      </c>
      <c r="H659" s="1">
        <v>10</v>
      </c>
      <c r="I659" s="1">
        <v>53</v>
      </c>
      <c r="J659" s="1">
        <v>9</v>
      </c>
      <c r="K659" s="1">
        <v>48</v>
      </c>
      <c r="L659" s="1">
        <v>24</v>
      </c>
      <c r="M659" s="1">
        <v>81.67</v>
      </c>
      <c r="N659" s="1">
        <v>12.7</v>
      </c>
      <c r="O659" s="7">
        <v>18901</v>
      </c>
      <c r="P659" s="4">
        <v>45007</v>
      </c>
      <c r="Q659" s="4">
        <v>45014</v>
      </c>
      <c r="R659" s="1" t="s">
        <v>80</v>
      </c>
      <c r="AO659" s="7">
        <v>18901</v>
      </c>
      <c r="AP659" s="5">
        <v>5.3</v>
      </c>
      <c r="AQ659" s="5">
        <v>153</v>
      </c>
      <c r="AR659" s="5">
        <v>45.7</v>
      </c>
      <c r="AS659" s="5" t="s">
        <v>81</v>
      </c>
      <c r="AT659" s="5">
        <v>13</v>
      </c>
      <c r="AU659" s="5">
        <v>12</v>
      </c>
      <c r="AV659" s="5">
        <v>41.4</v>
      </c>
      <c r="AW659" s="5">
        <v>6.96</v>
      </c>
      <c r="AX659" s="5">
        <v>72</v>
      </c>
      <c r="AY659" s="5">
        <v>99.22</v>
      </c>
      <c r="AZ659" s="5" t="s">
        <v>375</v>
      </c>
      <c r="BA659" s="5">
        <v>2.53</v>
      </c>
      <c r="BB659" s="12" t="s">
        <v>76</v>
      </c>
      <c r="BC659" s="5">
        <v>4.3</v>
      </c>
      <c r="BD659" s="5">
        <v>153</v>
      </c>
      <c r="BE659" s="5">
        <v>0.78</v>
      </c>
      <c r="BF659" s="5">
        <v>1.14</v>
      </c>
      <c r="BG659" s="15">
        <v>36.5</v>
      </c>
      <c r="BH659" s="5">
        <v>89</v>
      </c>
      <c r="BI659" s="5">
        <v>89</v>
      </c>
      <c r="BJ659" s="5">
        <v>17</v>
      </c>
      <c r="BK659" s="5">
        <v>102</v>
      </c>
      <c r="BL659" s="5">
        <v>65</v>
      </c>
      <c r="BM659" s="5">
        <v>72.5</v>
      </c>
      <c r="BN659" s="5">
        <v>175</v>
      </c>
      <c r="BO659" s="5">
        <f t="shared" si="10"/>
        <v>23.6734693877551</v>
      </c>
      <c r="BP659" s="5" t="s">
        <v>121</v>
      </c>
      <c r="BQ659" s="5">
        <v>8.4</v>
      </c>
      <c r="BR659" s="5">
        <v>1196</v>
      </c>
    </row>
    <row r="660" s="1" customFormat="1" spans="1:70">
      <c r="A660" s="1">
        <v>3241783</v>
      </c>
      <c r="B660" s="1" t="s">
        <v>1737</v>
      </c>
      <c r="D660" s="4">
        <v>44886</v>
      </c>
      <c r="E660" s="4">
        <v>44897</v>
      </c>
      <c r="F660" s="7">
        <v>18905</v>
      </c>
      <c r="G660" s="1">
        <v>37</v>
      </c>
      <c r="H660" s="1">
        <v>9</v>
      </c>
      <c r="I660" s="1">
        <v>50</v>
      </c>
      <c r="J660" s="1">
        <v>9</v>
      </c>
      <c r="K660" s="1">
        <v>61</v>
      </c>
      <c r="L660" s="1">
        <v>33</v>
      </c>
      <c r="M660" s="1">
        <v>1.01</v>
      </c>
      <c r="N660" s="10">
        <v>8</v>
      </c>
      <c r="O660" s="7">
        <v>18905</v>
      </c>
      <c r="P660" s="4">
        <v>44886</v>
      </c>
      <c r="Q660" s="4">
        <v>44897</v>
      </c>
      <c r="R660" s="1" t="s">
        <v>80</v>
      </c>
      <c r="AO660" s="7">
        <v>18905</v>
      </c>
      <c r="AP660" s="5">
        <v>7.6</v>
      </c>
      <c r="AQ660" s="5">
        <v>99</v>
      </c>
      <c r="AR660" s="5">
        <v>31.5</v>
      </c>
      <c r="AS660" s="5">
        <v>36</v>
      </c>
      <c r="AT660" s="5">
        <v>69</v>
      </c>
      <c r="AU660" s="5">
        <v>85</v>
      </c>
      <c r="AV660" s="5">
        <v>30.3</v>
      </c>
      <c r="AW660" s="5">
        <v>7.81</v>
      </c>
      <c r="AX660" s="5">
        <v>68</v>
      </c>
      <c r="AY660" s="5">
        <v>65.64</v>
      </c>
      <c r="AZ660" s="5" t="s">
        <v>75</v>
      </c>
      <c r="BA660" s="5" t="s">
        <v>76</v>
      </c>
      <c r="BB660" s="12" t="s">
        <v>76</v>
      </c>
      <c r="BC660" s="5">
        <v>3.28</v>
      </c>
      <c r="BD660" s="5">
        <v>99</v>
      </c>
      <c r="BE660" s="5" t="s">
        <v>76</v>
      </c>
      <c r="BF660" s="5" t="s">
        <v>76</v>
      </c>
      <c r="BG660" s="15">
        <v>36.2</v>
      </c>
      <c r="BH660" s="5">
        <v>84</v>
      </c>
      <c r="BI660" s="5" t="s">
        <v>76</v>
      </c>
      <c r="BJ660" s="5">
        <v>22</v>
      </c>
      <c r="BK660" s="5">
        <v>130</v>
      </c>
      <c r="BL660" s="5">
        <v>80</v>
      </c>
      <c r="BM660" s="5">
        <v>45</v>
      </c>
      <c r="BN660" s="5">
        <v>165</v>
      </c>
      <c r="BO660" s="5">
        <f t="shared" si="10"/>
        <v>16.5289256198347</v>
      </c>
      <c r="BP660" s="5" t="s">
        <v>168</v>
      </c>
      <c r="BQ660" s="5" t="s">
        <v>76</v>
      </c>
      <c r="BR660" s="5">
        <v>7005</v>
      </c>
    </row>
    <row r="661" s="1" customFormat="1" spans="1:70">
      <c r="A661" s="1">
        <v>3258559</v>
      </c>
      <c r="B661" s="1" t="s">
        <v>1738</v>
      </c>
      <c r="D661" s="4">
        <v>44925</v>
      </c>
      <c r="E661" s="4">
        <v>44935</v>
      </c>
      <c r="F661" s="7">
        <v>18914</v>
      </c>
      <c r="G661" s="1">
        <v>32</v>
      </c>
      <c r="H661" s="1">
        <v>10</v>
      </c>
      <c r="I661" s="1">
        <v>44</v>
      </c>
      <c r="J661" s="1">
        <v>10</v>
      </c>
      <c r="K661" s="1">
        <v>67</v>
      </c>
      <c r="L661" s="1">
        <v>37</v>
      </c>
      <c r="M661" s="1">
        <v>0.71</v>
      </c>
      <c r="N661" s="1">
        <v>10.6</v>
      </c>
      <c r="O661" s="7">
        <v>18914</v>
      </c>
      <c r="P661" s="4">
        <v>44925</v>
      </c>
      <c r="Q661" s="4">
        <v>44935</v>
      </c>
      <c r="R661" s="1" t="s">
        <v>80</v>
      </c>
      <c r="AO661" s="7">
        <v>18914</v>
      </c>
      <c r="AP661" s="5">
        <v>12.8</v>
      </c>
      <c r="AQ661" s="5">
        <v>131</v>
      </c>
      <c r="AR661" s="5">
        <v>39</v>
      </c>
      <c r="AS661" s="5">
        <v>34.2</v>
      </c>
      <c r="AT661" s="5">
        <v>71</v>
      </c>
      <c r="AU661" s="5">
        <v>93</v>
      </c>
      <c r="AV661" s="5">
        <v>35</v>
      </c>
      <c r="AW661" s="5">
        <v>5.1</v>
      </c>
      <c r="AX661" s="5">
        <v>96</v>
      </c>
      <c r="AY661" s="5" t="s">
        <v>76</v>
      </c>
      <c r="AZ661" s="5" t="s">
        <v>76</v>
      </c>
      <c r="BA661" s="5" t="s">
        <v>76</v>
      </c>
      <c r="BB661" s="12" t="s">
        <v>76</v>
      </c>
      <c r="BC661" s="5">
        <v>4.39</v>
      </c>
      <c r="BD661" s="5">
        <v>131</v>
      </c>
      <c r="BE661" s="5" t="s">
        <v>76</v>
      </c>
      <c r="BF661" s="5" t="s">
        <v>76</v>
      </c>
      <c r="BG661" s="15">
        <v>36.5</v>
      </c>
      <c r="BH661" s="5" t="s">
        <v>76</v>
      </c>
      <c r="BI661" s="5">
        <v>78</v>
      </c>
      <c r="BJ661" s="5" t="s">
        <v>76</v>
      </c>
      <c r="BK661" s="5">
        <v>142</v>
      </c>
      <c r="BL661" s="5">
        <v>87</v>
      </c>
      <c r="BM661" s="5">
        <v>55</v>
      </c>
      <c r="BN661" s="5">
        <v>168</v>
      </c>
      <c r="BO661" s="5">
        <f t="shared" si="10"/>
        <v>19.4869614512472</v>
      </c>
      <c r="BP661" s="5" t="s">
        <v>113</v>
      </c>
      <c r="BQ661" s="5" t="s">
        <v>76</v>
      </c>
      <c r="BR661" s="5">
        <v>3022</v>
      </c>
    </row>
    <row r="662" s="1" customFormat="1" spans="1:70">
      <c r="A662" s="1">
        <v>3257300</v>
      </c>
      <c r="B662" s="1" t="s">
        <v>1739</v>
      </c>
      <c r="D662" s="4">
        <v>44923</v>
      </c>
      <c r="E662" s="4">
        <v>44930</v>
      </c>
      <c r="F662" s="7">
        <v>18917</v>
      </c>
      <c r="G662" s="1">
        <v>40</v>
      </c>
      <c r="H662" s="1">
        <v>9</v>
      </c>
      <c r="I662" s="1">
        <v>46</v>
      </c>
      <c r="J662" s="1">
        <v>9</v>
      </c>
      <c r="K662" s="1">
        <v>57</v>
      </c>
      <c r="L662" s="1">
        <v>30</v>
      </c>
      <c r="N662" s="1">
        <v>5.8</v>
      </c>
      <c r="O662" s="7">
        <v>18917</v>
      </c>
      <c r="P662" s="4">
        <v>44923</v>
      </c>
      <c r="Q662" s="4">
        <v>44930</v>
      </c>
      <c r="R662" s="1" t="s">
        <v>80</v>
      </c>
      <c r="AO662" s="7">
        <v>18917</v>
      </c>
      <c r="AP662" s="5">
        <v>7.3</v>
      </c>
      <c r="AQ662" s="5">
        <v>152</v>
      </c>
      <c r="AR662" s="5">
        <v>48</v>
      </c>
      <c r="AS662" s="5">
        <v>61.9</v>
      </c>
      <c r="AT662" s="5">
        <v>17</v>
      </c>
      <c r="AU662" s="5">
        <v>5</v>
      </c>
      <c r="AV662" s="5">
        <v>33.8</v>
      </c>
      <c r="AW662" s="5">
        <v>7.51</v>
      </c>
      <c r="AX662" s="5">
        <v>140</v>
      </c>
      <c r="AY662" s="5">
        <v>51.54</v>
      </c>
      <c r="AZ662" s="5" t="s">
        <v>75</v>
      </c>
      <c r="BA662" s="5">
        <v>2.85</v>
      </c>
      <c r="BB662" s="12" t="s">
        <v>76</v>
      </c>
      <c r="BC662" s="5">
        <v>4.82</v>
      </c>
      <c r="BD662" s="5">
        <v>152</v>
      </c>
      <c r="BE662" s="5">
        <v>0.59</v>
      </c>
      <c r="BF662" s="5">
        <v>1.73</v>
      </c>
      <c r="BG662" s="15">
        <v>36.5</v>
      </c>
      <c r="BH662" s="5">
        <v>65</v>
      </c>
      <c r="BI662" s="5">
        <v>73</v>
      </c>
      <c r="BJ662" s="5">
        <v>21</v>
      </c>
      <c r="BK662" s="5">
        <v>117</v>
      </c>
      <c r="BL662" s="5">
        <v>85</v>
      </c>
      <c r="BM662" s="5">
        <v>55</v>
      </c>
      <c r="BN662" s="5">
        <v>170</v>
      </c>
      <c r="BO662" s="5">
        <f t="shared" si="10"/>
        <v>19.0311418685121</v>
      </c>
      <c r="BP662" s="5" t="s">
        <v>121</v>
      </c>
      <c r="BQ662" s="5">
        <v>5.5</v>
      </c>
      <c r="BR662" s="5">
        <v>1361</v>
      </c>
    </row>
    <row r="663" s="1" customFormat="1" spans="1:70">
      <c r="A663" s="1">
        <v>3492243</v>
      </c>
      <c r="B663" s="1" t="s">
        <v>1740</v>
      </c>
      <c r="D663" s="4">
        <v>45259</v>
      </c>
      <c r="E663" s="4">
        <v>45265</v>
      </c>
      <c r="F663" s="7">
        <v>18929</v>
      </c>
      <c r="G663" s="1">
        <v>43</v>
      </c>
      <c r="H663" s="1">
        <v>8</v>
      </c>
      <c r="I663" s="1">
        <v>48</v>
      </c>
      <c r="J663" s="1">
        <v>8</v>
      </c>
      <c r="K663" s="1">
        <v>64</v>
      </c>
      <c r="L663" s="1">
        <v>35</v>
      </c>
      <c r="N663" s="1">
        <v>11.5</v>
      </c>
      <c r="O663" s="7">
        <v>18929</v>
      </c>
      <c r="P663" s="4">
        <v>45259</v>
      </c>
      <c r="Q663" s="4">
        <v>45265</v>
      </c>
      <c r="R663" s="1" t="s">
        <v>80</v>
      </c>
      <c r="AO663" s="7">
        <v>18929</v>
      </c>
      <c r="AP663" s="5">
        <v>5.3</v>
      </c>
      <c r="AQ663" s="5">
        <v>145</v>
      </c>
      <c r="AR663" s="5">
        <v>43</v>
      </c>
      <c r="AS663" s="5">
        <v>13</v>
      </c>
      <c r="AT663" s="5">
        <v>14</v>
      </c>
      <c r="AU663" s="5">
        <v>18</v>
      </c>
      <c r="AV663" s="5">
        <v>36.8</v>
      </c>
      <c r="AW663" s="5">
        <v>5.6</v>
      </c>
      <c r="AX663" s="5">
        <v>61</v>
      </c>
      <c r="AY663" s="5">
        <v>119.8</v>
      </c>
      <c r="AZ663" s="5">
        <v>9.84</v>
      </c>
      <c r="BA663" s="5">
        <v>4.62</v>
      </c>
      <c r="BB663" s="12" t="s">
        <v>76</v>
      </c>
      <c r="BC663" s="5">
        <v>4.17</v>
      </c>
      <c r="BD663" s="5">
        <v>145</v>
      </c>
      <c r="BE663" s="5">
        <v>0.76</v>
      </c>
      <c r="BF663" s="5">
        <v>2.61</v>
      </c>
      <c r="BG663" s="15">
        <v>36.6</v>
      </c>
      <c r="BH663" s="5">
        <v>62</v>
      </c>
      <c r="BI663" s="5">
        <v>82</v>
      </c>
      <c r="BJ663" s="5">
        <v>20</v>
      </c>
      <c r="BK663" s="5">
        <v>151</v>
      </c>
      <c r="BL663" s="5">
        <v>84</v>
      </c>
      <c r="BM663" s="5">
        <v>62</v>
      </c>
      <c r="BN663" s="5">
        <v>172</v>
      </c>
      <c r="BO663" s="5">
        <f t="shared" si="10"/>
        <v>20.9572742022715</v>
      </c>
      <c r="BP663" s="5" t="s">
        <v>156</v>
      </c>
      <c r="BQ663" s="5">
        <v>10.9</v>
      </c>
      <c r="BR663" s="5">
        <v>1258</v>
      </c>
    </row>
    <row r="664" s="1" customFormat="1" spans="1:70">
      <c r="A664" s="1" t="s">
        <v>1741</v>
      </c>
      <c r="B664" s="1" t="s">
        <v>1742</v>
      </c>
      <c r="D664" s="4">
        <v>45022</v>
      </c>
      <c r="E664" s="4">
        <v>45045</v>
      </c>
      <c r="F664" s="7">
        <v>18933</v>
      </c>
      <c r="G664" s="1">
        <v>29</v>
      </c>
      <c r="H664" s="1">
        <v>9</v>
      </c>
      <c r="I664" s="1">
        <v>45</v>
      </c>
      <c r="J664" s="1">
        <v>9</v>
      </c>
      <c r="K664" s="1">
        <v>67</v>
      </c>
      <c r="L664" s="1">
        <v>37</v>
      </c>
      <c r="M664" s="1">
        <v>0.68</v>
      </c>
      <c r="N664" s="1">
        <v>7.2</v>
      </c>
      <c r="O664" s="7">
        <v>18933</v>
      </c>
      <c r="P664" s="4">
        <v>45022</v>
      </c>
      <c r="Q664" s="4">
        <v>45045</v>
      </c>
      <c r="R664" s="1" t="s">
        <v>73</v>
      </c>
      <c r="AO664" s="7">
        <v>18933</v>
      </c>
      <c r="AP664" s="5" t="s">
        <v>608</v>
      </c>
      <c r="AQ664" s="5" t="s">
        <v>533</v>
      </c>
      <c r="AR664" s="5" t="s">
        <v>1743</v>
      </c>
      <c r="AS664" s="5" t="s">
        <v>1744</v>
      </c>
      <c r="AT664" s="5" t="s">
        <v>482</v>
      </c>
      <c r="AU664" s="5" t="s">
        <v>139</v>
      </c>
      <c r="AV664" s="5" t="s">
        <v>181</v>
      </c>
      <c r="AW664" s="5" t="s">
        <v>1745</v>
      </c>
      <c r="AX664" s="5" t="s">
        <v>1455</v>
      </c>
      <c r="AY664" s="5" t="s">
        <v>125</v>
      </c>
      <c r="AZ664" s="5" t="s">
        <v>75</v>
      </c>
      <c r="BA664" s="5" t="s">
        <v>76</v>
      </c>
      <c r="BB664" s="12" t="s">
        <v>76</v>
      </c>
      <c r="BC664" s="5" t="s">
        <v>1341</v>
      </c>
      <c r="BD664" s="5" t="s">
        <v>533</v>
      </c>
      <c r="BE664" s="5" t="s">
        <v>76</v>
      </c>
      <c r="BF664" s="5" t="s">
        <v>76</v>
      </c>
      <c r="BG664" s="15">
        <v>36.5</v>
      </c>
      <c r="BH664" s="5" t="s">
        <v>100</v>
      </c>
      <c r="BI664" s="5" t="s">
        <v>100</v>
      </c>
      <c r="BJ664" s="5" t="s">
        <v>101</v>
      </c>
      <c r="BK664" s="5" t="s">
        <v>194</v>
      </c>
      <c r="BL664" s="5" t="s">
        <v>825</v>
      </c>
      <c r="BM664" s="5" t="s">
        <v>1670</v>
      </c>
      <c r="BN664" s="5">
        <v>0</v>
      </c>
      <c r="BO664" s="5" t="e">
        <f t="shared" si="10"/>
        <v>#DIV/0!</v>
      </c>
      <c r="BP664" s="5" t="s">
        <v>1415</v>
      </c>
      <c r="BQ664" s="5" t="s">
        <v>1339</v>
      </c>
      <c r="BR664" s="5">
        <v>9033</v>
      </c>
    </row>
    <row r="665" s="1" customFormat="1" spans="1:70">
      <c r="A665" s="1">
        <v>3298774</v>
      </c>
      <c r="B665" s="1" t="s">
        <v>1746</v>
      </c>
      <c r="D665" s="4">
        <v>44989</v>
      </c>
      <c r="E665" s="4">
        <v>44997</v>
      </c>
      <c r="F665" s="7">
        <v>18937</v>
      </c>
      <c r="G665" s="1">
        <v>43</v>
      </c>
      <c r="H665" s="1">
        <v>10</v>
      </c>
      <c r="I665" s="1">
        <v>62</v>
      </c>
      <c r="J665" s="1">
        <v>10</v>
      </c>
      <c r="K665" s="1">
        <v>34</v>
      </c>
      <c r="L665" s="1">
        <v>16</v>
      </c>
      <c r="M665" s="1">
        <v>1.92</v>
      </c>
      <c r="O665" s="7">
        <v>18937</v>
      </c>
      <c r="P665" s="4">
        <v>44989</v>
      </c>
      <c r="Q665" s="4">
        <v>44997</v>
      </c>
      <c r="R665" s="1" t="s">
        <v>80</v>
      </c>
      <c r="AO665" s="7">
        <v>18937</v>
      </c>
      <c r="AP665" s="5">
        <v>9.2</v>
      </c>
      <c r="AQ665" s="5">
        <v>142</v>
      </c>
      <c r="AR665" s="5">
        <v>44.8</v>
      </c>
      <c r="AS665" s="5" t="s">
        <v>76</v>
      </c>
      <c r="AT665" s="5">
        <v>89</v>
      </c>
      <c r="AU665" s="5">
        <v>66</v>
      </c>
      <c r="AV665" s="5">
        <v>36.2</v>
      </c>
      <c r="AW665" s="5">
        <v>7.48</v>
      </c>
      <c r="AX665" s="5">
        <v>90</v>
      </c>
      <c r="AY665" s="5">
        <v>99.22</v>
      </c>
      <c r="AZ665" s="5">
        <v>9.8</v>
      </c>
      <c r="BA665" s="5">
        <v>4.97</v>
      </c>
      <c r="BB665" s="12" t="s">
        <v>76</v>
      </c>
      <c r="BC665" s="5">
        <v>4.33</v>
      </c>
      <c r="BD665" s="5">
        <v>142</v>
      </c>
      <c r="BE665" s="5" t="s">
        <v>76</v>
      </c>
      <c r="BF665" s="5" t="s">
        <v>76</v>
      </c>
      <c r="BG665" s="15">
        <v>36.7</v>
      </c>
      <c r="BH665" s="5">
        <v>104</v>
      </c>
      <c r="BI665" s="5">
        <v>104</v>
      </c>
      <c r="BJ665" s="5">
        <v>23</v>
      </c>
      <c r="BK665" s="5">
        <v>181</v>
      </c>
      <c r="BL665" s="5">
        <v>108</v>
      </c>
      <c r="BM665" s="5">
        <v>80</v>
      </c>
      <c r="BN665" s="5">
        <v>172</v>
      </c>
      <c r="BO665" s="5">
        <f t="shared" si="10"/>
        <v>27.0416441319632</v>
      </c>
      <c r="BP665" s="5" t="s">
        <v>85</v>
      </c>
      <c r="BQ665" s="5" t="s">
        <v>76</v>
      </c>
      <c r="BR665" s="5">
        <v>8553</v>
      </c>
    </row>
    <row r="666" s="1" customFormat="1" spans="1:70">
      <c r="A666" s="1">
        <v>3289008</v>
      </c>
      <c r="B666" s="1" t="s">
        <v>1747</v>
      </c>
      <c r="D666" s="4">
        <v>44976</v>
      </c>
      <c r="E666" s="4">
        <v>45018</v>
      </c>
      <c r="F666" s="7">
        <v>18948</v>
      </c>
      <c r="G666" s="1">
        <v>30</v>
      </c>
      <c r="H666" s="1">
        <v>10</v>
      </c>
      <c r="I666" s="1">
        <v>46</v>
      </c>
      <c r="J666" s="1">
        <v>9</v>
      </c>
      <c r="K666" s="1">
        <v>60</v>
      </c>
      <c r="L666" s="1">
        <v>32</v>
      </c>
      <c r="M666" s="1">
        <v>0.53</v>
      </c>
      <c r="O666" s="7">
        <v>18948</v>
      </c>
      <c r="P666" s="4">
        <v>44976</v>
      </c>
      <c r="Q666" s="4">
        <v>45018</v>
      </c>
      <c r="R666" s="1" t="s">
        <v>73</v>
      </c>
      <c r="AO666" s="7">
        <v>18948</v>
      </c>
      <c r="AP666" s="5">
        <v>22.7</v>
      </c>
      <c r="AQ666" s="5">
        <v>99</v>
      </c>
      <c r="AR666" s="5">
        <v>39.8</v>
      </c>
      <c r="AS666" s="5">
        <v>95</v>
      </c>
      <c r="AT666" s="5">
        <v>87</v>
      </c>
      <c r="AU666" s="5">
        <v>98</v>
      </c>
      <c r="AV666" s="5">
        <v>41</v>
      </c>
      <c r="AW666" s="5">
        <v>8.62</v>
      </c>
      <c r="AX666" s="5">
        <v>97</v>
      </c>
      <c r="AY666" s="5" t="s">
        <v>125</v>
      </c>
      <c r="AZ666" s="5">
        <v>9.9</v>
      </c>
      <c r="BA666" s="5" t="s">
        <v>76</v>
      </c>
      <c r="BB666" s="12" t="s">
        <v>76</v>
      </c>
      <c r="BC666" s="5">
        <v>5.5</v>
      </c>
      <c r="BD666" s="5">
        <v>99</v>
      </c>
      <c r="BE666" s="5" t="s">
        <v>76</v>
      </c>
      <c r="BF666" s="5" t="s">
        <v>76</v>
      </c>
      <c r="BG666" s="15">
        <v>36.8</v>
      </c>
      <c r="BH666" s="5">
        <v>80</v>
      </c>
      <c r="BI666" s="5">
        <v>80</v>
      </c>
      <c r="BJ666" s="5">
        <v>26</v>
      </c>
      <c r="BK666" s="5">
        <v>200</v>
      </c>
      <c r="BL666" s="5">
        <v>94</v>
      </c>
      <c r="BM666" s="5" t="s">
        <v>77</v>
      </c>
      <c r="BN666" s="5" t="s">
        <v>77</v>
      </c>
      <c r="BO666" s="5" t="e">
        <f t="shared" si="10"/>
        <v>#VALUE!</v>
      </c>
      <c r="BP666" s="5" t="s">
        <v>144</v>
      </c>
      <c r="BQ666" s="5" t="s">
        <v>76</v>
      </c>
      <c r="BR666" s="5">
        <v>963.16</v>
      </c>
    </row>
    <row r="667" s="1" customFormat="1" spans="1:70">
      <c r="A667" s="1">
        <v>3310946</v>
      </c>
      <c r="B667" s="1" t="s">
        <v>1748</v>
      </c>
      <c r="D667" s="4">
        <v>45005</v>
      </c>
      <c r="E667" s="4">
        <v>45026</v>
      </c>
      <c r="F667" s="7">
        <v>18952</v>
      </c>
      <c r="G667" s="1">
        <v>59</v>
      </c>
      <c r="H667" s="1">
        <v>9</v>
      </c>
      <c r="I667" s="1">
        <v>57</v>
      </c>
      <c r="J667" s="1">
        <v>9</v>
      </c>
      <c r="K667" s="1">
        <v>42</v>
      </c>
      <c r="L667" s="1">
        <v>21</v>
      </c>
      <c r="N667" s="1">
        <v>23.2</v>
      </c>
      <c r="O667" s="7">
        <v>18952</v>
      </c>
      <c r="P667" s="4">
        <v>45005</v>
      </c>
      <c r="Q667" s="4">
        <v>45026</v>
      </c>
      <c r="R667" s="1" t="s">
        <v>80</v>
      </c>
      <c r="AO667" s="7">
        <v>18952</v>
      </c>
      <c r="AP667" s="5">
        <v>7.9</v>
      </c>
      <c r="AQ667" s="5">
        <v>99</v>
      </c>
      <c r="AR667" s="5">
        <v>30.4</v>
      </c>
      <c r="AS667" s="5">
        <v>38.2</v>
      </c>
      <c r="AT667" s="5">
        <v>22</v>
      </c>
      <c r="AU667" s="5" t="s">
        <v>171</v>
      </c>
      <c r="AV667" s="5">
        <v>39.8</v>
      </c>
      <c r="AW667" s="5">
        <v>26.9</v>
      </c>
      <c r="AX667" s="5">
        <v>230</v>
      </c>
      <c r="AY667" s="5">
        <v>44.59</v>
      </c>
      <c r="AZ667" s="5" t="s">
        <v>75</v>
      </c>
      <c r="BA667" s="5">
        <v>3.33</v>
      </c>
      <c r="BB667" s="12" t="s">
        <v>76</v>
      </c>
      <c r="BC667" s="5">
        <v>4.74</v>
      </c>
      <c r="BD667" s="5">
        <v>99</v>
      </c>
      <c r="BE667" s="5">
        <v>0.69</v>
      </c>
      <c r="BF667" s="5">
        <v>1.91</v>
      </c>
      <c r="BG667" s="15">
        <v>36.5</v>
      </c>
      <c r="BH667" s="5">
        <v>126</v>
      </c>
      <c r="BI667" s="5">
        <v>126</v>
      </c>
      <c r="BJ667" s="5">
        <v>20</v>
      </c>
      <c r="BK667" s="5">
        <v>84</v>
      </c>
      <c r="BL667" s="5">
        <v>60</v>
      </c>
      <c r="BM667" s="5">
        <v>52</v>
      </c>
      <c r="BN667" s="5">
        <v>165</v>
      </c>
      <c r="BO667" s="5">
        <f t="shared" si="10"/>
        <v>19.1000918273646</v>
      </c>
      <c r="BP667" s="5" t="s">
        <v>78</v>
      </c>
      <c r="BQ667" s="5">
        <v>5.4</v>
      </c>
      <c r="BR667" s="5" t="s">
        <v>118</v>
      </c>
    </row>
    <row r="668" s="1" customFormat="1" spans="1:70">
      <c r="A668" s="1">
        <v>3263593</v>
      </c>
      <c r="B668" s="1" t="s">
        <v>1749</v>
      </c>
      <c r="D668" s="4">
        <v>44935</v>
      </c>
      <c r="E668" s="4">
        <v>44942</v>
      </c>
      <c r="F668" s="7">
        <v>18970</v>
      </c>
      <c r="G668" s="1">
        <v>40</v>
      </c>
      <c r="H668" s="1">
        <v>10</v>
      </c>
      <c r="I668" s="1">
        <v>53</v>
      </c>
      <c r="J668" s="1">
        <v>10</v>
      </c>
      <c r="K668" s="1">
        <v>50</v>
      </c>
      <c r="L668" s="1">
        <v>26</v>
      </c>
      <c r="M668" s="1">
        <v>0.82</v>
      </c>
      <c r="N668" s="1">
        <v>16.9</v>
      </c>
      <c r="O668" s="7">
        <v>18970</v>
      </c>
      <c r="P668" s="4">
        <v>44935</v>
      </c>
      <c r="Q668" s="4">
        <v>44942</v>
      </c>
      <c r="R668" s="1" t="s">
        <v>80</v>
      </c>
      <c r="AO668" s="7">
        <v>18970</v>
      </c>
      <c r="AP668" s="5">
        <v>8.9</v>
      </c>
      <c r="AQ668" s="5">
        <v>155</v>
      </c>
      <c r="AR668" s="5">
        <v>48.4</v>
      </c>
      <c r="AS668" s="5">
        <v>68.9</v>
      </c>
      <c r="AT668" s="5">
        <v>84</v>
      </c>
      <c r="AU668" s="5">
        <v>53</v>
      </c>
      <c r="AV668" s="5">
        <v>41.4</v>
      </c>
      <c r="AW668" s="5">
        <v>6.4</v>
      </c>
      <c r="AX668" s="5">
        <v>63</v>
      </c>
      <c r="AY668" s="5" t="s">
        <v>125</v>
      </c>
      <c r="AZ668" s="5">
        <v>9.11</v>
      </c>
      <c r="BA668" s="5">
        <v>5.09</v>
      </c>
      <c r="BB668" s="12" t="s">
        <v>76</v>
      </c>
      <c r="BC668" s="5">
        <v>3.94</v>
      </c>
      <c r="BD668" s="5">
        <v>155</v>
      </c>
      <c r="BE668" s="5">
        <v>0.75</v>
      </c>
      <c r="BF668" s="5">
        <v>3.62</v>
      </c>
      <c r="BG668" s="15">
        <v>36.8</v>
      </c>
      <c r="BH668" s="5">
        <v>80</v>
      </c>
      <c r="BI668" s="5">
        <v>80</v>
      </c>
      <c r="BJ668" s="5">
        <v>20</v>
      </c>
      <c r="BK668" s="5">
        <v>100</v>
      </c>
      <c r="BL668" s="5">
        <v>80</v>
      </c>
      <c r="BM668" s="5">
        <v>90</v>
      </c>
      <c r="BN668" s="5">
        <v>172</v>
      </c>
      <c r="BO668" s="5">
        <f t="shared" si="10"/>
        <v>30.4218496484586</v>
      </c>
      <c r="BP668" s="5" t="s">
        <v>323</v>
      </c>
      <c r="BQ668" s="5">
        <v>6.8</v>
      </c>
      <c r="BR668" s="5">
        <v>979</v>
      </c>
    </row>
    <row r="669" s="1" customFormat="1" spans="1:70">
      <c r="A669" s="1">
        <v>3303751</v>
      </c>
      <c r="B669" s="1" t="s">
        <v>1750</v>
      </c>
      <c r="D669" s="4">
        <v>44995</v>
      </c>
      <c r="E669" s="4">
        <v>45002</v>
      </c>
      <c r="F669" s="7">
        <v>18970</v>
      </c>
      <c r="G669" s="1">
        <v>41</v>
      </c>
      <c r="H669" s="1">
        <v>9</v>
      </c>
      <c r="I669" s="1">
        <v>44</v>
      </c>
      <c r="J669" s="1">
        <v>9</v>
      </c>
      <c r="K669" s="1">
        <v>59</v>
      </c>
      <c r="L669" s="1">
        <v>31</v>
      </c>
      <c r="N669" s="1">
        <v>9.4</v>
      </c>
      <c r="O669" s="7">
        <v>18970</v>
      </c>
      <c r="P669" s="4">
        <v>44995</v>
      </c>
      <c r="Q669" s="4">
        <v>45002</v>
      </c>
      <c r="R669" s="1" t="s">
        <v>73</v>
      </c>
      <c r="AO669" s="7">
        <v>18970</v>
      </c>
      <c r="AP669" s="5">
        <v>7.8</v>
      </c>
      <c r="AQ669" s="5">
        <v>117</v>
      </c>
      <c r="AR669" s="5">
        <v>36.8</v>
      </c>
      <c r="AS669" s="5">
        <v>1.3</v>
      </c>
      <c r="AT669" s="5" t="s">
        <v>76</v>
      </c>
      <c r="AU669" s="5" t="s">
        <v>76</v>
      </c>
      <c r="AV669" s="5" t="s">
        <v>76</v>
      </c>
      <c r="AW669" s="5">
        <v>6.28</v>
      </c>
      <c r="AX669" s="5">
        <v>66</v>
      </c>
      <c r="AY669" s="5">
        <v>81.4</v>
      </c>
      <c r="AZ669" s="5" t="s">
        <v>75</v>
      </c>
      <c r="BA669" s="5">
        <v>3.06</v>
      </c>
      <c r="BB669" s="12" t="s">
        <v>76</v>
      </c>
      <c r="BC669" s="5">
        <v>4.3</v>
      </c>
      <c r="BD669" s="5">
        <v>117</v>
      </c>
      <c r="BE669" s="5">
        <v>1.34</v>
      </c>
      <c r="BF669" s="5">
        <v>1.26</v>
      </c>
      <c r="BG669" s="15">
        <v>36.5</v>
      </c>
      <c r="BH669" s="5">
        <v>80</v>
      </c>
      <c r="BI669" s="5">
        <v>90</v>
      </c>
      <c r="BJ669" s="5">
        <v>17</v>
      </c>
      <c r="BK669" s="5">
        <v>102</v>
      </c>
      <c r="BL669" s="5">
        <v>57</v>
      </c>
      <c r="BM669" s="5">
        <v>52.5</v>
      </c>
      <c r="BN669" s="5">
        <v>162</v>
      </c>
      <c r="BO669" s="5">
        <f t="shared" si="10"/>
        <v>20.0045724737083</v>
      </c>
      <c r="BP669" s="5" t="s">
        <v>78</v>
      </c>
      <c r="BQ669" s="5">
        <v>6.3</v>
      </c>
      <c r="BR669" s="5">
        <v>1659</v>
      </c>
    </row>
    <row r="670" s="1" customFormat="1" spans="1:70">
      <c r="A670" s="1">
        <v>3301641</v>
      </c>
      <c r="B670" s="1" t="s">
        <v>1751</v>
      </c>
      <c r="D670" s="4">
        <v>44993</v>
      </c>
      <c r="E670" s="4">
        <v>45005</v>
      </c>
      <c r="F670" s="7">
        <v>18974</v>
      </c>
      <c r="G670" s="1">
        <v>35</v>
      </c>
      <c r="H670" s="1">
        <v>9</v>
      </c>
      <c r="I670" s="1">
        <v>48</v>
      </c>
      <c r="J670" s="1">
        <v>9</v>
      </c>
      <c r="K670" s="1">
        <v>58</v>
      </c>
      <c r="L670" s="1">
        <v>31</v>
      </c>
      <c r="M670" s="1">
        <v>0.88</v>
      </c>
      <c r="N670" s="1">
        <v>8.8</v>
      </c>
      <c r="O670" s="7">
        <v>18974</v>
      </c>
      <c r="P670" s="4">
        <v>44993</v>
      </c>
      <c r="Q670" s="4">
        <v>45005</v>
      </c>
      <c r="R670" s="1" t="s">
        <v>80</v>
      </c>
      <c r="AO670" s="7">
        <v>18974</v>
      </c>
      <c r="AP670" s="5">
        <v>9.6</v>
      </c>
      <c r="AQ670" s="5">
        <v>154</v>
      </c>
      <c r="AR670" s="5">
        <v>45.9</v>
      </c>
      <c r="AS670" s="5" t="s">
        <v>81</v>
      </c>
      <c r="AT670" s="5">
        <v>48</v>
      </c>
      <c r="AU670" s="5">
        <v>40</v>
      </c>
      <c r="AV670" s="5">
        <v>35.6</v>
      </c>
      <c r="AW670" s="5">
        <v>6.04</v>
      </c>
      <c r="AX670" s="5">
        <v>73</v>
      </c>
      <c r="AY670" s="5">
        <v>97.66</v>
      </c>
      <c r="AZ670" s="5">
        <v>6.4</v>
      </c>
      <c r="BA670" s="5" t="s">
        <v>76</v>
      </c>
      <c r="BB670" s="12" t="s">
        <v>76</v>
      </c>
      <c r="BC670" s="5">
        <v>4.16</v>
      </c>
      <c r="BD670" s="5">
        <v>154</v>
      </c>
      <c r="BE670" s="5" t="s">
        <v>76</v>
      </c>
      <c r="BF670" s="5" t="s">
        <v>76</v>
      </c>
      <c r="BG670" s="15">
        <v>36.8</v>
      </c>
      <c r="BH670" s="5">
        <v>87</v>
      </c>
      <c r="BI670" s="5">
        <v>87</v>
      </c>
      <c r="BJ670" s="5">
        <v>30</v>
      </c>
      <c r="BK670" s="5">
        <v>142</v>
      </c>
      <c r="BL670" s="5">
        <v>94</v>
      </c>
      <c r="BM670" s="5" t="s">
        <v>77</v>
      </c>
      <c r="BN670" s="5" t="s">
        <v>77</v>
      </c>
      <c r="BO670" s="5" t="e">
        <f t="shared" si="10"/>
        <v>#VALUE!</v>
      </c>
      <c r="BP670" s="5" t="s">
        <v>161</v>
      </c>
      <c r="BQ670" s="5" t="s">
        <v>76</v>
      </c>
      <c r="BR670" s="5">
        <v>3251</v>
      </c>
    </row>
    <row r="671" s="1" customFormat="1" spans="1:70">
      <c r="A671" s="1">
        <v>3261758</v>
      </c>
      <c r="B671" s="1" t="s">
        <v>1752</v>
      </c>
      <c r="D671" s="4">
        <v>44931</v>
      </c>
      <c r="E671" s="4">
        <v>44942</v>
      </c>
      <c r="F671" s="7">
        <v>18974</v>
      </c>
      <c r="G671" s="1">
        <v>43</v>
      </c>
      <c r="H671" s="1">
        <v>9</v>
      </c>
      <c r="I671" s="1">
        <v>46</v>
      </c>
      <c r="J671" s="1">
        <v>9</v>
      </c>
      <c r="K671" s="1">
        <v>67</v>
      </c>
      <c r="L671" s="1">
        <v>37</v>
      </c>
      <c r="N671" s="1">
        <v>9.8</v>
      </c>
      <c r="O671" s="7">
        <v>18974</v>
      </c>
      <c r="P671" s="4">
        <v>44931</v>
      </c>
      <c r="Q671" s="4">
        <v>44942</v>
      </c>
      <c r="R671" s="1" t="s">
        <v>80</v>
      </c>
      <c r="AO671" s="7">
        <v>18974</v>
      </c>
      <c r="AP671" s="5">
        <v>7.2</v>
      </c>
      <c r="AQ671" s="5">
        <v>125</v>
      </c>
      <c r="AR671" s="5">
        <v>40.1</v>
      </c>
      <c r="AS671" s="5">
        <v>13.8</v>
      </c>
      <c r="AT671" s="5">
        <v>9</v>
      </c>
      <c r="AU671" s="5">
        <v>17</v>
      </c>
      <c r="AV671" s="5">
        <v>28.9</v>
      </c>
      <c r="AW671" s="5">
        <v>8.47</v>
      </c>
      <c r="AX671" s="5">
        <v>79</v>
      </c>
      <c r="AY671" s="5" t="s">
        <v>76</v>
      </c>
      <c r="AZ671" s="5" t="s">
        <v>76</v>
      </c>
      <c r="BA671" s="5" t="s">
        <v>76</v>
      </c>
      <c r="BB671" s="12" t="s">
        <v>76</v>
      </c>
      <c r="BC671" s="5">
        <v>4.16</v>
      </c>
      <c r="BD671" s="5">
        <v>125</v>
      </c>
      <c r="BE671" s="5" t="s">
        <v>76</v>
      </c>
      <c r="BF671" s="5" t="s">
        <v>76</v>
      </c>
      <c r="BG671" s="15">
        <v>36.5</v>
      </c>
      <c r="BH671" s="5">
        <v>51</v>
      </c>
      <c r="BI671" s="5">
        <v>72</v>
      </c>
      <c r="BJ671" s="5">
        <v>16</v>
      </c>
      <c r="BK671" s="5">
        <v>103</v>
      </c>
      <c r="BL671" s="5">
        <v>64</v>
      </c>
      <c r="BM671" s="5">
        <v>70</v>
      </c>
      <c r="BN671" s="5">
        <v>178</v>
      </c>
      <c r="BO671" s="5">
        <f t="shared" si="10"/>
        <v>22.0931700542861</v>
      </c>
      <c r="BP671" s="5" t="s">
        <v>457</v>
      </c>
      <c r="BQ671" s="5" t="s">
        <v>76</v>
      </c>
      <c r="BR671" s="5">
        <v>3159</v>
      </c>
    </row>
    <row r="672" s="1" customFormat="1" spans="1:70">
      <c r="A672" s="1">
        <v>3303601</v>
      </c>
      <c r="B672" s="1" t="s">
        <v>1753</v>
      </c>
      <c r="D672" s="4">
        <v>44995</v>
      </c>
      <c r="E672" s="4">
        <v>45006</v>
      </c>
      <c r="F672" s="7">
        <v>18983</v>
      </c>
      <c r="G672" s="1">
        <v>46</v>
      </c>
      <c r="H672" s="1">
        <v>9</v>
      </c>
      <c r="I672" s="1">
        <v>48</v>
      </c>
      <c r="J672" s="1">
        <v>9</v>
      </c>
      <c r="K672" s="1">
        <v>57</v>
      </c>
      <c r="L672" s="1">
        <v>30</v>
      </c>
      <c r="N672" s="1">
        <v>11.7</v>
      </c>
      <c r="O672" s="7">
        <v>18983</v>
      </c>
      <c r="P672" s="4">
        <v>44995</v>
      </c>
      <c r="Q672" s="4">
        <v>45006</v>
      </c>
      <c r="R672" s="1" t="s">
        <v>80</v>
      </c>
      <c r="AO672" s="7">
        <v>18983</v>
      </c>
      <c r="AP672" s="5">
        <v>4.8</v>
      </c>
      <c r="AQ672" s="5">
        <v>148</v>
      </c>
      <c r="AR672" s="5">
        <v>45.3</v>
      </c>
      <c r="AS672" s="5">
        <v>0.8</v>
      </c>
      <c r="AT672" s="5">
        <v>32</v>
      </c>
      <c r="AU672" s="5">
        <v>34</v>
      </c>
      <c r="AV672" s="5">
        <v>43.2</v>
      </c>
      <c r="AW672" s="5">
        <v>5.12</v>
      </c>
      <c r="AX672" s="5">
        <v>49</v>
      </c>
      <c r="AY672" s="5" t="s">
        <v>125</v>
      </c>
      <c r="AZ672" s="5" t="s">
        <v>75</v>
      </c>
      <c r="BA672" s="5">
        <v>3.02</v>
      </c>
      <c r="BB672" s="12" t="s">
        <v>76</v>
      </c>
      <c r="BC672" s="5">
        <v>3.64</v>
      </c>
      <c r="BD672" s="5">
        <v>148</v>
      </c>
      <c r="BE672" s="5">
        <v>1.1</v>
      </c>
      <c r="BF672" s="5">
        <v>1.62</v>
      </c>
      <c r="BG672" s="15">
        <v>36.5</v>
      </c>
      <c r="BH672" s="5">
        <v>70</v>
      </c>
      <c r="BI672" s="5">
        <v>86</v>
      </c>
      <c r="BJ672" s="5">
        <v>18</v>
      </c>
      <c r="BK672" s="5">
        <v>146</v>
      </c>
      <c r="BL672" s="5">
        <v>78</v>
      </c>
      <c r="BM672" s="5">
        <v>65</v>
      </c>
      <c r="BN672" s="5">
        <v>168</v>
      </c>
      <c r="BO672" s="5">
        <f t="shared" si="10"/>
        <v>23.0300453514739</v>
      </c>
      <c r="BP672" s="5" t="s">
        <v>78</v>
      </c>
      <c r="BQ672" s="5">
        <v>5.5</v>
      </c>
      <c r="BR672" s="5">
        <v>2343</v>
      </c>
    </row>
    <row r="673" s="1" customFormat="1" spans="1:70">
      <c r="A673" s="1">
        <v>3230735</v>
      </c>
      <c r="B673" s="1" t="s">
        <v>1754</v>
      </c>
      <c r="D673" s="4">
        <v>44867</v>
      </c>
      <c r="E673" s="4">
        <v>44890</v>
      </c>
      <c r="F673" s="7">
        <v>18989</v>
      </c>
      <c r="G673" s="1">
        <v>37</v>
      </c>
      <c r="H673" s="1">
        <v>8</v>
      </c>
      <c r="I673" s="1">
        <v>41</v>
      </c>
      <c r="J673" s="1">
        <v>8</v>
      </c>
      <c r="K673" s="1">
        <v>55</v>
      </c>
      <c r="L673" s="1">
        <v>28</v>
      </c>
      <c r="M673" s="1">
        <v>1.37</v>
      </c>
      <c r="N673" s="1">
        <v>19</v>
      </c>
      <c r="O673" s="7">
        <v>18989</v>
      </c>
      <c r="P673" s="4">
        <v>44867</v>
      </c>
      <c r="Q673" s="4">
        <v>44890</v>
      </c>
      <c r="R673" s="1" t="s">
        <v>73</v>
      </c>
      <c r="S673" s="1">
        <v>70</v>
      </c>
      <c r="T673" s="1" t="s">
        <v>1755</v>
      </c>
      <c r="X673" s="1">
        <v>1</v>
      </c>
      <c r="AC673" s="1">
        <v>1</v>
      </c>
      <c r="AG673" s="1">
        <v>1</v>
      </c>
      <c r="AI673" s="1">
        <v>1</v>
      </c>
      <c r="AL673" s="1">
        <v>1</v>
      </c>
      <c r="AM673" s="1">
        <v>1</v>
      </c>
      <c r="AO673" s="7">
        <v>18989</v>
      </c>
      <c r="AP673" s="5">
        <v>9.4</v>
      </c>
      <c r="AQ673" s="5">
        <v>91</v>
      </c>
      <c r="AR673" s="5">
        <v>37.6</v>
      </c>
      <c r="AS673" s="5">
        <v>31.3</v>
      </c>
      <c r="AT673" s="5">
        <v>95</v>
      </c>
      <c r="AU673" s="5">
        <v>55</v>
      </c>
      <c r="AV673" s="5">
        <v>42.1</v>
      </c>
      <c r="AW673" s="5">
        <v>8.83</v>
      </c>
      <c r="AX673" s="5">
        <v>54</v>
      </c>
      <c r="AY673" s="5" t="s">
        <v>125</v>
      </c>
      <c r="AZ673" s="5" t="s">
        <v>75</v>
      </c>
      <c r="BA673" s="5">
        <v>5.32</v>
      </c>
      <c r="BB673" s="12" t="s">
        <v>76</v>
      </c>
      <c r="BC673" s="5">
        <v>4.34</v>
      </c>
      <c r="BD673" s="5">
        <v>91</v>
      </c>
      <c r="BE673" s="5">
        <v>1.31</v>
      </c>
      <c r="BF673" s="5">
        <v>3.73</v>
      </c>
      <c r="BG673" s="15">
        <v>36.5</v>
      </c>
      <c r="BH673" s="5">
        <v>83</v>
      </c>
      <c r="BI673" s="5" t="s">
        <v>76</v>
      </c>
      <c r="BJ673" s="5">
        <v>17</v>
      </c>
      <c r="BK673" s="5">
        <v>151</v>
      </c>
      <c r="BL673" s="5">
        <v>73</v>
      </c>
      <c r="BM673" s="5">
        <v>49</v>
      </c>
      <c r="BN673" s="5">
        <v>153</v>
      </c>
      <c r="BO673" s="5">
        <f t="shared" si="10"/>
        <v>20.9321201247383</v>
      </c>
      <c r="BP673" s="5" t="s">
        <v>1450</v>
      </c>
      <c r="BQ673" s="5">
        <v>7.7</v>
      </c>
      <c r="BR673" s="5">
        <v>5074</v>
      </c>
    </row>
    <row r="674" s="1" customFormat="1" spans="1:70">
      <c r="A674" s="1">
        <v>3325535</v>
      </c>
      <c r="B674" s="1" t="s">
        <v>1756</v>
      </c>
      <c r="D674" s="4">
        <v>45030</v>
      </c>
      <c r="E674" s="4">
        <v>45034</v>
      </c>
      <c r="F674" s="7">
        <v>19007</v>
      </c>
      <c r="G674" s="1">
        <v>40</v>
      </c>
      <c r="H674" s="1">
        <v>8</v>
      </c>
      <c r="I674" s="1">
        <v>47</v>
      </c>
      <c r="J674" s="1">
        <v>8</v>
      </c>
      <c r="K674" s="1">
        <v>65</v>
      </c>
      <c r="L674" s="1">
        <v>35</v>
      </c>
      <c r="M674" s="1">
        <v>1.43</v>
      </c>
      <c r="N674" s="1">
        <v>11.5</v>
      </c>
      <c r="O674" s="7">
        <v>19007</v>
      </c>
      <c r="P674" s="4">
        <v>45030</v>
      </c>
      <c r="Q674" s="4">
        <v>45034</v>
      </c>
      <c r="R674" s="1" t="s">
        <v>73</v>
      </c>
      <c r="AO674" s="7">
        <v>19007</v>
      </c>
      <c r="AP674" s="5">
        <v>86.4</v>
      </c>
      <c r="AQ674" s="5">
        <v>96</v>
      </c>
      <c r="AR674" s="5">
        <v>30.5</v>
      </c>
      <c r="AS674" s="5">
        <v>1.9</v>
      </c>
      <c r="AT674" s="5">
        <v>22</v>
      </c>
      <c r="AU674" s="5">
        <v>18</v>
      </c>
      <c r="AV674" s="5">
        <v>32.3</v>
      </c>
      <c r="AW674" s="5">
        <v>4.9</v>
      </c>
      <c r="AX674" s="5">
        <v>53</v>
      </c>
      <c r="AY674" s="5">
        <v>104.85</v>
      </c>
      <c r="AZ674" s="5" t="s">
        <v>75</v>
      </c>
      <c r="BA674" s="5">
        <v>2.48</v>
      </c>
      <c r="BB674" s="12" t="s">
        <v>76</v>
      </c>
      <c r="BC674" s="5">
        <v>4.19</v>
      </c>
      <c r="BD674" s="5">
        <v>96</v>
      </c>
      <c r="BE674" s="5">
        <v>1.14</v>
      </c>
      <c r="BF674" s="5">
        <v>1.19</v>
      </c>
      <c r="BG674" s="15">
        <v>36.5</v>
      </c>
      <c r="BH674" s="5">
        <v>86</v>
      </c>
      <c r="BI674" s="5">
        <v>86</v>
      </c>
      <c r="BJ674" s="5">
        <v>18</v>
      </c>
      <c r="BK674" s="5">
        <v>140</v>
      </c>
      <c r="BL674" s="5">
        <v>41</v>
      </c>
      <c r="BM674" s="5">
        <v>55</v>
      </c>
      <c r="BN674" s="5">
        <v>162</v>
      </c>
      <c r="BO674" s="5">
        <f t="shared" si="10"/>
        <v>20.9571711629325</v>
      </c>
      <c r="BP674" s="5" t="s">
        <v>156</v>
      </c>
      <c r="BQ674" s="5">
        <v>5.7</v>
      </c>
      <c r="BR674" s="5">
        <v>1391</v>
      </c>
    </row>
    <row r="675" s="1" customFormat="1" spans="1:70">
      <c r="A675" s="1">
        <v>3329770</v>
      </c>
      <c r="B675" s="1" t="s">
        <v>1757</v>
      </c>
      <c r="C675" s="1" t="s">
        <v>273</v>
      </c>
      <c r="D675" s="4">
        <v>45032</v>
      </c>
      <c r="E675" s="4">
        <v>45035</v>
      </c>
      <c r="F675" s="7">
        <v>19014</v>
      </c>
      <c r="G675" s="1">
        <v>36</v>
      </c>
      <c r="H675" s="1">
        <v>10</v>
      </c>
      <c r="I675" s="1">
        <v>47</v>
      </c>
      <c r="J675" s="1">
        <v>10</v>
      </c>
      <c r="K675" s="1">
        <v>57</v>
      </c>
      <c r="L675" s="1">
        <v>30</v>
      </c>
      <c r="M675" s="1">
        <v>0.68</v>
      </c>
      <c r="N675" s="1">
        <v>13.2</v>
      </c>
      <c r="O675" s="7">
        <v>19014</v>
      </c>
      <c r="P675" s="4">
        <v>45032</v>
      </c>
      <c r="Q675" s="4">
        <v>45035</v>
      </c>
      <c r="R675" s="1" t="s">
        <v>80</v>
      </c>
      <c r="AO675" s="7">
        <v>19014</v>
      </c>
      <c r="AP675" s="5">
        <v>8</v>
      </c>
      <c r="AQ675" s="5">
        <v>135</v>
      </c>
      <c r="AR675" s="5">
        <v>45</v>
      </c>
      <c r="AS675" s="5">
        <v>83.6</v>
      </c>
      <c r="AT675" s="5">
        <v>53</v>
      </c>
      <c r="AU675" s="5">
        <v>62</v>
      </c>
      <c r="AV675" s="5">
        <v>34.8</v>
      </c>
      <c r="AW675" s="5">
        <v>9.03</v>
      </c>
      <c r="AX675" s="5">
        <v>83</v>
      </c>
      <c r="AY675" s="5">
        <v>84.21</v>
      </c>
      <c r="AZ675" s="5" t="s">
        <v>75</v>
      </c>
      <c r="BA675" s="5" t="s">
        <v>76</v>
      </c>
      <c r="BB675" s="12" t="s">
        <v>76</v>
      </c>
      <c r="BC675" s="5">
        <v>4.09</v>
      </c>
      <c r="BD675" s="5">
        <v>135</v>
      </c>
      <c r="BE675" s="5" t="s">
        <v>76</v>
      </c>
      <c r="BF675" s="5" t="s">
        <v>76</v>
      </c>
      <c r="BG675" s="15">
        <v>37</v>
      </c>
      <c r="BH675" s="5" t="s">
        <v>76</v>
      </c>
      <c r="BI675" s="5">
        <v>112</v>
      </c>
      <c r="BJ675" s="5">
        <v>25</v>
      </c>
      <c r="BK675" s="5">
        <v>154</v>
      </c>
      <c r="BL675" s="5">
        <v>98</v>
      </c>
      <c r="BM675" s="5" t="s">
        <v>77</v>
      </c>
      <c r="BN675" s="5" t="s">
        <v>77</v>
      </c>
      <c r="BO675" s="5" t="e">
        <f t="shared" si="10"/>
        <v>#VALUE!</v>
      </c>
      <c r="BP675" s="5" t="s">
        <v>369</v>
      </c>
      <c r="BQ675" s="5">
        <v>5.9</v>
      </c>
      <c r="BR675" s="5">
        <v>5101</v>
      </c>
    </row>
    <row r="676" s="1" customFormat="1" spans="1:70">
      <c r="A676" s="1">
        <v>3314742</v>
      </c>
      <c r="B676" s="1" t="s">
        <v>1758</v>
      </c>
      <c r="D676" s="4">
        <v>45011</v>
      </c>
      <c r="E676" s="4">
        <v>45024</v>
      </c>
      <c r="F676" s="7">
        <v>19044</v>
      </c>
      <c r="G676" s="1">
        <v>39</v>
      </c>
      <c r="H676" s="1">
        <v>9</v>
      </c>
      <c r="I676" s="1">
        <v>52</v>
      </c>
      <c r="J676" s="1">
        <v>9</v>
      </c>
      <c r="K676" s="1">
        <v>66</v>
      </c>
      <c r="L676" s="1">
        <v>37</v>
      </c>
      <c r="M676" s="1">
        <v>0.74</v>
      </c>
      <c r="N676" s="1">
        <v>7.6</v>
      </c>
      <c r="O676" s="7">
        <v>19044</v>
      </c>
      <c r="P676" s="4">
        <v>45011</v>
      </c>
      <c r="Q676" s="4">
        <v>45024</v>
      </c>
      <c r="R676" s="1" t="s">
        <v>80</v>
      </c>
      <c r="AO676" s="7">
        <v>19044</v>
      </c>
      <c r="AP676" s="5">
        <v>8.2</v>
      </c>
      <c r="AQ676" s="5">
        <v>99</v>
      </c>
      <c r="AR676" s="5">
        <v>50.2</v>
      </c>
      <c r="AS676" s="5">
        <v>89.5</v>
      </c>
      <c r="AT676" s="5">
        <v>83</v>
      </c>
      <c r="AU676" s="5">
        <v>96</v>
      </c>
      <c r="AV676" s="5">
        <v>37.9</v>
      </c>
      <c r="AW676" s="5">
        <v>9.06</v>
      </c>
      <c r="AX676" s="5">
        <v>99</v>
      </c>
      <c r="AY676" s="5" t="s">
        <v>125</v>
      </c>
      <c r="AZ676" s="5">
        <v>9.4</v>
      </c>
      <c r="BA676" s="5">
        <v>3.99</v>
      </c>
      <c r="BB676" s="12" t="s">
        <v>76</v>
      </c>
      <c r="BC676" s="5">
        <v>4.79</v>
      </c>
      <c r="BD676" s="5">
        <v>99</v>
      </c>
      <c r="BE676" s="5" t="s">
        <v>76</v>
      </c>
      <c r="BF676" s="5" t="s">
        <v>76</v>
      </c>
      <c r="BG676" s="15">
        <v>36.5</v>
      </c>
      <c r="BH676" s="5">
        <v>74</v>
      </c>
      <c r="BI676" s="5">
        <v>74</v>
      </c>
      <c r="BJ676" s="5">
        <v>17</v>
      </c>
      <c r="BK676" s="5">
        <v>134</v>
      </c>
      <c r="BL676" s="5">
        <v>80</v>
      </c>
      <c r="BM676" s="5">
        <v>62</v>
      </c>
      <c r="BN676" s="5">
        <v>165</v>
      </c>
      <c r="BO676" s="5">
        <f t="shared" si="10"/>
        <v>22.77318640955</v>
      </c>
      <c r="BP676" s="5" t="s">
        <v>85</v>
      </c>
      <c r="BQ676" s="5" t="s">
        <v>76</v>
      </c>
      <c r="BR676" s="5">
        <v>916</v>
      </c>
    </row>
    <row r="677" s="1" customFormat="1" spans="1:70">
      <c r="A677" s="1">
        <v>3285623</v>
      </c>
      <c r="B677" s="1" t="s">
        <v>1759</v>
      </c>
      <c r="D677" s="4">
        <v>44971</v>
      </c>
      <c r="E677" s="4">
        <v>44984</v>
      </c>
      <c r="F677" s="7">
        <v>19045</v>
      </c>
      <c r="G677" s="1">
        <v>45</v>
      </c>
      <c r="H677" s="1">
        <v>9</v>
      </c>
      <c r="I677" s="1">
        <v>50</v>
      </c>
      <c r="J677" s="1">
        <v>9</v>
      </c>
      <c r="K677" s="1">
        <v>62</v>
      </c>
      <c r="L677" s="1">
        <v>33</v>
      </c>
      <c r="M677" s="1">
        <v>0.75</v>
      </c>
      <c r="N677" s="1">
        <v>10.3</v>
      </c>
      <c r="O677" s="7">
        <v>19045</v>
      </c>
      <c r="P677" s="4">
        <v>44971</v>
      </c>
      <c r="Q677" s="4">
        <v>44984</v>
      </c>
      <c r="R677" s="1" t="s">
        <v>80</v>
      </c>
      <c r="S677" s="1">
        <v>70</v>
      </c>
      <c r="T677" s="1" t="s">
        <v>1760</v>
      </c>
      <c r="AM677" s="1">
        <v>1</v>
      </c>
      <c r="AO677" s="7">
        <v>19045</v>
      </c>
      <c r="AP677" s="5">
        <v>8.7</v>
      </c>
      <c r="AQ677" s="5">
        <v>95</v>
      </c>
      <c r="AR677" s="5">
        <v>30</v>
      </c>
      <c r="AS677" s="5">
        <v>33.4</v>
      </c>
      <c r="AT677" s="5">
        <v>40</v>
      </c>
      <c r="AU677" s="5">
        <v>16</v>
      </c>
      <c r="AV677" s="5">
        <v>37.4</v>
      </c>
      <c r="AW677" s="5">
        <v>3.3</v>
      </c>
      <c r="AX677" s="5">
        <v>57</v>
      </c>
      <c r="AY677" s="5" t="s">
        <v>125</v>
      </c>
      <c r="AZ677" s="5" t="s">
        <v>75</v>
      </c>
      <c r="BA677" s="5">
        <v>2.77</v>
      </c>
      <c r="BB677" s="12" t="s">
        <v>76</v>
      </c>
      <c r="BC677" s="5">
        <v>5.41</v>
      </c>
      <c r="BD677" s="5">
        <v>95</v>
      </c>
      <c r="BE677" s="5">
        <v>1.11</v>
      </c>
      <c r="BF677" s="5">
        <v>1.08</v>
      </c>
      <c r="BG677" s="15">
        <v>36.5</v>
      </c>
      <c r="BH677" s="5">
        <v>86</v>
      </c>
      <c r="BI677" s="5">
        <v>86</v>
      </c>
      <c r="BJ677" s="5">
        <v>16</v>
      </c>
      <c r="BK677" s="5">
        <v>139</v>
      </c>
      <c r="BL677" s="5">
        <v>70</v>
      </c>
      <c r="BM677" s="5">
        <v>96</v>
      </c>
      <c r="BN677" s="5">
        <v>177</v>
      </c>
      <c r="BO677" s="5">
        <f t="shared" si="10"/>
        <v>30.6425356698267</v>
      </c>
      <c r="BP677" s="5" t="s">
        <v>622</v>
      </c>
      <c r="BQ677" s="5" t="s">
        <v>76</v>
      </c>
      <c r="BR677" s="5">
        <v>9111</v>
      </c>
    </row>
    <row r="678" s="1" customFormat="1" spans="1:70">
      <c r="A678" s="1" t="s">
        <v>1761</v>
      </c>
      <c r="B678" s="1" t="s">
        <v>1762</v>
      </c>
      <c r="D678" s="4">
        <v>44971</v>
      </c>
      <c r="E678" s="4">
        <v>44992</v>
      </c>
      <c r="F678" s="7">
        <v>19056</v>
      </c>
      <c r="G678" s="1">
        <v>34</v>
      </c>
      <c r="H678" s="1">
        <v>7</v>
      </c>
      <c r="I678" s="1">
        <v>47</v>
      </c>
      <c r="J678" s="1">
        <v>7</v>
      </c>
      <c r="K678" s="1">
        <v>62</v>
      </c>
      <c r="L678" s="1">
        <v>33</v>
      </c>
      <c r="M678" s="1">
        <v>0.77</v>
      </c>
      <c r="N678" s="1">
        <v>12.2</v>
      </c>
      <c r="O678" s="7">
        <v>19056</v>
      </c>
      <c r="P678" s="4">
        <v>44971</v>
      </c>
      <c r="Q678" s="4">
        <v>44992</v>
      </c>
      <c r="R678" s="1" t="s">
        <v>73</v>
      </c>
      <c r="AO678" s="7">
        <v>19056</v>
      </c>
      <c r="AP678" s="5" t="s">
        <v>1131</v>
      </c>
      <c r="AQ678" s="5" t="s">
        <v>1763</v>
      </c>
      <c r="AR678" s="5" t="s">
        <v>1764</v>
      </c>
      <c r="AS678" s="5" t="s">
        <v>1765</v>
      </c>
      <c r="AT678" s="5" t="s">
        <v>1766</v>
      </c>
      <c r="AU678" s="5" t="s">
        <v>606</v>
      </c>
      <c r="AV678" s="5" t="s">
        <v>1767</v>
      </c>
      <c r="AW678" s="5" t="s">
        <v>1768</v>
      </c>
      <c r="AX678" s="5" t="s">
        <v>511</v>
      </c>
      <c r="AY678" s="5" t="s">
        <v>125</v>
      </c>
      <c r="AZ678" s="5" t="s">
        <v>1769</v>
      </c>
      <c r="BA678" s="5" t="s">
        <v>76</v>
      </c>
      <c r="BB678" s="12" t="s">
        <v>76</v>
      </c>
      <c r="BC678" s="5" t="s">
        <v>1770</v>
      </c>
      <c r="BD678" s="5" t="s">
        <v>1763</v>
      </c>
      <c r="BE678" s="5" t="s">
        <v>76</v>
      </c>
      <c r="BF678" s="5" t="s">
        <v>76</v>
      </c>
      <c r="BG678" s="15">
        <v>36.3</v>
      </c>
      <c r="BH678" s="5" t="s">
        <v>1771</v>
      </c>
      <c r="BI678" s="5" t="s">
        <v>1771</v>
      </c>
      <c r="BJ678" s="5" t="s">
        <v>101</v>
      </c>
      <c r="BK678" s="5" t="s">
        <v>1090</v>
      </c>
      <c r="BL678" s="5" t="s">
        <v>139</v>
      </c>
      <c r="BM678" s="5" t="s">
        <v>649</v>
      </c>
      <c r="BN678" s="5">
        <v>154</v>
      </c>
      <c r="BO678" s="5">
        <f t="shared" si="10"/>
        <v>21.5044695564176</v>
      </c>
      <c r="BP678" s="5" t="s">
        <v>337</v>
      </c>
      <c r="BQ678" s="5" t="s">
        <v>76</v>
      </c>
      <c r="BR678" s="5">
        <v>1894</v>
      </c>
    </row>
    <row r="679" s="1" customFormat="1" spans="1:70">
      <c r="A679" s="1">
        <v>3307535</v>
      </c>
      <c r="B679" s="1" t="s">
        <v>1772</v>
      </c>
      <c r="D679" s="4">
        <v>45000</v>
      </c>
      <c r="E679" s="4">
        <v>45005</v>
      </c>
      <c r="F679" s="7">
        <v>19060</v>
      </c>
      <c r="G679" s="1">
        <v>33</v>
      </c>
      <c r="H679" s="1">
        <v>9</v>
      </c>
      <c r="I679" s="1">
        <v>47</v>
      </c>
      <c r="J679" s="1">
        <v>9</v>
      </c>
      <c r="K679" s="1">
        <v>66</v>
      </c>
      <c r="L679" s="1">
        <v>36</v>
      </c>
      <c r="M679" s="1">
        <v>0.76</v>
      </c>
      <c r="N679" s="1">
        <v>9.4</v>
      </c>
      <c r="O679" s="7">
        <v>19060</v>
      </c>
      <c r="P679" s="4">
        <v>45000</v>
      </c>
      <c r="Q679" s="4">
        <v>45005</v>
      </c>
      <c r="R679" s="1" t="s">
        <v>80</v>
      </c>
      <c r="AO679" s="7">
        <v>19060</v>
      </c>
      <c r="AP679" s="5">
        <v>8</v>
      </c>
      <c r="AQ679" s="5">
        <v>98</v>
      </c>
      <c r="AR679" s="5">
        <v>38.5</v>
      </c>
      <c r="AS679" s="5">
        <v>9.6</v>
      </c>
      <c r="AT679" s="5">
        <v>52</v>
      </c>
      <c r="AU679" s="5">
        <v>42</v>
      </c>
      <c r="AV679" s="5">
        <v>38.2</v>
      </c>
      <c r="AW679" s="5">
        <v>7.57</v>
      </c>
      <c r="AX679" s="5">
        <v>69</v>
      </c>
      <c r="AY679" s="5">
        <v>117.91</v>
      </c>
      <c r="AZ679" s="5" t="s">
        <v>75</v>
      </c>
      <c r="BA679" s="5">
        <v>4.15</v>
      </c>
      <c r="BB679" s="12" t="s">
        <v>76</v>
      </c>
      <c r="BC679" s="5">
        <v>3.82</v>
      </c>
      <c r="BD679" s="5">
        <v>98</v>
      </c>
      <c r="BE679" s="5">
        <v>0.96</v>
      </c>
      <c r="BF679" s="5">
        <v>2.55</v>
      </c>
      <c r="BG679" s="15">
        <v>36.7</v>
      </c>
      <c r="BH679" s="5">
        <v>88</v>
      </c>
      <c r="BI679" s="5">
        <v>88</v>
      </c>
      <c r="BJ679" s="5">
        <v>19</v>
      </c>
      <c r="BK679" s="5">
        <v>179</v>
      </c>
      <c r="BL679" s="5">
        <v>99</v>
      </c>
      <c r="BM679" s="5">
        <v>61</v>
      </c>
      <c r="BN679" s="5">
        <v>167</v>
      </c>
      <c r="BO679" s="5">
        <f t="shared" si="10"/>
        <v>21.8724228190326</v>
      </c>
      <c r="BP679" s="5" t="s">
        <v>323</v>
      </c>
      <c r="BQ679" s="5">
        <v>6.6</v>
      </c>
      <c r="BR679" s="5">
        <v>964</v>
      </c>
    </row>
    <row r="680" s="1" customFormat="1" spans="1:70">
      <c r="A680" s="1">
        <v>3306355</v>
      </c>
      <c r="B680" s="1" t="s">
        <v>1773</v>
      </c>
      <c r="D680" s="4">
        <v>44999</v>
      </c>
      <c r="E680" s="4">
        <v>45006</v>
      </c>
      <c r="F680" s="7">
        <v>19061</v>
      </c>
      <c r="G680" s="1">
        <v>45</v>
      </c>
      <c r="H680" s="1">
        <v>13</v>
      </c>
      <c r="I680" s="1">
        <v>47</v>
      </c>
      <c r="J680" s="1">
        <v>13</v>
      </c>
      <c r="K680" s="1">
        <v>60</v>
      </c>
      <c r="L680" s="1">
        <v>32</v>
      </c>
      <c r="M680" s="1">
        <v>0.84</v>
      </c>
      <c r="N680" s="1">
        <v>9.7</v>
      </c>
      <c r="O680" s="7">
        <v>19061</v>
      </c>
      <c r="P680" s="4">
        <v>44999</v>
      </c>
      <c r="Q680" s="4">
        <v>45006</v>
      </c>
      <c r="R680" s="1" t="s">
        <v>80</v>
      </c>
      <c r="AO680" s="7">
        <v>19061</v>
      </c>
      <c r="AP680" s="5">
        <v>9.6</v>
      </c>
      <c r="AQ680" s="5">
        <v>80</v>
      </c>
      <c r="AR680" s="5">
        <v>24.5</v>
      </c>
      <c r="AS680" s="5">
        <v>82.1</v>
      </c>
      <c r="AT680" s="5">
        <v>31</v>
      </c>
      <c r="AU680" s="5">
        <v>24</v>
      </c>
      <c r="AV680" s="5">
        <v>36.1</v>
      </c>
      <c r="AW680" s="5">
        <v>35.34</v>
      </c>
      <c r="AX680" s="5">
        <v>407</v>
      </c>
      <c r="AY680" s="5">
        <v>16.49</v>
      </c>
      <c r="AZ680" s="5" t="s">
        <v>75</v>
      </c>
      <c r="BA680" s="5">
        <v>4.55</v>
      </c>
      <c r="BB680" s="12" t="s">
        <v>76</v>
      </c>
      <c r="BC680" s="5" t="s">
        <v>4</v>
      </c>
      <c r="BD680" s="5">
        <v>80</v>
      </c>
      <c r="BE680" s="5">
        <v>1.62</v>
      </c>
      <c r="BF680" s="5">
        <v>2.06</v>
      </c>
      <c r="BG680" s="15">
        <v>36.5</v>
      </c>
      <c r="BH680" s="5">
        <v>78</v>
      </c>
      <c r="BI680" s="5">
        <v>78</v>
      </c>
      <c r="BJ680" s="5">
        <v>16</v>
      </c>
      <c r="BK680" s="5">
        <v>167</v>
      </c>
      <c r="BL680" s="5">
        <v>97</v>
      </c>
      <c r="BM680" s="5">
        <v>60</v>
      </c>
      <c r="BN680" s="5">
        <v>170</v>
      </c>
      <c r="BO680" s="5">
        <f t="shared" si="10"/>
        <v>20.7612456747405</v>
      </c>
      <c r="BP680" s="5" t="s">
        <v>300</v>
      </c>
      <c r="BQ680" s="5">
        <v>5.3</v>
      </c>
      <c r="BR680" s="5">
        <v>2349</v>
      </c>
    </row>
    <row r="681" s="1" customFormat="1" spans="1:70">
      <c r="A681" s="1">
        <v>3257644</v>
      </c>
      <c r="B681" s="1" t="s">
        <v>1774</v>
      </c>
      <c r="D681" s="4">
        <v>44924</v>
      </c>
      <c r="E681" s="4">
        <v>44937</v>
      </c>
      <c r="F681" s="7">
        <v>19071</v>
      </c>
      <c r="G681" s="1">
        <v>36</v>
      </c>
      <c r="H681" s="1">
        <v>8</v>
      </c>
      <c r="I681" s="1">
        <v>45</v>
      </c>
      <c r="J681" s="1">
        <v>8</v>
      </c>
      <c r="K681" s="1">
        <v>68</v>
      </c>
      <c r="L681" s="1">
        <v>38</v>
      </c>
      <c r="M681" s="1">
        <v>0.52</v>
      </c>
      <c r="N681" s="1">
        <v>9.6</v>
      </c>
      <c r="O681" s="7">
        <v>19071</v>
      </c>
      <c r="P681" s="4">
        <v>44924</v>
      </c>
      <c r="Q681" s="4">
        <v>44937</v>
      </c>
      <c r="R681" s="1" t="s">
        <v>73</v>
      </c>
      <c r="S681" s="1">
        <v>70</v>
      </c>
      <c r="T681" s="1" t="s">
        <v>154</v>
      </c>
      <c r="V681" s="1" t="s">
        <v>155</v>
      </c>
      <c r="X681" s="1" t="s">
        <v>155</v>
      </c>
      <c r="AA681" s="1" t="s">
        <v>155</v>
      </c>
      <c r="AO681" s="7">
        <v>19071</v>
      </c>
      <c r="AP681" s="5">
        <v>8.3</v>
      </c>
      <c r="AQ681" s="5">
        <v>71</v>
      </c>
      <c r="AR681" s="5">
        <v>22.1</v>
      </c>
      <c r="AS681" s="5">
        <v>76.8</v>
      </c>
      <c r="AT681" s="5">
        <v>23</v>
      </c>
      <c r="AU681" s="5" t="s">
        <v>171</v>
      </c>
      <c r="AV681" s="5">
        <v>28.8</v>
      </c>
      <c r="AW681" s="5">
        <v>26.41</v>
      </c>
      <c r="AX681" s="5">
        <v>360</v>
      </c>
      <c r="AY681" s="5">
        <v>22.98</v>
      </c>
      <c r="AZ681" s="5" t="s">
        <v>75</v>
      </c>
      <c r="BA681" s="5">
        <v>3.43</v>
      </c>
      <c r="BB681" s="12" t="s">
        <v>76</v>
      </c>
      <c r="BC681" s="5">
        <v>4.57</v>
      </c>
      <c r="BD681" s="5">
        <v>71</v>
      </c>
      <c r="BE681" s="5">
        <v>0.65</v>
      </c>
      <c r="BF681" s="5">
        <v>2.16</v>
      </c>
      <c r="BG681" s="15">
        <v>36.5</v>
      </c>
      <c r="BH681" s="5">
        <v>96</v>
      </c>
      <c r="BI681" s="5" t="s">
        <v>76</v>
      </c>
      <c r="BJ681" s="5">
        <v>22</v>
      </c>
      <c r="BK681" s="5">
        <v>164</v>
      </c>
      <c r="BL681" s="5">
        <v>76</v>
      </c>
      <c r="BM681" s="5">
        <v>46</v>
      </c>
      <c r="BN681" s="5">
        <v>154</v>
      </c>
      <c r="BO681" s="5">
        <f t="shared" si="10"/>
        <v>19.3961882273571</v>
      </c>
      <c r="BP681" s="5" t="s">
        <v>415</v>
      </c>
      <c r="BQ681" s="5" t="s">
        <v>76</v>
      </c>
      <c r="BR681" s="5">
        <v>4392</v>
      </c>
    </row>
    <row r="682" s="1" customFormat="1" spans="1:70">
      <c r="A682" s="1">
        <v>3489747</v>
      </c>
      <c r="B682" s="1" t="s">
        <v>1775</v>
      </c>
      <c r="D682" s="4">
        <v>45252</v>
      </c>
      <c r="E682" s="4">
        <v>45276</v>
      </c>
      <c r="F682" s="7">
        <v>19073</v>
      </c>
      <c r="G682" s="1">
        <v>32</v>
      </c>
      <c r="H682" s="1">
        <v>9</v>
      </c>
      <c r="I682" s="1">
        <v>46</v>
      </c>
      <c r="J682" s="1">
        <v>9</v>
      </c>
      <c r="K682" s="1">
        <v>30</v>
      </c>
      <c r="L682" s="1">
        <v>15</v>
      </c>
      <c r="M682" s="1">
        <v>0.57</v>
      </c>
      <c r="O682" s="7">
        <v>19073</v>
      </c>
      <c r="P682" s="4">
        <v>45252</v>
      </c>
      <c r="Q682" s="4">
        <v>45276</v>
      </c>
      <c r="R682" s="1" t="s">
        <v>73</v>
      </c>
      <c r="AO682" s="7">
        <v>19073</v>
      </c>
      <c r="AP682" s="5">
        <v>9.4</v>
      </c>
      <c r="AQ682" s="5">
        <v>95</v>
      </c>
      <c r="AR682" s="5">
        <v>42.4</v>
      </c>
      <c r="AS682" s="5">
        <v>89.8</v>
      </c>
      <c r="AT682" s="5">
        <v>94</v>
      </c>
      <c r="AU682" s="5">
        <v>89</v>
      </c>
      <c r="AV682" s="5">
        <v>37.4</v>
      </c>
      <c r="AW682" s="5">
        <v>9.85</v>
      </c>
      <c r="AX682" s="5">
        <v>86</v>
      </c>
      <c r="AY682" s="5" t="s">
        <v>125</v>
      </c>
      <c r="AZ682" s="5">
        <v>9.9</v>
      </c>
      <c r="BA682" s="5">
        <v>3.42</v>
      </c>
      <c r="BB682" s="12" t="s">
        <v>76</v>
      </c>
      <c r="BC682" s="5">
        <v>4.57</v>
      </c>
      <c r="BD682" s="5">
        <v>95</v>
      </c>
      <c r="BE682" s="5">
        <v>0.86</v>
      </c>
      <c r="BF682" s="5">
        <v>1.88</v>
      </c>
      <c r="BG682" s="5" t="s">
        <v>76</v>
      </c>
      <c r="BH682" s="5" t="s">
        <v>76</v>
      </c>
      <c r="BI682" s="5" t="s">
        <v>76</v>
      </c>
      <c r="BJ682" s="5" t="s">
        <v>76</v>
      </c>
      <c r="BK682" s="5" t="s">
        <v>76</v>
      </c>
      <c r="BL682" s="5" t="s">
        <v>76</v>
      </c>
      <c r="BM682" s="5" t="s">
        <v>76</v>
      </c>
      <c r="BN682" s="5" t="s">
        <v>76</v>
      </c>
      <c r="BO682" s="5" t="e">
        <f t="shared" si="10"/>
        <v>#VALUE!</v>
      </c>
      <c r="BP682" s="5" t="s">
        <v>323</v>
      </c>
      <c r="BQ682" s="5">
        <v>6.1</v>
      </c>
      <c r="BR682" s="5">
        <v>969</v>
      </c>
    </row>
    <row r="683" s="1" customFormat="1" spans="1:70">
      <c r="A683" s="1">
        <v>3513442</v>
      </c>
      <c r="B683" s="1" t="s">
        <v>1776</v>
      </c>
      <c r="D683" s="4">
        <v>45285</v>
      </c>
      <c r="E683" s="4">
        <v>45288</v>
      </c>
      <c r="F683" s="7">
        <v>19081</v>
      </c>
      <c r="G683" s="1">
        <v>34</v>
      </c>
      <c r="H683" s="1">
        <v>10</v>
      </c>
      <c r="I683" s="1">
        <v>54</v>
      </c>
      <c r="J683" s="1">
        <v>10</v>
      </c>
      <c r="K683" s="1">
        <v>56</v>
      </c>
      <c r="L683" s="1">
        <v>29</v>
      </c>
      <c r="M683" s="1">
        <v>0.78</v>
      </c>
      <c r="N683" s="1">
        <v>12.5</v>
      </c>
      <c r="O683" s="7">
        <v>19081</v>
      </c>
      <c r="P683" s="4">
        <v>45285</v>
      </c>
      <c r="Q683" s="4">
        <v>45288</v>
      </c>
      <c r="R683" s="1" t="s">
        <v>80</v>
      </c>
      <c r="AO683" s="7">
        <v>19081</v>
      </c>
      <c r="AP683" s="5">
        <v>7.1</v>
      </c>
      <c r="AQ683" s="5">
        <v>138</v>
      </c>
      <c r="AR683" s="5">
        <v>41.5</v>
      </c>
      <c r="AS683" s="5">
        <v>47.5</v>
      </c>
      <c r="AT683" s="5">
        <v>565</v>
      </c>
      <c r="AU683" s="5">
        <v>79</v>
      </c>
      <c r="AV683" s="5">
        <v>43.5</v>
      </c>
      <c r="AW683" s="5">
        <v>4.54</v>
      </c>
      <c r="AX683" s="5">
        <v>48</v>
      </c>
      <c r="AY683" s="5" t="s">
        <v>125</v>
      </c>
      <c r="AZ683" s="5" t="s">
        <v>75</v>
      </c>
      <c r="BA683" s="5" t="s">
        <v>76</v>
      </c>
      <c r="BB683" s="12" t="s">
        <v>76</v>
      </c>
      <c r="BC683" s="5">
        <v>3.95</v>
      </c>
      <c r="BD683" s="5">
        <v>138</v>
      </c>
      <c r="BE683" s="5" t="s">
        <v>76</v>
      </c>
      <c r="BF683" s="5" t="s">
        <v>76</v>
      </c>
      <c r="BG683" s="15">
        <v>37.6</v>
      </c>
      <c r="BH683" s="5">
        <v>106</v>
      </c>
      <c r="BI683" s="5">
        <v>106</v>
      </c>
      <c r="BJ683" s="5">
        <v>20</v>
      </c>
      <c r="BK683" s="5">
        <v>165</v>
      </c>
      <c r="BL683" s="5">
        <v>100</v>
      </c>
      <c r="BM683" s="5">
        <v>85</v>
      </c>
      <c r="BN683" s="5">
        <v>170</v>
      </c>
      <c r="BO683" s="5">
        <f t="shared" si="10"/>
        <v>29.4117647058824</v>
      </c>
      <c r="BP683" s="5" t="s">
        <v>323</v>
      </c>
      <c r="BQ683" s="5" t="s">
        <v>76</v>
      </c>
      <c r="BR683" s="5">
        <v>1504</v>
      </c>
    </row>
    <row r="684" s="1" customFormat="1" spans="1:70">
      <c r="A684" s="1">
        <v>3289610</v>
      </c>
      <c r="B684" s="1" t="s">
        <v>1777</v>
      </c>
      <c r="D684" s="4">
        <v>44977</v>
      </c>
      <c r="E684" s="4">
        <v>45008</v>
      </c>
      <c r="F684" s="7">
        <v>19085</v>
      </c>
      <c r="G684" s="1">
        <v>31</v>
      </c>
      <c r="H684" s="1">
        <v>9</v>
      </c>
      <c r="I684" s="1">
        <v>48</v>
      </c>
      <c r="J684" s="1">
        <v>9</v>
      </c>
      <c r="K684" s="1">
        <v>55</v>
      </c>
      <c r="L684" s="1">
        <v>29</v>
      </c>
      <c r="M684" s="1">
        <v>0.86</v>
      </c>
      <c r="N684" s="1">
        <v>11.2</v>
      </c>
      <c r="O684" s="7">
        <v>19085</v>
      </c>
      <c r="P684" s="4">
        <v>44977</v>
      </c>
      <c r="Q684" s="4">
        <v>45008</v>
      </c>
      <c r="R684" s="1" t="s">
        <v>80</v>
      </c>
      <c r="AO684" s="7">
        <v>19085</v>
      </c>
      <c r="AP684" s="5">
        <v>9.9</v>
      </c>
      <c r="AQ684" s="5">
        <v>97</v>
      </c>
      <c r="AR684" s="5">
        <v>58</v>
      </c>
      <c r="AS684" s="5">
        <v>75.4</v>
      </c>
      <c r="AT684" s="5">
        <v>35</v>
      </c>
      <c r="AU684" s="5">
        <v>9</v>
      </c>
      <c r="AV684" s="5">
        <v>34.3</v>
      </c>
      <c r="AW684" s="5">
        <v>8.52</v>
      </c>
      <c r="AX684" s="5">
        <v>47</v>
      </c>
      <c r="AY684" s="5" t="s">
        <v>125</v>
      </c>
      <c r="AZ684" s="5" t="s">
        <v>75</v>
      </c>
      <c r="BA684" s="5">
        <v>3.05</v>
      </c>
      <c r="BB684" s="12" t="s">
        <v>76</v>
      </c>
      <c r="BC684" s="5">
        <v>4.38</v>
      </c>
      <c r="BD684" s="5">
        <v>97</v>
      </c>
      <c r="BE684" s="5">
        <v>1.28</v>
      </c>
      <c r="BF684" s="5">
        <v>1.33</v>
      </c>
      <c r="BG684" s="15">
        <v>36.4</v>
      </c>
      <c r="BH684" s="5">
        <v>79</v>
      </c>
      <c r="BI684" s="5">
        <v>79</v>
      </c>
      <c r="BJ684" s="5">
        <v>18</v>
      </c>
      <c r="BK684" s="5">
        <v>152</v>
      </c>
      <c r="BL684" s="5">
        <v>78</v>
      </c>
      <c r="BM684" s="5" t="s">
        <v>77</v>
      </c>
      <c r="BN684" s="5" t="s">
        <v>77</v>
      </c>
      <c r="BO684" s="5" t="e">
        <f t="shared" si="10"/>
        <v>#VALUE!</v>
      </c>
      <c r="BP684" s="5" t="s">
        <v>109</v>
      </c>
      <c r="BQ684" s="5">
        <v>4.8</v>
      </c>
      <c r="BR684" s="5">
        <v>930</v>
      </c>
    </row>
    <row r="685" s="1" customFormat="1" spans="1:70">
      <c r="A685" s="1">
        <v>3259358</v>
      </c>
      <c r="B685" s="1" t="s">
        <v>1778</v>
      </c>
      <c r="C685" s="1">
        <v>1</v>
      </c>
      <c r="D685" s="4">
        <v>44927</v>
      </c>
      <c r="E685" s="4">
        <v>44944</v>
      </c>
      <c r="F685" s="7">
        <v>19104</v>
      </c>
      <c r="G685" s="1">
        <v>29</v>
      </c>
      <c r="H685" s="1">
        <v>8</v>
      </c>
      <c r="I685" s="1">
        <v>35</v>
      </c>
      <c r="J685" s="1">
        <v>8</v>
      </c>
      <c r="K685" s="1">
        <v>61</v>
      </c>
      <c r="L685" s="1">
        <v>33</v>
      </c>
      <c r="M685" s="9">
        <v>0.8</v>
      </c>
      <c r="N685" s="1">
        <v>8.2</v>
      </c>
      <c r="O685" s="7">
        <v>19104</v>
      </c>
      <c r="P685" s="4">
        <v>44927</v>
      </c>
      <c r="Q685" s="4">
        <v>44944</v>
      </c>
      <c r="R685" s="1" t="s">
        <v>80</v>
      </c>
      <c r="AO685" s="7">
        <v>19104</v>
      </c>
      <c r="AP685" s="5">
        <v>8.6</v>
      </c>
      <c r="AQ685" s="5">
        <v>143</v>
      </c>
      <c r="AR685" s="5">
        <v>42.4</v>
      </c>
      <c r="AS685" s="5">
        <v>4.4</v>
      </c>
      <c r="AT685" s="5">
        <v>26</v>
      </c>
      <c r="AU685" s="5">
        <v>9</v>
      </c>
      <c r="AV685" s="5">
        <v>37.6</v>
      </c>
      <c r="AW685" s="5">
        <v>7.2</v>
      </c>
      <c r="AX685" s="5">
        <v>42</v>
      </c>
      <c r="AY685" s="5" t="s">
        <v>125</v>
      </c>
      <c r="AZ685" s="5">
        <v>8.07</v>
      </c>
      <c r="BA685" s="5">
        <v>4.24</v>
      </c>
      <c r="BB685" s="12" t="s">
        <v>76</v>
      </c>
      <c r="BC685" s="5">
        <v>4.83</v>
      </c>
      <c r="BD685" s="5">
        <v>143</v>
      </c>
      <c r="BE685" s="5">
        <v>1.57</v>
      </c>
      <c r="BF685" s="5">
        <v>1.92</v>
      </c>
      <c r="BG685" s="15">
        <v>37</v>
      </c>
      <c r="BH685" s="5">
        <v>107</v>
      </c>
      <c r="BI685" s="5">
        <v>107</v>
      </c>
      <c r="BJ685" s="5">
        <v>16</v>
      </c>
      <c r="BK685" s="5">
        <v>121</v>
      </c>
      <c r="BL685" s="5">
        <v>77</v>
      </c>
      <c r="BM685" s="5">
        <v>45</v>
      </c>
      <c r="BN685" s="5">
        <v>170</v>
      </c>
      <c r="BO685" s="5">
        <f t="shared" si="10"/>
        <v>15.5709342560554</v>
      </c>
      <c r="BP685" s="5" t="s">
        <v>164</v>
      </c>
      <c r="BQ685" s="5" t="s">
        <v>76</v>
      </c>
      <c r="BR685" s="5">
        <v>5227</v>
      </c>
    </row>
    <row r="686" s="1" customFormat="1" spans="1:70">
      <c r="A686" s="1">
        <v>3498150</v>
      </c>
      <c r="B686" s="1" t="s">
        <v>1779</v>
      </c>
      <c r="D686" s="4">
        <v>45264</v>
      </c>
      <c r="E686" s="4">
        <v>45274</v>
      </c>
      <c r="F686" s="7">
        <v>19119</v>
      </c>
      <c r="G686" s="1">
        <v>39</v>
      </c>
      <c r="H686" s="1">
        <v>9</v>
      </c>
      <c r="I686" s="1">
        <v>47</v>
      </c>
      <c r="J686" s="1">
        <v>9</v>
      </c>
      <c r="K686" s="1">
        <v>52</v>
      </c>
      <c r="L686" s="1">
        <v>27</v>
      </c>
      <c r="M686" s="1">
        <v>0.74</v>
      </c>
      <c r="N686" s="1">
        <v>11.8</v>
      </c>
      <c r="O686" s="7">
        <v>19119</v>
      </c>
      <c r="P686" s="4">
        <v>45264</v>
      </c>
      <c r="Q686" s="4">
        <v>45274</v>
      </c>
      <c r="R686" s="1" t="s">
        <v>80</v>
      </c>
      <c r="AO686" s="7">
        <v>19119</v>
      </c>
      <c r="AP686" s="5">
        <v>8.9</v>
      </c>
      <c r="AQ686" s="5">
        <v>129</v>
      </c>
      <c r="AR686" s="5">
        <v>40.3</v>
      </c>
      <c r="AS686" s="5">
        <v>95.7</v>
      </c>
      <c r="AT686" s="5">
        <v>77</v>
      </c>
      <c r="AU686" s="5">
        <v>70</v>
      </c>
      <c r="AV686" s="5">
        <v>34.4</v>
      </c>
      <c r="AW686" s="5">
        <v>8.84</v>
      </c>
      <c r="AX686" s="5">
        <v>96</v>
      </c>
      <c r="AY686" s="5">
        <v>71.19</v>
      </c>
      <c r="AZ686" s="5" t="s">
        <v>75</v>
      </c>
      <c r="BA686" s="5">
        <v>3.49</v>
      </c>
      <c r="BB686" s="12" t="s">
        <v>76</v>
      </c>
      <c r="BC686" s="5">
        <v>4.93</v>
      </c>
      <c r="BD686" s="5">
        <v>129</v>
      </c>
      <c r="BE686" s="5">
        <v>0.54</v>
      </c>
      <c r="BF686" s="5">
        <v>2.12</v>
      </c>
      <c r="BG686" s="15">
        <v>36.6</v>
      </c>
      <c r="BH686" s="5">
        <v>105</v>
      </c>
      <c r="BI686" s="5">
        <v>105</v>
      </c>
      <c r="BJ686" s="5">
        <v>18</v>
      </c>
      <c r="BK686" s="5">
        <v>138</v>
      </c>
      <c r="BL686" s="5">
        <v>79</v>
      </c>
      <c r="BM686" s="5">
        <v>75</v>
      </c>
      <c r="BN686" s="5">
        <v>172</v>
      </c>
      <c r="BO686" s="5">
        <f t="shared" si="10"/>
        <v>25.3515413737155</v>
      </c>
      <c r="BP686" s="5" t="s">
        <v>323</v>
      </c>
      <c r="BQ686" s="5">
        <v>7.6</v>
      </c>
      <c r="BR686" s="5">
        <v>977.46</v>
      </c>
    </row>
    <row r="687" s="1" customFormat="1" spans="1:70">
      <c r="A687" s="1" t="s">
        <v>1780</v>
      </c>
      <c r="B687" s="1" t="s">
        <v>1781</v>
      </c>
      <c r="D687" s="4">
        <v>44927</v>
      </c>
      <c r="E687" s="4">
        <v>44966</v>
      </c>
      <c r="F687" s="7">
        <v>19119</v>
      </c>
      <c r="G687" s="1">
        <v>56</v>
      </c>
      <c r="H687" s="1">
        <v>10</v>
      </c>
      <c r="I687" s="1">
        <v>42</v>
      </c>
      <c r="J687" s="1">
        <v>10</v>
      </c>
      <c r="K687" s="1">
        <v>57</v>
      </c>
      <c r="L687" s="1">
        <v>30</v>
      </c>
      <c r="O687" s="7">
        <v>19119</v>
      </c>
      <c r="P687" s="4">
        <v>44927</v>
      </c>
      <c r="Q687" s="4">
        <v>44966</v>
      </c>
      <c r="R687" s="1" t="s">
        <v>80</v>
      </c>
      <c r="AO687" s="7">
        <v>19119</v>
      </c>
      <c r="AP687" s="5" t="s">
        <v>1782</v>
      </c>
      <c r="AQ687" s="5" t="s">
        <v>533</v>
      </c>
      <c r="AR687" s="5" t="s">
        <v>1783</v>
      </c>
      <c r="AS687" s="5" t="s">
        <v>1784</v>
      </c>
      <c r="AT687" s="5" t="s">
        <v>347</v>
      </c>
      <c r="AU687" s="5" t="s">
        <v>92</v>
      </c>
      <c r="AV687" s="5" t="s">
        <v>474</v>
      </c>
      <c r="AW687" s="5" t="s">
        <v>1785</v>
      </c>
      <c r="AX687" s="5" t="s">
        <v>483</v>
      </c>
      <c r="AY687" s="5" t="s">
        <v>125</v>
      </c>
      <c r="AZ687" s="5" t="s">
        <v>75</v>
      </c>
      <c r="BA687" s="5" t="s">
        <v>1786</v>
      </c>
      <c r="BB687" s="12" t="s">
        <v>76</v>
      </c>
      <c r="BC687" s="5" t="s">
        <v>1787</v>
      </c>
      <c r="BD687" s="5" t="s">
        <v>533</v>
      </c>
      <c r="BE687" s="5" t="s">
        <v>1788</v>
      </c>
      <c r="BF687" s="5" t="s">
        <v>1789</v>
      </c>
      <c r="BG687" s="15">
        <v>36.8</v>
      </c>
      <c r="BH687" s="5" t="s">
        <v>207</v>
      </c>
      <c r="BI687" s="5" t="s">
        <v>207</v>
      </c>
      <c r="BJ687" s="5" t="s">
        <v>101</v>
      </c>
      <c r="BK687" s="5" t="s">
        <v>467</v>
      </c>
      <c r="BL687" s="5" t="s">
        <v>192</v>
      </c>
      <c r="BM687" s="5" t="s">
        <v>215</v>
      </c>
      <c r="BN687" s="5">
        <v>170</v>
      </c>
      <c r="BO687" s="5">
        <f t="shared" si="10"/>
        <v>20.7612456747405</v>
      </c>
      <c r="BP687" s="5" t="s">
        <v>1790</v>
      </c>
      <c r="BQ687" s="5" t="s">
        <v>76</v>
      </c>
      <c r="BR687" s="5">
        <v>3979</v>
      </c>
    </row>
    <row r="688" s="1" customFormat="1" spans="1:70">
      <c r="A688" s="1">
        <v>3491288</v>
      </c>
      <c r="B688" s="1" t="s">
        <v>1791</v>
      </c>
      <c r="D688" s="4">
        <v>45254</v>
      </c>
      <c r="E688" s="4">
        <v>45266</v>
      </c>
      <c r="F688" s="7">
        <v>19123</v>
      </c>
      <c r="G688" s="1">
        <v>41</v>
      </c>
      <c r="H688" s="1">
        <v>9</v>
      </c>
      <c r="I688" s="1">
        <v>51</v>
      </c>
      <c r="J688" s="1">
        <v>9</v>
      </c>
      <c r="K688" s="1">
        <v>35</v>
      </c>
      <c r="M688" s="1">
        <v>0.67</v>
      </c>
      <c r="O688" s="7">
        <v>19123</v>
      </c>
      <c r="P688" s="4">
        <v>45254</v>
      </c>
      <c r="Q688" s="4">
        <v>45266</v>
      </c>
      <c r="R688" s="1" t="s">
        <v>80</v>
      </c>
      <c r="AO688" s="7">
        <v>19123</v>
      </c>
      <c r="AP688" s="5">
        <v>29.6</v>
      </c>
      <c r="AQ688" s="5">
        <v>98</v>
      </c>
      <c r="AR688" s="5">
        <v>44.2</v>
      </c>
      <c r="AS688" s="5">
        <v>93.1</v>
      </c>
      <c r="AT688" s="5">
        <v>75</v>
      </c>
      <c r="AU688" s="5">
        <v>65</v>
      </c>
      <c r="AV688" s="5">
        <v>37.3</v>
      </c>
      <c r="AW688" s="5">
        <v>9.58</v>
      </c>
      <c r="AX688" s="5">
        <v>61</v>
      </c>
      <c r="AY688" s="5" t="s">
        <v>125</v>
      </c>
      <c r="AZ688" s="5" t="s">
        <v>75</v>
      </c>
      <c r="BA688" s="5" t="s">
        <v>76</v>
      </c>
      <c r="BB688" s="12" t="s">
        <v>76</v>
      </c>
      <c r="BC688" s="5">
        <v>4.54</v>
      </c>
      <c r="BD688" s="5">
        <v>98</v>
      </c>
      <c r="BE688" s="5" t="s">
        <v>76</v>
      </c>
      <c r="BF688" s="5" t="s">
        <v>76</v>
      </c>
      <c r="BG688" s="5" t="s">
        <v>76</v>
      </c>
      <c r="BH688" s="5" t="s">
        <v>76</v>
      </c>
      <c r="BI688" s="5" t="s">
        <v>76</v>
      </c>
      <c r="BJ688" s="5" t="s">
        <v>76</v>
      </c>
      <c r="BK688" s="5" t="s">
        <v>76</v>
      </c>
      <c r="BL688" s="5" t="s">
        <v>76</v>
      </c>
      <c r="BM688" s="5" t="s">
        <v>76</v>
      </c>
      <c r="BN688" s="5" t="s">
        <v>76</v>
      </c>
      <c r="BO688" s="5" t="e">
        <f t="shared" si="10"/>
        <v>#VALUE!</v>
      </c>
      <c r="BP688" s="5" t="s">
        <v>168</v>
      </c>
      <c r="BQ688" s="5" t="s">
        <v>76</v>
      </c>
      <c r="BR688" s="5">
        <v>4627</v>
      </c>
    </row>
    <row r="689" s="1" customFormat="1" spans="1:70">
      <c r="A689" s="1">
        <v>3256843</v>
      </c>
      <c r="B689" s="1" t="s">
        <v>1792</v>
      </c>
      <c r="D689" s="4">
        <v>44922</v>
      </c>
      <c r="E689" s="4">
        <v>44936</v>
      </c>
      <c r="F689" s="7">
        <v>19127</v>
      </c>
      <c r="G689" s="1">
        <v>36</v>
      </c>
      <c r="H689" s="1">
        <v>9</v>
      </c>
      <c r="I689" s="1">
        <v>51</v>
      </c>
      <c r="J689" s="1">
        <v>9</v>
      </c>
      <c r="K689" s="1">
        <v>62</v>
      </c>
      <c r="L689" s="1">
        <v>33</v>
      </c>
      <c r="M689" s="1">
        <v>0.8</v>
      </c>
      <c r="N689" s="1">
        <v>12</v>
      </c>
      <c r="O689" s="7">
        <v>19127</v>
      </c>
      <c r="P689" s="4">
        <v>44922</v>
      </c>
      <c r="Q689" s="4">
        <v>44936</v>
      </c>
      <c r="R689" s="1" t="s">
        <v>80</v>
      </c>
      <c r="S689" s="1">
        <v>70</v>
      </c>
      <c r="T689" s="1" t="s">
        <v>1793</v>
      </c>
      <c r="V689" s="1">
        <v>1</v>
      </c>
      <c r="AA689" s="1">
        <v>1</v>
      </c>
      <c r="AG689" s="1">
        <v>1</v>
      </c>
      <c r="AH689" s="1">
        <v>1</v>
      </c>
      <c r="AI689" s="1">
        <v>1</v>
      </c>
      <c r="AN689" s="1">
        <v>1</v>
      </c>
      <c r="AO689" s="7">
        <v>19127</v>
      </c>
      <c r="AP689" s="5">
        <v>7.2</v>
      </c>
      <c r="AQ689" s="5">
        <v>142</v>
      </c>
      <c r="AR689" s="5">
        <v>45</v>
      </c>
      <c r="AS689" s="5">
        <v>4.9</v>
      </c>
      <c r="AT689" s="5">
        <v>50</v>
      </c>
      <c r="AU689" s="5">
        <v>8</v>
      </c>
      <c r="AV689" s="5">
        <v>26.4</v>
      </c>
      <c r="AW689" s="5">
        <v>7.21</v>
      </c>
      <c r="AX689" s="5">
        <v>80</v>
      </c>
      <c r="AY689" s="5">
        <v>88.12</v>
      </c>
      <c r="AZ689" s="5" t="s">
        <v>75</v>
      </c>
      <c r="BA689" s="5">
        <v>5.27</v>
      </c>
      <c r="BB689" s="12" t="s">
        <v>76</v>
      </c>
      <c r="BC689" s="5">
        <v>4.02</v>
      </c>
      <c r="BD689" s="5">
        <v>142</v>
      </c>
      <c r="BE689" s="5">
        <v>0.99</v>
      </c>
      <c r="BF689" s="5">
        <v>3.67</v>
      </c>
      <c r="BG689" s="15">
        <v>36.2</v>
      </c>
      <c r="BH689" s="5">
        <v>108</v>
      </c>
      <c r="BI689" s="5" t="s">
        <v>76</v>
      </c>
      <c r="BJ689" s="5">
        <v>16</v>
      </c>
      <c r="BK689" s="5">
        <v>210</v>
      </c>
      <c r="BL689" s="5">
        <v>135</v>
      </c>
      <c r="BM689" s="5">
        <v>55</v>
      </c>
      <c r="BN689" s="5">
        <v>170</v>
      </c>
      <c r="BO689" s="5">
        <f t="shared" si="10"/>
        <v>19.0311418685121</v>
      </c>
      <c r="BP689" s="5" t="s">
        <v>144</v>
      </c>
      <c r="BQ689" s="5" t="s">
        <v>76</v>
      </c>
      <c r="BR689" s="5">
        <v>4314</v>
      </c>
    </row>
    <row r="690" s="1" customFormat="1" spans="1:70">
      <c r="A690" s="1">
        <v>3328206</v>
      </c>
      <c r="B690" s="1" t="s">
        <v>1794</v>
      </c>
      <c r="D690" s="4">
        <v>45029</v>
      </c>
      <c r="E690" s="4">
        <v>45037</v>
      </c>
      <c r="F690" s="7">
        <v>19128</v>
      </c>
      <c r="G690" s="1">
        <v>29</v>
      </c>
      <c r="H690" s="1">
        <v>10</v>
      </c>
      <c r="I690" s="1">
        <v>45</v>
      </c>
      <c r="J690" s="1">
        <v>10</v>
      </c>
      <c r="K690" s="1">
        <v>53</v>
      </c>
      <c r="L690" s="1">
        <v>27</v>
      </c>
      <c r="M690" s="1">
        <v>0.76</v>
      </c>
      <c r="N690" s="1">
        <v>9.1</v>
      </c>
      <c r="O690" s="7">
        <v>19128</v>
      </c>
      <c r="P690" s="4">
        <v>45029</v>
      </c>
      <c r="Q690" s="4">
        <v>45037</v>
      </c>
      <c r="R690" s="1" t="s">
        <v>73</v>
      </c>
      <c r="AO690" s="7">
        <v>19128</v>
      </c>
      <c r="AP690" s="5">
        <v>9.8</v>
      </c>
      <c r="AQ690" s="5">
        <v>99</v>
      </c>
      <c r="AR690" s="5">
        <v>33.1</v>
      </c>
      <c r="AS690" s="5">
        <v>44.1</v>
      </c>
      <c r="AT690" s="5">
        <v>87</v>
      </c>
      <c r="AU690" s="5">
        <v>9</v>
      </c>
      <c r="AV690" s="5">
        <v>44.6</v>
      </c>
      <c r="AW690" s="5">
        <v>9.78</v>
      </c>
      <c r="AX690" s="5">
        <v>97</v>
      </c>
      <c r="AY690" s="5">
        <v>52.35</v>
      </c>
      <c r="AZ690" s="5" t="s">
        <v>75</v>
      </c>
      <c r="BA690" s="5">
        <v>5.06</v>
      </c>
      <c r="BB690" s="12" t="s">
        <v>76</v>
      </c>
      <c r="BC690" s="5">
        <v>4.76</v>
      </c>
      <c r="BD690" s="5">
        <v>99</v>
      </c>
      <c r="BE690" s="5">
        <v>0.72</v>
      </c>
      <c r="BF690" s="5">
        <v>2.84</v>
      </c>
      <c r="BG690" s="15">
        <v>36.5</v>
      </c>
      <c r="BH690" s="5">
        <v>82</v>
      </c>
      <c r="BI690" s="5">
        <v>82</v>
      </c>
      <c r="BJ690" s="5">
        <v>18</v>
      </c>
      <c r="BK690" s="5">
        <v>104</v>
      </c>
      <c r="BL690" s="5">
        <v>56</v>
      </c>
      <c r="BM690" s="5">
        <v>72</v>
      </c>
      <c r="BN690" s="5">
        <v>158</v>
      </c>
      <c r="BO690" s="5">
        <f t="shared" si="10"/>
        <v>28.8415318058003</v>
      </c>
      <c r="BP690" s="5" t="s">
        <v>323</v>
      </c>
      <c r="BQ690" s="5">
        <v>6.9</v>
      </c>
      <c r="BR690" s="5">
        <v>3589</v>
      </c>
    </row>
    <row r="691" s="1" customFormat="1" spans="1:70">
      <c r="A691" s="1">
        <v>3494122</v>
      </c>
      <c r="B691" s="1" t="s">
        <v>1795</v>
      </c>
      <c r="D691" s="4">
        <v>45258</v>
      </c>
      <c r="E691" s="4">
        <v>45279</v>
      </c>
      <c r="F691" s="7">
        <v>19144</v>
      </c>
      <c r="G691" s="1">
        <v>43</v>
      </c>
      <c r="H691" s="1">
        <v>9</v>
      </c>
      <c r="I691" s="1">
        <v>58</v>
      </c>
      <c r="J691" s="1">
        <v>9</v>
      </c>
      <c r="K691" s="1">
        <v>42</v>
      </c>
      <c r="L691" s="1">
        <v>21</v>
      </c>
      <c r="M691" s="1">
        <v>1.32</v>
      </c>
      <c r="O691" s="7">
        <v>19144</v>
      </c>
      <c r="P691" s="4">
        <v>45258</v>
      </c>
      <c r="Q691" s="4">
        <v>45279</v>
      </c>
      <c r="R691" s="1" t="s">
        <v>80</v>
      </c>
      <c r="AO691" s="7">
        <v>19144</v>
      </c>
      <c r="AP691" s="5">
        <v>9.5</v>
      </c>
      <c r="AQ691" s="5">
        <v>96</v>
      </c>
      <c r="AR691" s="5">
        <v>44.1</v>
      </c>
      <c r="AS691" s="5">
        <v>99</v>
      </c>
      <c r="AT691" s="5">
        <v>95</v>
      </c>
      <c r="AU691" s="5">
        <v>89</v>
      </c>
      <c r="AV691" s="5">
        <v>28.7</v>
      </c>
      <c r="AW691" s="5">
        <v>8.09</v>
      </c>
      <c r="AX691" s="5">
        <v>98</v>
      </c>
      <c r="AY691" s="5">
        <v>74.78</v>
      </c>
      <c r="AZ691" s="5">
        <v>9.9</v>
      </c>
      <c r="BA691" s="5">
        <v>1.59</v>
      </c>
      <c r="BB691" s="12" t="s">
        <v>76</v>
      </c>
      <c r="BC691" s="5">
        <v>4.52</v>
      </c>
      <c r="BD691" s="5">
        <v>96</v>
      </c>
      <c r="BE691" s="5" t="s">
        <v>76</v>
      </c>
      <c r="BF691" s="5" t="s">
        <v>76</v>
      </c>
      <c r="BG691" s="5" t="s">
        <v>76</v>
      </c>
      <c r="BH691" s="5" t="s">
        <v>76</v>
      </c>
      <c r="BI691" s="5" t="s">
        <v>76</v>
      </c>
      <c r="BJ691" s="5" t="s">
        <v>76</v>
      </c>
      <c r="BK691" s="5" t="s">
        <v>76</v>
      </c>
      <c r="BL691" s="5" t="s">
        <v>76</v>
      </c>
      <c r="BM691" s="5" t="s">
        <v>76</v>
      </c>
      <c r="BN691" s="5" t="s">
        <v>76</v>
      </c>
      <c r="BO691" s="5" t="e">
        <f t="shared" si="10"/>
        <v>#VALUE!</v>
      </c>
      <c r="BP691" s="5" t="s">
        <v>117</v>
      </c>
      <c r="BQ691" s="5" t="s">
        <v>76</v>
      </c>
      <c r="BR691" s="5">
        <v>9028</v>
      </c>
    </row>
    <row r="692" s="1" customFormat="1" spans="1:70">
      <c r="A692" s="1">
        <v>3248271</v>
      </c>
      <c r="B692" s="1" t="s">
        <v>1796</v>
      </c>
      <c r="D692" s="4">
        <v>44897</v>
      </c>
      <c r="E692" s="4">
        <v>44902</v>
      </c>
      <c r="F692" s="7">
        <v>19156</v>
      </c>
      <c r="G692" s="1">
        <v>45</v>
      </c>
      <c r="H692" s="1">
        <v>8</v>
      </c>
      <c r="I692" s="1">
        <v>49</v>
      </c>
      <c r="J692" s="1">
        <v>8</v>
      </c>
      <c r="K692" s="1">
        <v>66</v>
      </c>
      <c r="L692" s="1">
        <v>36</v>
      </c>
      <c r="M692" s="1">
        <v>2.39</v>
      </c>
      <c r="N692" s="1">
        <v>18.3</v>
      </c>
      <c r="O692" s="7">
        <v>19156</v>
      </c>
      <c r="P692" s="4">
        <v>44897</v>
      </c>
      <c r="Q692" s="4">
        <v>44902</v>
      </c>
      <c r="R692" s="1" t="s">
        <v>73</v>
      </c>
      <c r="S692" s="1">
        <v>70</v>
      </c>
      <c r="T692" s="1">
        <v>13645213323</v>
      </c>
      <c r="V692" s="1">
        <v>1</v>
      </c>
      <c r="X692" s="1">
        <v>1</v>
      </c>
      <c r="AC692" s="1">
        <v>1</v>
      </c>
      <c r="AG692" s="1">
        <v>1</v>
      </c>
      <c r="AH692" s="1">
        <v>1</v>
      </c>
      <c r="AI692" s="1">
        <v>1</v>
      </c>
      <c r="AO692" s="7">
        <v>19156</v>
      </c>
      <c r="AP692" s="5">
        <v>5</v>
      </c>
      <c r="AQ692" s="5">
        <v>135</v>
      </c>
      <c r="AR692" s="5">
        <v>40.9</v>
      </c>
      <c r="AS692" s="5" t="s">
        <v>81</v>
      </c>
      <c r="AT692" s="5">
        <v>9</v>
      </c>
      <c r="AU692" s="5">
        <v>10</v>
      </c>
      <c r="AV692" s="5">
        <v>40.4</v>
      </c>
      <c r="AW692" s="5">
        <v>5.27</v>
      </c>
      <c r="AX692" s="5">
        <v>38</v>
      </c>
      <c r="AY692" s="5" t="s">
        <v>125</v>
      </c>
      <c r="AZ692" s="5" t="s">
        <v>375</v>
      </c>
      <c r="BA692" s="5">
        <v>3.67</v>
      </c>
      <c r="BB692" s="12" t="s">
        <v>76</v>
      </c>
      <c r="BC692" s="5">
        <v>3.99</v>
      </c>
      <c r="BD692" s="5">
        <v>135</v>
      </c>
      <c r="BE692" s="5">
        <v>0.83</v>
      </c>
      <c r="BF692" s="5">
        <v>2.01</v>
      </c>
      <c r="BG692" s="15">
        <v>36.2</v>
      </c>
      <c r="BH692" s="5">
        <v>66</v>
      </c>
      <c r="BI692" s="5">
        <v>78</v>
      </c>
      <c r="BJ692" s="5">
        <v>18</v>
      </c>
      <c r="BK692" s="5">
        <v>145</v>
      </c>
      <c r="BL692" s="5">
        <v>95</v>
      </c>
      <c r="BM692" s="5">
        <v>61</v>
      </c>
      <c r="BN692" s="5">
        <v>152</v>
      </c>
      <c r="BO692" s="5">
        <f t="shared" si="10"/>
        <v>26.4023545706371</v>
      </c>
      <c r="BP692" s="5" t="s">
        <v>144</v>
      </c>
      <c r="BQ692" s="5">
        <v>11.7</v>
      </c>
      <c r="BR692" s="5">
        <v>972</v>
      </c>
    </row>
    <row r="693" s="1" customFormat="1" spans="1:70">
      <c r="A693" s="1">
        <v>3268446</v>
      </c>
      <c r="B693" s="1" t="s">
        <v>1797</v>
      </c>
      <c r="D693" s="4">
        <v>44944</v>
      </c>
      <c r="E693" s="4">
        <v>44955</v>
      </c>
      <c r="F693" s="7">
        <v>19160</v>
      </c>
      <c r="G693" s="1">
        <v>43</v>
      </c>
      <c r="H693" s="1">
        <v>9</v>
      </c>
      <c r="I693" s="1">
        <v>49</v>
      </c>
      <c r="J693" s="1">
        <v>9</v>
      </c>
      <c r="K693" s="1">
        <v>39</v>
      </c>
      <c r="L693" s="1">
        <v>19</v>
      </c>
      <c r="M693" s="1">
        <v>0.93</v>
      </c>
      <c r="N693" s="1">
        <v>9.9</v>
      </c>
      <c r="O693" s="7">
        <v>19160</v>
      </c>
      <c r="P693" s="4">
        <v>44944</v>
      </c>
      <c r="Q693" s="4">
        <v>44955</v>
      </c>
      <c r="R693" s="1" t="s">
        <v>80</v>
      </c>
      <c r="AO693" s="7">
        <v>19160</v>
      </c>
      <c r="AP693" s="5">
        <v>9.8</v>
      </c>
      <c r="AQ693" s="5">
        <v>144</v>
      </c>
      <c r="AR693" s="5">
        <v>44.5</v>
      </c>
      <c r="AS693" s="5" t="s">
        <v>881</v>
      </c>
      <c r="AT693" s="5">
        <v>89</v>
      </c>
      <c r="AU693" s="5">
        <v>88</v>
      </c>
      <c r="AV693" s="5">
        <v>36.9</v>
      </c>
      <c r="AW693" s="5">
        <v>5</v>
      </c>
      <c r="AX693" s="5">
        <v>82</v>
      </c>
      <c r="AY693" s="5" t="s">
        <v>125</v>
      </c>
      <c r="AZ693" s="5" t="s">
        <v>75</v>
      </c>
      <c r="BA693" s="5">
        <v>3.93</v>
      </c>
      <c r="BB693" s="12" t="s">
        <v>76</v>
      </c>
      <c r="BC693" s="5">
        <v>4.46</v>
      </c>
      <c r="BD693" s="5">
        <v>144</v>
      </c>
      <c r="BE693" s="5">
        <v>1.39</v>
      </c>
      <c r="BF693" s="5">
        <v>2.18</v>
      </c>
      <c r="BG693" s="15">
        <v>37.5</v>
      </c>
      <c r="BH693" s="5">
        <v>90</v>
      </c>
      <c r="BI693" s="5">
        <v>90</v>
      </c>
      <c r="BJ693" s="5">
        <v>18</v>
      </c>
      <c r="BK693" s="5">
        <v>99</v>
      </c>
      <c r="BL693" s="5">
        <v>70</v>
      </c>
      <c r="BM693" s="5">
        <v>80</v>
      </c>
      <c r="BN693" s="5">
        <v>170</v>
      </c>
      <c r="BO693" s="5">
        <f t="shared" si="10"/>
        <v>27.681660899654</v>
      </c>
      <c r="BP693" s="5" t="s">
        <v>323</v>
      </c>
      <c r="BQ693" s="5">
        <v>6.1</v>
      </c>
      <c r="BR693" s="5">
        <v>6126</v>
      </c>
    </row>
    <row r="694" s="1" customFormat="1" spans="1:70">
      <c r="A694" s="1">
        <v>3492255</v>
      </c>
      <c r="B694" s="1" t="s">
        <v>1798</v>
      </c>
      <c r="D694" s="4">
        <v>45257</v>
      </c>
      <c r="E694" s="4">
        <v>45282</v>
      </c>
      <c r="F694" s="7">
        <v>19160</v>
      </c>
      <c r="G694" s="1">
        <v>44</v>
      </c>
      <c r="H694" s="1">
        <v>10</v>
      </c>
      <c r="I694" s="1">
        <v>50</v>
      </c>
      <c r="J694" s="1">
        <v>10</v>
      </c>
      <c r="K694" s="1">
        <v>47</v>
      </c>
      <c r="L694" s="1">
        <v>24</v>
      </c>
      <c r="N694" s="1">
        <v>14.9</v>
      </c>
      <c r="O694" s="7">
        <v>19160</v>
      </c>
      <c r="P694" s="4">
        <v>45257</v>
      </c>
      <c r="Q694" s="4">
        <v>45282</v>
      </c>
      <c r="R694" s="1" t="s">
        <v>73</v>
      </c>
      <c r="AO694" s="7">
        <v>19160</v>
      </c>
      <c r="AP694" s="5">
        <v>9.4</v>
      </c>
      <c r="AQ694" s="5">
        <v>96</v>
      </c>
      <c r="AR694" s="5">
        <v>50</v>
      </c>
      <c r="AS694" s="5" t="s">
        <v>374</v>
      </c>
      <c r="AT694" s="5">
        <v>81</v>
      </c>
      <c r="AU694" s="5">
        <v>54</v>
      </c>
      <c r="AV694" s="5">
        <v>44.7</v>
      </c>
      <c r="AW694" s="5">
        <v>9.53</v>
      </c>
      <c r="AX694" s="5">
        <v>96</v>
      </c>
      <c r="AY694" s="5">
        <v>94.49</v>
      </c>
      <c r="AZ694" s="5" t="s">
        <v>75</v>
      </c>
      <c r="BA694" s="5" t="s">
        <v>76</v>
      </c>
      <c r="BB694" s="12" t="s">
        <v>76</v>
      </c>
      <c r="BC694" s="5">
        <v>4.76</v>
      </c>
      <c r="BD694" s="5">
        <v>96</v>
      </c>
      <c r="BE694" s="5" t="s">
        <v>76</v>
      </c>
      <c r="BF694" s="5" t="s">
        <v>76</v>
      </c>
      <c r="BG694" s="15">
        <v>36.5</v>
      </c>
      <c r="BH694" s="5">
        <v>80</v>
      </c>
      <c r="BI694" s="5">
        <v>84</v>
      </c>
      <c r="BJ694" s="5">
        <v>14</v>
      </c>
      <c r="BK694" s="5">
        <v>140</v>
      </c>
      <c r="BL694" s="5">
        <v>90</v>
      </c>
      <c r="BM694" s="5">
        <v>69</v>
      </c>
      <c r="BN694" s="5">
        <v>158</v>
      </c>
      <c r="BO694" s="5">
        <f t="shared" si="10"/>
        <v>27.639801313892</v>
      </c>
      <c r="BP694" s="5" t="s">
        <v>1450</v>
      </c>
      <c r="BQ694" s="5">
        <v>5.5</v>
      </c>
      <c r="BR694" s="5">
        <v>977</v>
      </c>
    </row>
    <row r="695" s="1" customFormat="1" spans="1:70">
      <c r="A695" s="1">
        <v>3328350</v>
      </c>
      <c r="B695" s="1" t="s">
        <v>1799</v>
      </c>
      <c r="D695" s="4">
        <v>45029</v>
      </c>
      <c r="E695" s="4">
        <v>45037</v>
      </c>
      <c r="F695" s="7">
        <v>19164</v>
      </c>
      <c r="G695" s="1">
        <v>39</v>
      </c>
      <c r="H695" s="1">
        <v>9</v>
      </c>
      <c r="I695" s="1">
        <v>43</v>
      </c>
      <c r="J695" s="1">
        <v>9</v>
      </c>
      <c r="K695" s="1">
        <v>58</v>
      </c>
      <c r="L695" s="1">
        <v>30</v>
      </c>
      <c r="M695" s="1">
        <v>0.77</v>
      </c>
      <c r="N695" s="1">
        <v>11.8</v>
      </c>
      <c r="O695" s="7">
        <v>19164</v>
      </c>
      <c r="P695" s="4">
        <v>45029</v>
      </c>
      <c r="Q695" s="4">
        <v>45037</v>
      </c>
      <c r="R695" s="1" t="s">
        <v>73</v>
      </c>
      <c r="S695" s="1">
        <v>70</v>
      </c>
      <c r="T695" s="1" t="s">
        <v>1800</v>
      </c>
      <c r="V695" s="1">
        <v>1</v>
      </c>
      <c r="Y695" s="1">
        <v>1</v>
      </c>
      <c r="AC695" s="1">
        <v>1</v>
      </c>
      <c r="AI695" s="1">
        <v>1</v>
      </c>
      <c r="AM695" s="1">
        <v>1</v>
      </c>
      <c r="AO695" s="7">
        <v>19164</v>
      </c>
      <c r="AP695" s="5">
        <v>32.7</v>
      </c>
      <c r="AQ695" s="5" t="s">
        <v>76</v>
      </c>
      <c r="AR695" s="5" t="s">
        <v>76</v>
      </c>
      <c r="AS695" s="5" t="s">
        <v>76</v>
      </c>
      <c r="AT695" s="5">
        <v>31</v>
      </c>
      <c r="AU695" s="5">
        <v>86</v>
      </c>
      <c r="AV695" s="5">
        <v>46.8</v>
      </c>
      <c r="AW695" s="5">
        <v>9.04</v>
      </c>
      <c r="AX695" s="5">
        <v>73</v>
      </c>
      <c r="AY695" s="5">
        <v>80.23</v>
      </c>
      <c r="AZ695" s="5" t="s">
        <v>75</v>
      </c>
      <c r="BA695" s="5">
        <v>4.47</v>
      </c>
      <c r="BB695" s="12" t="s">
        <v>76</v>
      </c>
      <c r="BC695" s="5">
        <v>4.88</v>
      </c>
      <c r="BD695" s="5" t="s">
        <v>76</v>
      </c>
      <c r="BE695" s="5">
        <v>1.17</v>
      </c>
      <c r="BF695" s="5">
        <v>2.26</v>
      </c>
      <c r="BG695" s="15">
        <v>36.3</v>
      </c>
      <c r="BH695" s="5">
        <v>90</v>
      </c>
      <c r="BI695" s="5">
        <v>112</v>
      </c>
      <c r="BJ695" s="5">
        <v>18</v>
      </c>
      <c r="BK695" s="5">
        <v>130</v>
      </c>
      <c r="BL695" s="5">
        <v>71</v>
      </c>
      <c r="BM695" s="5">
        <v>68</v>
      </c>
      <c r="BN695" s="5">
        <v>162</v>
      </c>
      <c r="BO695" s="5">
        <f t="shared" si="10"/>
        <v>25.9106843468983</v>
      </c>
      <c r="BP695" s="5" t="s">
        <v>78</v>
      </c>
      <c r="BQ695" s="5">
        <v>5.5</v>
      </c>
      <c r="BR695" s="5">
        <v>4644</v>
      </c>
    </row>
    <row r="696" s="1" customFormat="1" spans="1:70">
      <c r="A696" s="1">
        <v>3314197</v>
      </c>
      <c r="B696" s="1" t="s">
        <v>1801</v>
      </c>
      <c r="C696" s="1" t="s">
        <v>273</v>
      </c>
      <c r="D696" s="4">
        <v>45009</v>
      </c>
      <c r="E696" s="4">
        <v>45024</v>
      </c>
      <c r="F696" s="7">
        <v>19165</v>
      </c>
      <c r="G696" s="1">
        <v>48</v>
      </c>
      <c r="H696" s="1">
        <v>8</v>
      </c>
      <c r="I696" s="1">
        <v>44</v>
      </c>
      <c r="J696" s="1">
        <v>8</v>
      </c>
      <c r="K696" s="1">
        <v>51</v>
      </c>
      <c r="L696" s="1">
        <v>26</v>
      </c>
      <c r="N696" s="1">
        <v>8.3</v>
      </c>
      <c r="O696" s="7">
        <v>19165</v>
      </c>
      <c r="P696" s="4">
        <v>45009</v>
      </c>
      <c r="Q696" s="4">
        <v>45024</v>
      </c>
      <c r="R696" s="1" t="s">
        <v>73</v>
      </c>
      <c r="AO696" s="7">
        <v>19165</v>
      </c>
      <c r="AP696" s="5">
        <v>9.2</v>
      </c>
      <c r="AQ696" s="5">
        <v>144</v>
      </c>
      <c r="AR696" s="5">
        <v>44.5</v>
      </c>
      <c r="AS696" s="5">
        <v>5.7</v>
      </c>
      <c r="AT696" s="5">
        <v>52</v>
      </c>
      <c r="AU696" s="5">
        <v>38</v>
      </c>
      <c r="AV696" s="5">
        <v>38.3</v>
      </c>
      <c r="AW696" s="5">
        <v>5.26</v>
      </c>
      <c r="AX696" s="5">
        <v>52</v>
      </c>
      <c r="AY696" s="5" t="s">
        <v>125</v>
      </c>
      <c r="AZ696" s="5">
        <v>7.28</v>
      </c>
      <c r="BA696" s="5">
        <v>3.37</v>
      </c>
      <c r="BB696" s="12" t="s">
        <v>76</v>
      </c>
      <c r="BC696" s="5">
        <v>4.71</v>
      </c>
      <c r="BD696" s="5">
        <v>144</v>
      </c>
      <c r="BE696" s="5">
        <v>0.84</v>
      </c>
      <c r="BF696" s="5">
        <v>1.96</v>
      </c>
      <c r="BG696" s="15">
        <v>36.1</v>
      </c>
      <c r="BH696" s="5">
        <v>80</v>
      </c>
      <c r="BI696" s="5">
        <v>98</v>
      </c>
      <c r="BJ696" s="5">
        <v>18</v>
      </c>
      <c r="BK696" s="5">
        <v>98</v>
      </c>
      <c r="BL696" s="5">
        <v>74</v>
      </c>
      <c r="BM696" s="5">
        <v>44</v>
      </c>
      <c r="BN696" s="5">
        <v>160</v>
      </c>
      <c r="BO696" s="5">
        <f t="shared" si="10"/>
        <v>17.1875</v>
      </c>
      <c r="BP696" s="5" t="s">
        <v>83</v>
      </c>
      <c r="BQ696" s="5">
        <v>5.6</v>
      </c>
      <c r="BR696" s="5">
        <v>8811</v>
      </c>
    </row>
    <row r="697" s="1" customFormat="1" spans="1:70">
      <c r="A697" s="1">
        <v>3311685</v>
      </c>
      <c r="B697" s="1" t="s">
        <v>1802</v>
      </c>
      <c r="D697" s="4">
        <v>45006</v>
      </c>
      <c r="E697" s="4">
        <v>45013</v>
      </c>
      <c r="F697" s="7">
        <v>19182</v>
      </c>
      <c r="G697" s="1">
        <v>50</v>
      </c>
      <c r="H697" s="1">
        <v>9</v>
      </c>
      <c r="I697" s="1">
        <v>69</v>
      </c>
      <c r="J697" s="1">
        <v>9</v>
      </c>
      <c r="K697" s="1">
        <v>39</v>
      </c>
      <c r="L697" s="1">
        <v>18</v>
      </c>
      <c r="M697" s="1">
        <v>1.56</v>
      </c>
      <c r="N697" s="1">
        <v>26.3</v>
      </c>
      <c r="O697" s="7">
        <v>19182</v>
      </c>
      <c r="P697" s="4">
        <v>45006</v>
      </c>
      <c r="Q697" s="4">
        <v>45013</v>
      </c>
      <c r="R697" s="1" t="s">
        <v>80</v>
      </c>
      <c r="AO697" s="7">
        <v>19182</v>
      </c>
      <c r="AP697" s="5">
        <v>5.6</v>
      </c>
      <c r="AQ697" s="5">
        <v>114</v>
      </c>
      <c r="AR697" s="5">
        <v>34.2</v>
      </c>
      <c r="AS697" s="5" t="s">
        <v>76</v>
      </c>
      <c r="AT697" s="5">
        <v>19</v>
      </c>
      <c r="AU697" s="5">
        <v>11</v>
      </c>
      <c r="AV697" s="5">
        <v>43.5</v>
      </c>
      <c r="AW697" s="5">
        <v>5.62</v>
      </c>
      <c r="AX697" s="5">
        <v>54</v>
      </c>
      <c r="AY697" s="5" t="s">
        <v>125</v>
      </c>
      <c r="AZ697" s="5" t="s">
        <v>75</v>
      </c>
      <c r="BA697" s="5">
        <v>3.34</v>
      </c>
      <c r="BB697" s="12" t="s">
        <v>76</v>
      </c>
      <c r="BC697" s="5">
        <v>4.37</v>
      </c>
      <c r="BD697" s="5">
        <v>114</v>
      </c>
      <c r="BE697" s="5">
        <v>1.35</v>
      </c>
      <c r="BF697" s="5">
        <v>1.51</v>
      </c>
      <c r="BG697" s="15">
        <v>36.5</v>
      </c>
      <c r="BH697" s="5">
        <v>68</v>
      </c>
      <c r="BI697" s="5">
        <v>68</v>
      </c>
      <c r="BJ697" s="5">
        <v>17</v>
      </c>
      <c r="BK697" s="5">
        <v>143</v>
      </c>
      <c r="BL697" s="5">
        <v>75</v>
      </c>
      <c r="BM697" s="5">
        <v>75</v>
      </c>
      <c r="BN697" s="5">
        <v>165</v>
      </c>
      <c r="BO697" s="5">
        <f t="shared" si="10"/>
        <v>27.5482093663912</v>
      </c>
      <c r="BP697" s="5" t="s">
        <v>121</v>
      </c>
      <c r="BQ697" s="5" t="s">
        <v>76</v>
      </c>
      <c r="BR697" s="5">
        <v>3303</v>
      </c>
    </row>
    <row r="698" s="1" customFormat="1" spans="1:70">
      <c r="A698" s="1">
        <v>3253618</v>
      </c>
      <c r="B698" s="1" t="s">
        <v>1803</v>
      </c>
      <c r="C698" s="1" t="s">
        <v>273</v>
      </c>
      <c r="D698" s="4">
        <v>44909</v>
      </c>
      <c r="E698" s="4">
        <v>44910</v>
      </c>
      <c r="F698" s="7">
        <v>19183</v>
      </c>
      <c r="G698" s="1">
        <v>41</v>
      </c>
      <c r="H698" s="1">
        <v>8</v>
      </c>
      <c r="I698" s="1">
        <v>66</v>
      </c>
      <c r="J698" s="1">
        <v>8</v>
      </c>
      <c r="K698" s="1">
        <v>32</v>
      </c>
      <c r="L698" s="1">
        <v>16</v>
      </c>
      <c r="M698" s="1">
        <v>0.66</v>
      </c>
      <c r="N698" s="1">
        <v>6.9</v>
      </c>
      <c r="O698" s="7">
        <v>19183</v>
      </c>
      <c r="P698" s="4">
        <v>44909</v>
      </c>
      <c r="Q698" s="4">
        <v>44910</v>
      </c>
      <c r="R698" s="1" t="s">
        <v>73</v>
      </c>
      <c r="AO698" s="7">
        <v>19183</v>
      </c>
      <c r="AP698" s="5">
        <v>23.1</v>
      </c>
      <c r="AQ698" s="5">
        <v>133</v>
      </c>
      <c r="AR698" s="5">
        <v>42.2</v>
      </c>
      <c r="AS698" s="5" t="s">
        <v>76</v>
      </c>
      <c r="AT698" s="5">
        <v>59</v>
      </c>
      <c r="AU698" s="5">
        <v>50</v>
      </c>
      <c r="AV698" s="5">
        <v>45</v>
      </c>
      <c r="AW698" s="5">
        <v>7.12</v>
      </c>
      <c r="AX698" s="5">
        <v>57</v>
      </c>
      <c r="AY698" s="5">
        <v>96.68</v>
      </c>
      <c r="AZ698" s="5">
        <v>9.4</v>
      </c>
      <c r="BA698" s="5" t="s">
        <v>76</v>
      </c>
      <c r="BB698" s="12" t="s">
        <v>76</v>
      </c>
      <c r="BC698" s="5" t="s">
        <v>76</v>
      </c>
      <c r="BD698" s="5">
        <v>133</v>
      </c>
      <c r="BE698" s="5" t="s">
        <v>76</v>
      </c>
      <c r="BF698" s="5" t="s">
        <v>76</v>
      </c>
      <c r="BG698" s="15">
        <v>36.8</v>
      </c>
      <c r="BH698" s="5" t="s">
        <v>76</v>
      </c>
      <c r="BI698" s="5">
        <v>85</v>
      </c>
      <c r="BJ698" s="5">
        <v>35</v>
      </c>
      <c r="BK698" s="5">
        <v>124</v>
      </c>
      <c r="BL698" s="5">
        <v>62</v>
      </c>
      <c r="BM698" s="5">
        <v>48</v>
      </c>
      <c r="BN698" s="5">
        <v>164</v>
      </c>
      <c r="BO698" s="5">
        <f t="shared" si="10"/>
        <v>17.8465199286139</v>
      </c>
      <c r="BP698" s="5" t="s">
        <v>85</v>
      </c>
      <c r="BQ698" s="5" t="s">
        <v>76</v>
      </c>
      <c r="BR698" s="5">
        <v>9378</v>
      </c>
    </row>
    <row r="699" s="1" customFormat="1" spans="1:70">
      <c r="A699" s="1">
        <v>3501026</v>
      </c>
      <c r="B699" s="1" t="s">
        <v>1804</v>
      </c>
      <c r="C699" s="1" t="s">
        <v>273</v>
      </c>
      <c r="D699" s="4">
        <v>45267</v>
      </c>
      <c r="E699" s="4">
        <v>45272</v>
      </c>
      <c r="F699" s="7">
        <v>19209</v>
      </c>
      <c r="G699" s="1">
        <v>50</v>
      </c>
      <c r="H699" s="1">
        <v>8</v>
      </c>
      <c r="I699" s="1">
        <v>58</v>
      </c>
      <c r="J699" s="1">
        <v>8</v>
      </c>
      <c r="K699" s="1">
        <v>59</v>
      </c>
      <c r="L699" s="1">
        <v>32</v>
      </c>
      <c r="O699" s="7">
        <v>19209</v>
      </c>
      <c r="P699" s="4">
        <v>45267</v>
      </c>
      <c r="Q699" s="4">
        <v>45272</v>
      </c>
      <c r="R699" s="1" t="s">
        <v>73</v>
      </c>
      <c r="AO699" s="7">
        <v>19209</v>
      </c>
      <c r="AP699" s="5">
        <v>5.9</v>
      </c>
      <c r="AQ699" s="5">
        <v>136</v>
      </c>
      <c r="AR699" s="5" t="s">
        <v>1805</v>
      </c>
      <c r="AS699" s="5">
        <v>9.5</v>
      </c>
      <c r="AT699" s="5">
        <v>24</v>
      </c>
      <c r="AU699" s="5">
        <v>8</v>
      </c>
      <c r="AV699" s="5">
        <v>39.4</v>
      </c>
      <c r="AW699" s="5">
        <v>3.78</v>
      </c>
      <c r="AX699" s="5">
        <v>50</v>
      </c>
      <c r="AY699" s="5" t="s">
        <v>125</v>
      </c>
      <c r="AZ699" s="5" t="s">
        <v>75</v>
      </c>
      <c r="BA699" s="5">
        <v>3.98</v>
      </c>
      <c r="BB699" s="12" t="s">
        <v>76</v>
      </c>
      <c r="BC699" s="5">
        <v>3.71</v>
      </c>
      <c r="BD699" s="5">
        <v>136</v>
      </c>
      <c r="BE699" s="5">
        <v>1.18</v>
      </c>
      <c r="BF699" s="5">
        <v>2.22</v>
      </c>
      <c r="BG699" s="5" t="s">
        <v>76</v>
      </c>
      <c r="BH699" s="5" t="s">
        <v>76</v>
      </c>
      <c r="BI699" s="5" t="s">
        <v>76</v>
      </c>
      <c r="BJ699" s="5" t="s">
        <v>76</v>
      </c>
      <c r="BK699" s="5" t="s">
        <v>76</v>
      </c>
      <c r="BL699" s="5" t="s">
        <v>76</v>
      </c>
      <c r="BM699" s="5" t="s">
        <v>76</v>
      </c>
      <c r="BN699" s="5" t="s">
        <v>76</v>
      </c>
      <c r="BO699" s="5" t="e">
        <f t="shared" si="10"/>
        <v>#VALUE!</v>
      </c>
      <c r="BP699" s="5" t="s">
        <v>174</v>
      </c>
      <c r="BQ699" s="5">
        <v>5.8</v>
      </c>
      <c r="BR699" s="5">
        <v>2357</v>
      </c>
    </row>
    <row r="700" s="1" customFormat="1" spans="1:70">
      <c r="A700" s="1">
        <v>3291043</v>
      </c>
      <c r="B700" s="1" t="s">
        <v>1806</v>
      </c>
      <c r="D700" s="4">
        <v>44978</v>
      </c>
      <c r="E700" s="4">
        <v>44999</v>
      </c>
      <c r="F700" s="7">
        <v>19211</v>
      </c>
      <c r="G700" s="1">
        <v>43</v>
      </c>
      <c r="H700" s="1">
        <v>9</v>
      </c>
      <c r="I700" s="1">
        <v>48</v>
      </c>
      <c r="J700" s="1">
        <v>9</v>
      </c>
      <c r="K700" s="1">
        <v>43</v>
      </c>
      <c r="M700" s="1">
        <v>2.28</v>
      </c>
      <c r="N700" s="1">
        <v>1402</v>
      </c>
      <c r="O700" s="7">
        <v>19211</v>
      </c>
      <c r="P700" s="4">
        <v>44978</v>
      </c>
      <c r="Q700" s="4">
        <v>44999</v>
      </c>
      <c r="R700" s="1" t="s">
        <v>73</v>
      </c>
      <c r="AO700" s="7">
        <v>19211</v>
      </c>
      <c r="AP700" s="5">
        <v>7.4</v>
      </c>
      <c r="AQ700" s="5">
        <v>99</v>
      </c>
      <c r="AR700" s="5">
        <v>33</v>
      </c>
      <c r="AS700" s="5">
        <v>83.3</v>
      </c>
      <c r="AT700" s="5">
        <v>8</v>
      </c>
      <c r="AU700" s="5">
        <v>9</v>
      </c>
      <c r="AV700" s="5">
        <v>33.5</v>
      </c>
      <c r="AW700" s="5">
        <v>6.3</v>
      </c>
      <c r="AX700" s="5">
        <v>95</v>
      </c>
      <c r="AY700" s="5">
        <v>117.89</v>
      </c>
      <c r="AZ700" s="5" t="s">
        <v>75</v>
      </c>
      <c r="BA700" s="5">
        <v>5.75</v>
      </c>
      <c r="BB700" s="12" t="s">
        <v>76</v>
      </c>
      <c r="BC700" s="5">
        <v>4.89</v>
      </c>
      <c r="BD700" s="5">
        <v>99</v>
      </c>
      <c r="BE700" s="5">
        <v>0.97</v>
      </c>
      <c r="BF700" s="5">
        <v>2.36</v>
      </c>
      <c r="BG700" s="15">
        <v>39</v>
      </c>
      <c r="BH700" s="5">
        <v>110</v>
      </c>
      <c r="BI700" s="5" t="s">
        <v>76</v>
      </c>
      <c r="BJ700" s="5">
        <v>18</v>
      </c>
      <c r="BK700" s="5">
        <v>159</v>
      </c>
      <c r="BL700" s="5">
        <v>75</v>
      </c>
      <c r="BM700" s="5">
        <v>51</v>
      </c>
      <c r="BN700" s="5">
        <v>160</v>
      </c>
      <c r="BO700" s="5">
        <f t="shared" si="10"/>
        <v>19.921875</v>
      </c>
      <c r="BP700" s="5" t="s">
        <v>164</v>
      </c>
      <c r="BQ700" s="5" t="s">
        <v>76</v>
      </c>
      <c r="BR700" s="5" t="s">
        <v>118</v>
      </c>
    </row>
    <row r="701" s="1" customFormat="1" spans="1:70">
      <c r="A701" s="1">
        <v>3311922</v>
      </c>
      <c r="B701" s="1" t="s">
        <v>1806</v>
      </c>
      <c r="C701" s="1" t="s">
        <v>273</v>
      </c>
      <c r="D701" s="4">
        <v>45006</v>
      </c>
      <c r="E701" s="4">
        <v>45026</v>
      </c>
      <c r="F701" s="7">
        <v>19211</v>
      </c>
      <c r="G701" s="1">
        <v>38</v>
      </c>
      <c r="H701" s="1">
        <v>10</v>
      </c>
      <c r="I701" s="1">
        <v>47</v>
      </c>
      <c r="J701" s="1">
        <v>10</v>
      </c>
      <c r="K701" s="1">
        <v>47</v>
      </c>
      <c r="L701" s="1">
        <v>23</v>
      </c>
      <c r="M701" s="1">
        <v>0.54</v>
      </c>
      <c r="O701" s="7">
        <v>19211</v>
      </c>
      <c r="P701" s="4">
        <v>45006</v>
      </c>
      <c r="Q701" s="4">
        <v>45026</v>
      </c>
      <c r="R701" s="1" t="s">
        <v>73</v>
      </c>
      <c r="AO701" s="7">
        <v>19211</v>
      </c>
      <c r="AP701" s="5">
        <v>8.4</v>
      </c>
      <c r="AQ701" s="5">
        <v>88</v>
      </c>
      <c r="AR701" s="5">
        <v>32.2</v>
      </c>
      <c r="AS701" s="5" t="s">
        <v>881</v>
      </c>
      <c r="AT701" s="5">
        <v>9</v>
      </c>
      <c r="AU701" s="5" t="s">
        <v>171</v>
      </c>
      <c r="AV701" s="5">
        <v>36.5</v>
      </c>
      <c r="AW701" s="5">
        <v>7.97</v>
      </c>
      <c r="AX701" s="5">
        <v>73</v>
      </c>
      <c r="AY701" s="5">
        <v>83.08</v>
      </c>
      <c r="AZ701" s="5" t="s">
        <v>75</v>
      </c>
      <c r="BA701" s="5">
        <v>5.13</v>
      </c>
      <c r="BB701" s="12" t="s">
        <v>76</v>
      </c>
      <c r="BC701" s="5">
        <v>4.5</v>
      </c>
      <c r="BD701" s="5">
        <v>88</v>
      </c>
      <c r="BE701" s="5">
        <v>1.1</v>
      </c>
      <c r="BF701" s="5">
        <v>2.93</v>
      </c>
      <c r="BG701" s="15">
        <v>36.5</v>
      </c>
      <c r="BH701" s="5">
        <v>110</v>
      </c>
      <c r="BI701" s="5">
        <v>110</v>
      </c>
      <c r="BJ701" s="5">
        <v>22</v>
      </c>
      <c r="BK701" s="5">
        <v>151</v>
      </c>
      <c r="BL701" s="5">
        <v>88</v>
      </c>
      <c r="BM701" s="5">
        <v>60</v>
      </c>
      <c r="BN701" s="5">
        <v>162</v>
      </c>
      <c r="BO701" s="5">
        <f t="shared" si="10"/>
        <v>22.8623685413809</v>
      </c>
      <c r="BP701" s="5" t="s">
        <v>271</v>
      </c>
      <c r="BQ701" s="5" t="s">
        <v>76</v>
      </c>
      <c r="BR701" s="5" t="s">
        <v>118</v>
      </c>
    </row>
    <row r="702" s="1" customFormat="1" spans="1:70">
      <c r="A702" s="1">
        <v>3318333</v>
      </c>
      <c r="B702" s="1" t="s">
        <v>1807</v>
      </c>
      <c r="D702" s="4">
        <v>45015</v>
      </c>
      <c r="E702" s="4">
        <v>45031</v>
      </c>
      <c r="F702" s="7">
        <v>19219</v>
      </c>
      <c r="G702" s="1">
        <v>35</v>
      </c>
      <c r="H702" s="1">
        <v>9</v>
      </c>
      <c r="I702" s="1">
        <v>47</v>
      </c>
      <c r="J702" s="1">
        <v>9</v>
      </c>
      <c r="K702" s="1">
        <v>60</v>
      </c>
      <c r="L702" s="1">
        <v>32</v>
      </c>
      <c r="M702" s="1">
        <v>0.7</v>
      </c>
      <c r="O702" s="7">
        <v>19219</v>
      </c>
      <c r="P702" s="4">
        <v>45015</v>
      </c>
      <c r="Q702" s="4">
        <v>45031</v>
      </c>
      <c r="R702" s="1" t="s">
        <v>80</v>
      </c>
      <c r="AO702" s="7">
        <v>19219</v>
      </c>
      <c r="AP702" s="5">
        <v>9.8</v>
      </c>
      <c r="AQ702" s="5">
        <v>91</v>
      </c>
      <c r="AR702" s="5">
        <v>36.2</v>
      </c>
      <c r="AS702" s="5">
        <v>95.6</v>
      </c>
      <c r="AT702" s="5">
        <v>82</v>
      </c>
      <c r="AU702" s="5">
        <v>88</v>
      </c>
      <c r="AV702" s="5">
        <v>35.7</v>
      </c>
      <c r="AW702" s="5">
        <v>9.56</v>
      </c>
      <c r="AX702" s="5">
        <v>94</v>
      </c>
      <c r="AY702" s="5" t="s">
        <v>125</v>
      </c>
      <c r="AZ702" s="5" t="s">
        <v>75</v>
      </c>
      <c r="BA702" s="5" t="s">
        <v>76</v>
      </c>
      <c r="BB702" s="12" t="s">
        <v>76</v>
      </c>
      <c r="BC702" s="5">
        <v>5.23</v>
      </c>
      <c r="BD702" s="5">
        <v>91</v>
      </c>
      <c r="BE702" s="5" t="s">
        <v>76</v>
      </c>
      <c r="BF702" s="5" t="s">
        <v>76</v>
      </c>
      <c r="BG702" s="15">
        <v>36.8</v>
      </c>
      <c r="BH702" s="5">
        <v>70</v>
      </c>
      <c r="BI702" s="5">
        <v>71</v>
      </c>
      <c r="BJ702" s="5">
        <v>16</v>
      </c>
      <c r="BK702" s="5">
        <v>113</v>
      </c>
      <c r="BL702" s="5">
        <v>76</v>
      </c>
      <c r="BM702" s="5" t="s">
        <v>274</v>
      </c>
      <c r="BN702" s="5" t="s">
        <v>274</v>
      </c>
      <c r="BO702" s="5" t="e">
        <f t="shared" si="10"/>
        <v>#VALUE!</v>
      </c>
      <c r="BP702" s="5" t="s">
        <v>117</v>
      </c>
      <c r="BQ702" s="5">
        <v>6.3</v>
      </c>
      <c r="BR702" s="5">
        <v>959</v>
      </c>
    </row>
    <row r="703" s="1" customFormat="1" spans="1:70">
      <c r="A703" s="1">
        <v>3305975</v>
      </c>
      <c r="B703" s="1" t="s">
        <v>1808</v>
      </c>
      <c r="D703" s="4">
        <v>44998</v>
      </c>
      <c r="E703" s="4">
        <v>45001</v>
      </c>
      <c r="F703" s="7">
        <v>19242</v>
      </c>
      <c r="G703" s="1">
        <v>40</v>
      </c>
      <c r="H703" s="1">
        <v>9</v>
      </c>
      <c r="I703" s="1">
        <v>60</v>
      </c>
      <c r="J703" s="1">
        <v>10</v>
      </c>
      <c r="K703" s="1">
        <v>47</v>
      </c>
      <c r="L703" s="1">
        <v>24</v>
      </c>
      <c r="M703" s="1">
        <v>0.56</v>
      </c>
      <c r="N703" s="1">
        <v>7.9</v>
      </c>
      <c r="O703" s="7">
        <v>19242</v>
      </c>
      <c r="P703" s="4">
        <v>44998</v>
      </c>
      <c r="Q703" s="4">
        <v>45001</v>
      </c>
      <c r="R703" s="1" t="s">
        <v>73</v>
      </c>
      <c r="AO703" s="7">
        <v>19242</v>
      </c>
      <c r="AP703" s="5">
        <v>8</v>
      </c>
      <c r="AQ703" s="5">
        <v>126</v>
      </c>
      <c r="AR703" s="5">
        <v>40.4</v>
      </c>
      <c r="AS703" s="5">
        <v>4.4</v>
      </c>
      <c r="AT703" s="5">
        <v>19</v>
      </c>
      <c r="AU703" s="5">
        <v>8</v>
      </c>
      <c r="AV703" s="5">
        <v>43.2</v>
      </c>
      <c r="AW703" s="5">
        <v>5.98</v>
      </c>
      <c r="AX703" s="5">
        <v>52</v>
      </c>
      <c r="AY703" s="5" t="s">
        <v>125</v>
      </c>
      <c r="AZ703" s="5" t="s">
        <v>75</v>
      </c>
      <c r="BA703" s="5">
        <v>3.12</v>
      </c>
      <c r="BB703" s="12" t="s">
        <v>76</v>
      </c>
      <c r="BC703" s="5">
        <v>4.02</v>
      </c>
      <c r="BD703" s="5">
        <v>126</v>
      </c>
      <c r="BE703" s="5">
        <v>1.18</v>
      </c>
      <c r="BF703" s="5">
        <v>1.48</v>
      </c>
      <c r="BG703" s="15">
        <v>36.5</v>
      </c>
      <c r="BH703" s="5">
        <v>70</v>
      </c>
      <c r="BI703" s="5">
        <v>70</v>
      </c>
      <c r="BJ703" s="5">
        <v>20</v>
      </c>
      <c r="BK703" s="5">
        <v>108</v>
      </c>
      <c r="BL703" s="5">
        <v>72</v>
      </c>
      <c r="BM703" s="5">
        <v>85</v>
      </c>
      <c r="BN703" s="5">
        <v>155</v>
      </c>
      <c r="BO703" s="5">
        <f t="shared" si="10"/>
        <v>35.3798126951093</v>
      </c>
      <c r="BP703" s="5" t="s">
        <v>323</v>
      </c>
      <c r="BQ703" s="5">
        <v>5.9</v>
      </c>
      <c r="BR703" s="5">
        <v>2238</v>
      </c>
    </row>
    <row r="704" s="1" customFormat="1" spans="1:70">
      <c r="A704" s="1">
        <v>3258301</v>
      </c>
      <c r="B704" s="1" t="s">
        <v>1809</v>
      </c>
      <c r="D704" s="4">
        <v>44925</v>
      </c>
      <c r="E704" s="4">
        <v>44933</v>
      </c>
      <c r="F704" s="7">
        <v>19245</v>
      </c>
      <c r="G704" s="1">
        <v>39</v>
      </c>
      <c r="H704" s="1">
        <v>9</v>
      </c>
      <c r="I704" s="1">
        <v>53</v>
      </c>
      <c r="J704" s="1">
        <v>9</v>
      </c>
      <c r="K704" s="1">
        <v>48</v>
      </c>
      <c r="L704" s="1">
        <v>24</v>
      </c>
      <c r="M704" s="1">
        <v>0.88</v>
      </c>
      <c r="N704" s="1">
        <v>18.1</v>
      </c>
      <c r="O704" s="7">
        <v>19245</v>
      </c>
      <c r="P704" s="4">
        <v>44925</v>
      </c>
      <c r="Q704" s="4">
        <v>44933</v>
      </c>
      <c r="R704" s="1" t="s">
        <v>73</v>
      </c>
      <c r="AO704" s="7">
        <v>19245</v>
      </c>
      <c r="AP704" s="5">
        <v>7.7</v>
      </c>
      <c r="AQ704" s="5">
        <v>141</v>
      </c>
      <c r="AR704" s="5">
        <v>42.3</v>
      </c>
      <c r="AS704" s="5">
        <v>8.7</v>
      </c>
      <c r="AT704" s="5">
        <v>94</v>
      </c>
      <c r="AU704" s="5">
        <v>63</v>
      </c>
      <c r="AV704" s="5">
        <v>37.8</v>
      </c>
      <c r="AW704" s="5">
        <v>9.63</v>
      </c>
      <c r="AX704" s="5">
        <v>97</v>
      </c>
      <c r="AY704" s="5">
        <v>60.96</v>
      </c>
      <c r="AZ704" s="5" t="s">
        <v>75</v>
      </c>
      <c r="BA704" s="5">
        <v>3.8</v>
      </c>
      <c r="BB704" s="12" t="s">
        <v>76</v>
      </c>
      <c r="BC704" s="5">
        <v>4.31</v>
      </c>
      <c r="BD704" s="5">
        <v>141</v>
      </c>
      <c r="BE704" s="5">
        <v>0.94</v>
      </c>
      <c r="BF704" s="5">
        <v>2.43</v>
      </c>
      <c r="BG704" s="15">
        <v>36.1</v>
      </c>
      <c r="BH704" s="5">
        <v>66</v>
      </c>
      <c r="BI704" s="5">
        <v>66</v>
      </c>
      <c r="BJ704" s="5">
        <v>20</v>
      </c>
      <c r="BK704" s="5">
        <v>124</v>
      </c>
      <c r="BL704" s="5">
        <v>75</v>
      </c>
      <c r="BM704" s="5">
        <v>68</v>
      </c>
      <c r="BN704" s="5">
        <v>160</v>
      </c>
      <c r="BO704" s="5">
        <f t="shared" si="10"/>
        <v>26.5625</v>
      </c>
      <c r="BP704" s="5" t="s">
        <v>323</v>
      </c>
      <c r="BQ704" s="5">
        <v>6.1</v>
      </c>
      <c r="BR704" s="5">
        <v>948</v>
      </c>
    </row>
    <row r="705" s="1" customFormat="1" spans="1:70">
      <c r="A705" s="1">
        <v>3257359</v>
      </c>
      <c r="B705" s="1" t="s">
        <v>1810</v>
      </c>
      <c r="D705" s="4">
        <v>44923</v>
      </c>
      <c r="E705" s="4">
        <v>44934</v>
      </c>
      <c r="F705" s="7">
        <v>19245</v>
      </c>
      <c r="G705" s="1">
        <v>44</v>
      </c>
      <c r="H705" s="1">
        <v>10</v>
      </c>
      <c r="I705" s="1">
        <v>47</v>
      </c>
      <c r="J705" s="1">
        <v>10</v>
      </c>
      <c r="K705" s="1">
        <v>57</v>
      </c>
      <c r="L705" s="1">
        <v>30</v>
      </c>
      <c r="N705" s="1">
        <v>9.7</v>
      </c>
      <c r="O705" s="7">
        <v>19245</v>
      </c>
      <c r="P705" s="4">
        <v>44923</v>
      </c>
      <c r="Q705" s="4">
        <v>44934</v>
      </c>
      <c r="R705" s="1" t="s">
        <v>73</v>
      </c>
      <c r="AO705" s="7">
        <v>19245</v>
      </c>
      <c r="AP705" s="5">
        <v>7.4</v>
      </c>
      <c r="AQ705" s="5">
        <v>126</v>
      </c>
      <c r="AR705" s="5">
        <v>39.5</v>
      </c>
      <c r="AS705" s="5">
        <v>13.4</v>
      </c>
      <c r="AT705" s="5">
        <v>20</v>
      </c>
      <c r="AU705" s="5">
        <v>12</v>
      </c>
      <c r="AV705" s="5">
        <v>45.1</v>
      </c>
      <c r="AW705" s="5">
        <v>9.13</v>
      </c>
      <c r="AX705" s="5">
        <v>94</v>
      </c>
      <c r="AY705" s="5">
        <v>54.28</v>
      </c>
      <c r="AZ705" s="5">
        <v>7.15</v>
      </c>
      <c r="BA705" s="5">
        <v>3.21</v>
      </c>
      <c r="BB705" s="12" t="s">
        <v>76</v>
      </c>
      <c r="BC705" s="5">
        <v>3.98</v>
      </c>
      <c r="BD705" s="5">
        <v>126</v>
      </c>
      <c r="BE705" s="5">
        <v>0.76</v>
      </c>
      <c r="BF705" s="5">
        <v>1.66</v>
      </c>
      <c r="BG705" s="15">
        <v>36.5</v>
      </c>
      <c r="BH705" s="5">
        <v>75</v>
      </c>
      <c r="BI705" s="5">
        <v>110</v>
      </c>
      <c r="BJ705" s="5">
        <v>21</v>
      </c>
      <c r="BK705" s="5">
        <v>144</v>
      </c>
      <c r="BL705" s="5">
        <v>116</v>
      </c>
      <c r="BM705" s="5">
        <v>65</v>
      </c>
      <c r="BN705" s="5">
        <v>165</v>
      </c>
      <c r="BO705" s="5">
        <f t="shared" si="10"/>
        <v>23.8751147842057</v>
      </c>
      <c r="BP705" s="5" t="s">
        <v>121</v>
      </c>
      <c r="BQ705" s="5">
        <v>8.5</v>
      </c>
      <c r="BR705" s="5">
        <v>1354</v>
      </c>
    </row>
    <row r="706" s="1" customFormat="1" spans="1:70">
      <c r="A706" s="1">
        <v>3317439</v>
      </c>
      <c r="B706" s="1" t="s">
        <v>1811</v>
      </c>
      <c r="D706" s="4">
        <v>45014</v>
      </c>
      <c r="E706" s="4">
        <v>45020</v>
      </c>
      <c r="F706" s="7">
        <v>19252</v>
      </c>
      <c r="G706" s="1">
        <v>32</v>
      </c>
      <c r="H706" s="1">
        <v>8</v>
      </c>
      <c r="I706" s="1">
        <v>40</v>
      </c>
      <c r="J706" s="1">
        <v>8</v>
      </c>
      <c r="K706" s="1">
        <v>60</v>
      </c>
      <c r="L706" s="1">
        <v>32</v>
      </c>
      <c r="M706" s="1">
        <v>0.92</v>
      </c>
      <c r="N706" s="10">
        <v>11</v>
      </c>
      <c r="O706" s="7">
        <v>19252</v>
      </c>
      <c r="P706" s="4">
        <v>45014</v>
      </c>
      <c r="Q706" s="4">
        <v>45020</v>
      </c>
      <c r="R706" s="1" t="s">
        <v>80</v>
      </c>
      <c r="AO706" s="7">
        <v>19252</v>
      </c>
      <c r="AP706" s="5">
        <v>13.2</v>
      </c>
      <c r="AQ706" s="5">
        <v>147</v>
      </c>
      <c r="AR706" s="5">
        <v>44.2</v>
      </c>
      <c r="AS706" s="5">
        <v>77.6</v>
      </c>
      <c r="AT706" s="5">
        <v>31</v>
      </c>
      <c r="AU706" s="5">
        <v>14</v>
      </c>
      <c r="AV706" s="5">
        <v>45.8</v>
      </c>
      <c r="AW706" s="5">
        <v>7.9</v>
      </c>
      <c r="AX706" s="5">
        <v>88</v>
      </c>
      <c r="AY706" s="5">
        <v>78.94</v>
      </c>
      <c r="AZ706" s="5">
        <v>5.55</v>
      </c>
      <c r="BA706" s="5">
        <v>3.74</v>
      </c>
      <c r="BB706" s="12" t="s">
        <v>76</v>
      </c>
      <c r="BC706" s="5">
        <v>4.68</v>
      </c>
      <c r="BD706" s="5">
        <v>147</v>
      </c>
      <c r="BE706" s="5">
        <v>1.38</v>
      </c>
      <c r="BF706" s="5">
        <v>2.02</v>
      </c>
      <c r="BG706" s="15">
        <v>36.8</v>
      </c>
      <c r="BH706" s="5">
        <v>82</v>
      </c>
      <c r="BI706" s="5">
        <v>82</v>
      </c>
      <c r="BJ706" s="5">
        <v>18</v>
      </c>
      <c r="BK706" s="5">
        <v>134</v>
      </c>
      <c r="BL706" s="5">
        <v>82</v>
      </c>
      <c r="BM706" s="5">
        <v>46</v>
      </c>
      <c r="BN706" s="5">
        <v>165</v>
      </c>
      <c r="BO706" s="5">
        <f t="shared" si="10"/>
        <v>16.8962350780533</v>
      </c>
      <c r="BP706" s="5" t="s">
        <v>156</v>
      </c>
      <c r="BQ706" s="5">
        <v>5.8</v>
      </c>
      <c r="BR706" s="5">
        <v>1569</v>
      </c>
    </row>
    <row r="707" s="1" customFormat="1" spans="1:70">
      <c r="A707" s="1">
        <v>3255424</v>
      </c>
      <c r="B707" s="1" t="s">
        <v>1812</v>
      </c>
      <c r="D707" s="4">
        <v>44919</v>
      </c>
      <c r="E707" s="4">
        <v>44931</v>
      </c>
      <c r="F707" s="7">
        <v>19259</v>
      </c>
      <c r="G707" s="1">
        <v>40</v>
      </c>
      <c r="H707" s="1">
        <v>10</v>
      </c>
      <c r="I707" s="1">
        <v>49</v>
      </c>
      <c r="J707" s="1">
        <v>9</v>
      </c>
      <c r="K707" s="1">
        <v>56</v>
      </c>
      <c r="L707" s="1">
        <v>29</v>
      </c>
      <c r="M707" s="1">
        <v>0.74</v>
      </c>
      <c r="N707" s="1">
        <v>12.7</v>
      </c>
      <c r="O707" s="7">
        <v>19259</v>
      </c>
      <c r="P707" s="4">
        <v>44919</v>
      </c>
      <c r="Q707" s="4">
        <v>44931</v>
      </c>
      <c r="R707" s="1" t="s">
        <v>73</v>
      </c>
      <c r="S707" s="1">
        <v>70</v>
      </c>
      <c r="T707" s="1" t="s">
        <v>1813</v>
      </c>
      <c r="Z707" s="1">
        <v>1</v>
      </c>
      <c r="AG707" s="1">
        <v>1</v>
      </c>
      <c r="AH707" s="1">
        <v>1</v>
      </c>
      <c r="AI707" s="1">
        <v>1</v>
      </c>
      <c r="AM707" s="1">
        <v>1</v>
      </c>
      <c r="AO707" s="7">
        <v>19259</v>
      </c>
      <c r="AP707" s="5">
        <v>8.7</v>
      </c>
      <c r="AQ707" s="5">
        <v>88</v>
      </c>
      <c r="AR707" s="5">
        <v>30</v>
      </c>
      <c r="AS707" s="5">
        <v>88.8</v>
      </c>
      <c r="AT707" s="5">
        <v>25</v>
      </c>
      <c r="AU707" s="5">
        <v>32</v>
      </c>
      <c r="AV707" s="5">
        <v>35.5</v>
      </c>
      <c r="AW707" s="5">
        <v>5.78</v>
      </c>
      <c r="AX707" s="5">
        <v>40</v>
      </c>
      <c r="AY707" s="5" t="s">
        <v>125</v>
      </c>
      <c r="AZ707" s="5" t="s">
        <v>75</v>
      </c>
      <c r="BA707" s="5">
        <v>4.09</v>
      </c>
      <c r="BB707" s="12" t="s">
        <v>76</v>
      </c>
      <c r="BC707" s="5">
        <v>4.35</v>
      </c>
      <c r="BD707" s="5">
        <v>88</v>
      </c>
      <c r="BE707" s="5">
        <v>0.81</v>
      </c>
      <c r="BF707" s="5">
        <v>2.55</v>
      </c>
      <c r="BG707" s="15">
        <v>36.2</v>
      </c>
      <c r="BH707" s="5" t="s">
        <v>76</v>
      </c>
      <c r="BI707" s="5">
        <v>87</v>
      </c>
      <c r="BJ707" s="5">
        <v>22</v>
      </c>
      <c r="BK707" s="5">
        <v>114</v>
      </c>
      <c r="BL707" s="5">
        <v>71</v>
      </c>
      <c r="BM707" s="5">
        <v>65</v>
      </c>
      <c r="BN707" s="5">
        <v>165</v>
      </c>
      <c r="BO707" s="5">
        <f t="shared" ref="BO707:BO770" si="11">BM707/(BN707/100)^2</f>
        <v>23.8751147842057</v>
      </c>
      <c r="BP707" s="5" t="s">
        <v>168</v>
      </c>
      <c r="BQ707" s="5" t="s">
        <v>76</v>
      </c>
      <c r="BR707" s="5">
        <v>1776</v>
      </c>
    </row>
    <row r="708" s="1" customFormat="1" spans="1:70">
      <c r="A708" s="1">
        <v>3291538</v>
      </c>
      <c r="B708" s="1" t="s">
        <v>1814</v>
      </c>
      <c r="D708" s="4">
        <v>44979</v>
      </c>
      <c r="E708" s="4">
        <v>44991</v>
      </c>
      <c r="F708" s="7">
        <v>19268</v>
      </c>
      <c r="G708" s="1">
        <v>42</v>
      </c>
      <c r="H708" s="1">
        <v>10</v>
      </c>
      <c r="I708" s="1">
        <v>55</v>
      </c>
      <c r="J708" s="1">
        <v>9</v>
      </c>
      <c r="K708" s="1">
        <v>35</v>
      </c>
      <c r="L708" s="1">
        <v>17</v>
      </c>
      <c r="N708" s="1">
        <v>16.9</v>
      </c>
      <c r="O708" s="7">
        <v>19268</v>
      </c>
      <c r="P708" s="4">
        <v>44979</v>
      </c>
      <c r="Q708" s="4">
        <v>44991</v>
      </c>
      <c r="R708" s="1" t="s">
        <v>73</v>
      </c>
      <c r="AO708" s="7">
        <v>19268</v>
      </c>
      <c r="AP708" s="5">
        <v>6.8</v>
      </c>
      <c r="AQ708" s="5">
        <v>141</v>
      </c>
      <c r="AR708" s="5">
        <v>44.6</v>
      </c>
      <c r="AS708" s="5" t="s">
        <v>81</v>
      </c>
      <c r="AT708" s="5">
        <v>33</v>
      </c>
      <c r="AU708" s="5">
        <v>23</v>
      </c>
      <c r="AV708" s="5">
        <v>42.6</v>
      </c>
      <c r="AW708" s="5">
        <v>6.31</v>
      </c>
      <c r="AX708" s="5">
        <v>47</v>
      </c>
      <c r="AY708" s="5" t="s">
        <v>76</v>
      </c>
      <c r="AZ708" s="5">
        <v>5.91</v>
      </c>
      <c r="BA708" s="5" t="s">
        <v>76</v>
      </c>
      <c r="BB708" s="12" t="s">
        <v>76</v>
      </c>
      <c r="BC708" s="5">
        <v>4.64</v>
      </c>
      <c r="BD708" s="5">
        <v>141</v>
      </c>
      <c r="BE708" s="5" t="s">
        <v>76</v>
      </c>
      <c r="BF708" s="5" t="s">
        <v>76</v>
      </c>
      <c r="BG708" s="15">
        <v>36.5</v>
      </c>
      <c r="BH708" s="5">
        <v>94</v>
      </c>
      <c r="BI708" s="5">
        <v>102</v>
      </c>
      <c r="BJ708" s="5">
        <v>20</v>
      </c>
      <c r="BK708" s="5">
        <v>121</v>
      </c>
      <c r="BL708" s="5">
        <v>95</v>
      </c>
      <c r="BM708" s="5">
        <v>75</v>
      </c>
      <c r="BN708" s="5">
        <v>160</v>
      </c>
      <c r="BO708" s="5">
        <f t="shared" si="11"/>
        <v>29.296875</v>
      </c>
      <c r="BP708" s="5" t="s">
        <v>78</v>
      </c>
      <c r="BQ708" s="5">
        <v>5.5</v>
      </c>
      <c r="BR708" s="5">
        <v>1477</v>
      </c>
    </row>
    <row r="709" s="1" customFormat="1" spans="1:70">
      <c r="A709" s="1">
        <v>3285471</v>
      </c>
      <c r="B709" s="1" t="s">
        <v>1815</v>
      </c>
      <c r="D709" s="4">
        <v>44970</v>
      </c>
      <c r="E709" s="4">
        <v>44989</v>
      </c>
      <c r="F709" s="7">
        <v>19277</v>
      </c>
      <c r="G709" s="1">
        <v>32</v>
      </c>
      <c r="H709" s="1">
        <v>10</v>
      </c>
      <c r="I709" s="1">
        <v>45</v>
      </c>
      <c r="J709" s="1">
        <v>10</v>
      </c>
      <c r="K709" s="1">
        <v>64</v>
      </c>
      <c r="L709" s="1">
        <v>35</v>
      </c>
      <c r="M709" s="1">
        <v>0.67</v>
      </c>
      <c r="N709" s="1">
        <v>9.4</v>
      </c>
      <c r="O709" s="7">
        <v>19277</v>
      </c>
      <c r="P709" s="4">
        <v>44970</v>
      </c>
      <c r="Q709" s="4">
        <v>44989</v>
      </c>
      <c r="R709" s="1" t="s">
        <v>73</v>
      </c>
      <c r="AO709" s="7">
        <v>19277</v>
      </c>
      <c r="AP709" s="5">
        <v>8.4</v>
      </c>
      <c r="AQ709" s="5">
        <v>150</v>
      </c>
      <c r="AR709" s="5">
        <v>47</v>
      </c>
      <c r="AS709" s="5" t="s">
        <v>81</v>
      </c>
      <c r="AT709" s="5">
        <v>73</v>
      </c>
      <c r="AU709" s="5">
        <v>67</v>
      </c>
      <c r="AV709" s="5">
        <v>35.2</v>
      </c>
      <c r="AW709" s="5">
        <v>7.23</v>
      </c>
      <c r="AX709" s="5">
        <v>50</v>
      </c>
      <c r="AY709" s="5" t="s">
        <v>125</v>
      </c>
      <c r="AZ709" s="5" t="s">
        <v>75</v>
      </c>
      <c r="BA709" s="5" t="s">
        <v>76</v>
      </c>
      <c r="BB709" s="12" t="s">
        <v>76</v>
      </c>
      <c r="BC709" s="5">
        <v>4.58</v>
      </c>
      <c r="BD709" s="5">
        <v>150</v>
      </c>
      <c r="BE709" s="5" t="s">
        <v>76</v>
      </c>
      <c r="BF709" s="5" t="s">
        <v>76</v>
      </c>
      <c r="BG709" s="15">
        <v>36.6</v>
      </c>
      <c r="BH709" s="5" t="s">
        <v>76</v>
      </c>
      <c r="BI709" s="5">
        <v>103</v>
      </c>
      <c r="BJ709" s="5">
        <v>27</v>
      </c>
      <c r="BK709" s="5">
        <v>193</v>
      </c>
      <c r="BL709" s="5">
        <v>114</v>
      </c>
      <c r="BM709" s="5" t="s">
        <v>77</v>
      </c>
      <c r="BN709" s="5" t="s">
        <v>77</v>
      </c>
      <c r="BO709" s="5" t="e">
        <f t="shared" si="11"/>
        <v>#VALUE!</v>
      </c>
      <c r="BP709" s="5" t="s">
        <v>168</v>
      </c>
      <c r="BQ709" s="5">
        <v>6</v>
      </c>
      <c r="BR709" s="5">
        <v>959</v>
      </c>
    </row>
    <row r="710" s="1" customFormat="1" spans="1:70">
      <c r="A710" s="1">
        <v>3310427</v>
      </c>
      <c r="B710" s="1" t="s">
        <v>1816</v>
      </c>
      <c r="D710" s="4">
        <v>45005</v>
      </c>
      <c r="E710" s="4">
        <v>45009</v>
      </c>
      <c r="F710" s="7">
        <v>19278</v>
      </c>
      <c r="G710" s="1">
        <v>68</v>
      </c>
      <c r="H710" s="1">
        <v>9</v>
      </c>
      <c r="I710" s="1">
        <v>49</v>
      </c>
      <c r="J710" s="1">
        <v>9</v>
      </c>
      <c r="K710" s="1">
        <v>56</v>
      </c>
      <c r="L710" s="1">
        <v>30</v>
      </c>
      <c r="N710" s="1">
        <v>10.4</v>
      </c>
      <c r="O710" s="7">
        <v>19278</v>
      </c>
      <c r="P710" s="4">
        <v>45005</v>
      </c>
      <c r="Q710" s="4">
        <v>45009</v>
      </c>
      <c r="R710" s="1" t="s">
        <v>80</v>
      </c>
      <c r="AO710" s="7">
        <v>19278</v>
      </c>
      <c r="AP710" s="5">
        <v>6.1</v>
      </c>
      <c r="AQ710" s="5">
        <v>146</v>
      </c>
      <c r="AR710" s="5">
        <v>45.9</v>
      </c>
      <c r="AS710" s="5">
        <v>1.3</v>
      </c>
      <c r="AT710" s="5">
        <v>22</v>
      </c>
      <c r="AU710" s="5">
        <v>20</v>
      </c>
      <c r="AV710" s="5">
        <v>42.9</v>
      </c>
      <c r="AW710" s="5">
        <v>6.58</v>
      </c>
      <c r="AX710" s="5">
        <v>77</v>
      </c>
      <c r="AY710" s="5">
        <v>92.09</v>
      </c>
      <c r="AZ710" s="5" t="s">
        <v>75</v>
      </c>
      <c r="BA710" s="5" t="s">
        <v>76</v>
      </c>
      <c r="BB710" s="12" t="s">
        <v>76</v>
      </c>
      <c r="BC710" s="5">
        <v>4.4</v>
      </c>
      <c r="BD710" s="5">
        <v>146</v>
      </c>
      <c r="BE710" s="5" t="s">
        <v>76</v>
      </c>
      <c r="BF710" s="5" t="s">
        <v>76</v>
      </c>
      <c r="BG710" s="15">
        <v>36.2</v>
      </c>
      <c r="BH710" s="5">
        <v>80</v>
      </c>
      <c r="BI710" s="5">
        <v>80</v>
      </c>
      <c r="BJ710" s="5">
        <v>16</v>
      </c>
      <c r="BK710" s="5">
        <v>135</v>
      </c>
      <c r="BL710" s="5">
        <v>87</v>
      </c>
      <c r="BM710" s="5">
        <v>74</v>
      </c>
      <c r="BN710" s="5">
        <v>172</v>
      </c>
      <c r="BO710" s="5">
        <f t="shared" si="11"/>
        <v>25.013520822066</v>
      </c>
      <c r="BP710" s="5" t="s">
        <v>109</v>
      </c>
      <c r="BQ710" s="5">
        <v>5.6</v>
      </c>
      <c r="BR710" s="5">
        <v>1596</v>
      </c>
    </row>
    <row r="711" s="1" customFormat="1" spans="1:70">
      <c r="A711" s="1">
        <v>3295934</v>
      </c>
      <c r="B711" s="1" t="s">
        <v>1817</v>
      </c>
      <c r="D711" s="4">
        <v>44985</v>
      </c>
      <c r="E711" s="4">
        <v>44992</v>
      </c>
      <c r="F711" s="7">
        <v>19279</v>
      </c>
      <c r="G711" s="1">
        <v>40</v>
      </c>
      <c r="H711" s="1">
        <v>10</v>
      </c>
      <c r="I711" s="1">
        <v>50</v>
      </c>
      <c r="J711" s="1">
        <v>10</v>
      </c>
      <c r="K711" s="1">
        <v>57</v>
      </c>
      <c r="L711" s="1">
        <v>30</v>
      </c>
      <c r="M711" s="1">
        <v>1.07</v>
      </c>
      <c r="N711" s="1">
        <v>12.2</v>
      </c>
      <c r="O711" s="7">
        <v>19279</v>
      </c>
      <c r="P711" s="4">
        <v>44985</v>
      </c>
      <c r="Q711" s="4">
        <v>44992</v>
      </c>
      <c r="R711" s="1" t="s">
        <v>73</v>
      </c>
      <c r="AO711" s="7">
        <v>19279</v>
      </c>
      <c r="AP711" s="5">
        <v>4.2</v>
      </c>
      <c r="AQ711" s="5">
        <v>97</v>
      </c>
      <c r="AR711" s="5">
        <v>30.1</v>
      </c>
      <c r="AS711" s="5">
        <v>31.7</v>
      </c>
      <c r="AT711" s="5">
        <v>35</v>
      </c>
      <c r="AU711" s="5">
        <v>39</v>
      </c>
      <c r="AV711" s="5">
        <v>31.4</v>
      </c>
      <c r="AW711" s="5">
        <v>7.95</v>
      </c>
      <c r="AX711" s="5">
        <v>176</v>
      </c>
      <c r="AY711" s="5">
        <v>34</v>
      </c>
      <c r="AZ711" s="5" t="s">
        <v>75</v>
      </c>
      <c r="BA711" s="5">
        <v>3.89</v>
      </c>
      <c r="BB711" s="12" t="s">
        <v>76</v>
      </c>
      <c r="BC711" s="5">
        <v>4.11</v>
      </c>
      <c r="BD711" s="5">
        <v>97</v>
      </c>
      <c r="BE711" s="5">
        <v>0.86</v>
      </c>
      <c r="BF711" s="5">
        <v>2.11</v>
      </c>
      <c r="BG711" s="15">
        <v>36.6</v>
      </c>
      <c r="BH711" s="5">
        <v>81</v>
      </c>
      <c r="BI711" s="5" t="s">
        <v>76</v>
      </c>
      <c r="BJ711" s="5">
        <v>16</v>
      </c>
      <c r="BK711" s="5">
        <v>142</v>
      </c>
      <c r="BL711" s="5">
        <v>93</v>
      </c>
      <c r="BM711" s="5">
        <v>55</v>
      </c>
      <c r="BN711" s="5">
        <v>153</v>
      </c>
      <c r="BO711" s="5">
        <f t="shared" si="11"/>
        <v>23.4952368747063</v>
      </c>
      <c r="BP711" s="5" t="s">
        <v>300</v>
      </c>
      <c r="BQ711" s="5">
        <v>6.1</v>
      </c>
      <c r="BR711" s="5">
        <v>1007</v>
      </c>
    </row>
    <row r="712" s="1" customFormat="1" spans="1:70">
      <c r="A712" s="1">
        <v>3263827</v>
      </c>
      <c r="B712" s="1" t="s">
        <v>1818</v>
      </c>
      <c r="D712" s="4">
        <v>44939</v>
      </c>
      <c r="E712" s="4">
        <v>44946</v>
      </c>
      <c r="F712" s="7">
        <v>19287</v>
      </c>
      <c r="G712" s="1">
        <v>44</v>
      </c>
      <c r="H712" s="1">
        <v>8</v>
      </c>
      <c r="I712" s="1">
        <v>58</v>
      </c>
      <c r="J712" s="1">
        <v>8</v>
      </c>
      <c r="K712" s="1">
        <v>61</v>
      </c>
      <c r="L712" s="1">
        <v>33</v>
      </c>
      <c r="M712" s="1">
        <v>0.73</v>
      </c>
      <c r="N712" s="1">
        <v>8.7</v>
      </c>
      <c r="O712" s="7">
        <v>19287</v>
      </c>
      <c r="P712" s="4">
        <v>44939</v>
      </c>
      <c r="Q712" s="4">
        <v>44946</v>
      </c>
      <c r="R712" s="1" t="s">
        <v>80</v>
      </c>
      <c r="S712" s="1">
        <v>70</v>
      </c>
      <c r="T712" s="1">
        <v>17315585249</v>
      </c>
      <c r="Y712" s="1">
        <v>1</v>
      </c>
      <c r="AA712" s="1">
        <v>1</v>
      </c>
      <c r="AG712" s="1">
        <v>1</v>
      </c>
      <c r="AI712" s="1">
        <v>1</v>
      </c>
      <c r="AN712" s="1">
        <v>1</v>
      </c>
      <c r="AO712" s="7">
        <v>19287</v>
      </c>
      <c r="AP712" s="5">
        <v>8</v>
      </c>
      <c r="AQ712" s="5">
        <v>98</v>
      </c>
      <c r="AR712" s="5">
        <v>29.1</v>
      </c>
      <c r="AS712" s="5">
        <v>46.7</v>
      </c>
      <c r="AT712" s="5">
        <v>34</v>
      </c>
      <c r="AU712" s="5">
        <v>35</v>
      </c>
      <c r="AV712" s="5">
        <v>31.8</v>
      </c>
      <c r="AW712" s="5">
        <v>8.98</v>
      </c>
      <c r="AX712" s="5">
        <v>138</v>
      </c>
      <c r="AY712" s="5">
        <v>48.17</v>
      </c>
      <c r="AZ712" s="5" t="s">
        <v>75</v>
      </c>
      <c r="BA712" s="5">
        <v>4.38</v>
      </c>
      <c r="BB712" s="12" t="s">
        <v>76</v>
      </c>
      <c r="BC712" s="5" t="s">
        <v>4</v>
      </c>
      <c r="BD712" s="5">
        <v>98</v>
      </c>
      <c r="BE712" s="5">
        <v>1.33</v>
      </c>
      <c r="BF712" s="5">
        <v>2.51</v>
      </c>
      <c r="BG712" s="15">
        <v>36.5</v>
      </c>
      <c r="BH712" s="5">
        <v>101</v>
      </c>
      <c r="BI712" s="5" t="s">
        <v>76</v>
      </c>
      <c r="BJ712" s="5">
        <v>16</v>
      </c>
      <c r="BK712" s="5">
        <v>136</v>
      </c>
      <c r="BL712" s="5">
        <v>89</v>
      </c>
      <c r="BM712" s="5">
        <v>60</v>
      </c>
      <c r="BN712" s="5">
        <v>168</v>
      </c>
      <c r="BO712" s="5">
        <f t="shared" si="11"/>
        <v>21.2585034013605</v>
      </c>
      <c r="BP712" s="5" t="s">
        <v>415</v>
      </c>
      <c r="BQ712" s="5">
        <v>7</v>
      </c>
      <c r="BR712" s="5">
        <v>6076</v>
      </c>
    </row>
    <row r="713" s="1" customFormat="1" spans="1:70">
      <c r="A713" s="1">
        <v>3324030</v>
      </c>
      <c r="B713" s="1" t="s">
        <v>1819</v>
      </c>
      <c r="C713" s="1" t="s">
        <v>273</v>
      </c>
      <c r="D713" s="4">
        <v>45023</v>
      </c>
      <c r="E713" s="4">
        <v>45033</v>
      </c>
      <c r="F713" s="7">
        <v>19297</v>
      </c>
      <c r="G713" s="1">
        <v>40</v>
      </c>
      <c r="H713" s="1">
        <v>10</v>
      </c>
      <c r="I713" s="1">
        <v>55</v>
      </c>
      <c r="J713" s="1">
        <v>10</v>
      </c>
      <c r="K713" s="1">
        <v>52</v>
      </c>
      <c r="L713" s="1">
        <v>27</v>
      </c>
      <c r="M713" s="1">
        <v>1.37</v>
      </c>
      <c r="N713" s="1">
        <v>16.8</v>
      </c>
      <c r="O713" s="7">
        <v>19297</v>
      </c>
      <c r="P713" s="4">
        <v>45023</v>
      </c>
      <c r="Q713" s="4">
        <v>45033</v>
      </c>
      <c r="R713" s="1" t="s">
        <v>80</v>
      </c>
      <c r="AO713" s="7">
        <v>19297</v>
      </c>
      <c r="AP713" s="5">
        <v>9</v>
      </c>
      <c r="AQ713" s="5">
        <v>98</v>
      </c>
      <c r="AR713" s="5">
        <v>36.2</v>
      </c>
      <c r="AS713" s="5" t="s">
        <v>81</v>
      </c>
      <c r="AT713" s="5">
        <v>94</v>
      </c>
      <c r="AU713" s="5">
        <v>76</v>
      </c>
      <c r="AV713" s="5">
        <v>35.6</v>
      </c>
      <c r="AW713" s="5">
        <v>8.84</v>
      </c>
      <c r="AX713" s="5">
        <v>83</v>
      </c>
      <c r="AY713" s="5" t="s">
        <v>125</v>
      </c>
      <c r="AZ713" s="5">
        <v>8.7</v>
      </c>
      <c r="BA713" s="5">
        <v>4.74</v>
      </c>
      <c r="BB713" s="12" t="s">
        <v>76</v>
      </c>
      <c r="BC713" s="5">
        <v>4.66</v>
      </c>
      <c r="BD713" s="5">
        <v>98</v>
      </c>
      <c r="BE713" s="5">
        <v>0.87</v>
      </c>
      <c r="BF713" s="5">
        <v>3.03</v>
      </c>
      <c r="BG713" s="15">
        <v>36.5</v>
      </c>
      <c r="BH713" s="5" t="s">
        <v>76</v>
      </c>
      <c r="BI713" s="5">
        <v>70</v>
      </c>
      <c r="BJ713" s="5">
        <v>21</v>
      </c>
      <c r="BK713" s="5">
        <v>121</v>
      </c>
      <c r="BL713" s="5">
        <v>66</v>
      </c>
      <c r="BM713" s="5">
        <v>70</v>
      </c>
      <c r="BN713" s="5">
        <v>170</v>
      </c>
      <c r="BO713" s="5">
        <f t="shared" si="11"/>
        <v>24.2214532871972</v>
      </c>
      <c r="BP713" s="5" t="s">
        <v>323</v>
      </c>
      <c r="BQ713" s="5">
        <v>5.3</v>
      </c>
      <c r="BR713" s="5">
        <v>982</v>
      </c>
    </row>
    <row r="714" s="1" customFormat="1" spans="1:70">
      <c r="A714" s="1">
        <v>3266343</v>
      </c>
      <c r="B714" s="1" t="s">
        <v>1820</v>
      </c>
      <c r="D714" s="4">
        <v>44939</v>
      </c>
      <c r="E714" s="4">
        <v>44946</v>
      </c>
      <c r="F714" s="7">
        <v>19321</v>
      </c>
      <c r="G714" s="1">
        <v>40</v>
      </c>
      <c r="H714" s="1">
        <v>10</v>
      </c>
      <c r="I714" s="1">
        <v>52</v>
      </c>
      <c r="J714" s="1">
        <v>10</v>
      </c>
      <c r="K714" s="1">
        <v>47</v>
      </c>
      <c r="L714" s="1">
        <v>24</v>
      </c>
      <c r="M714" s="1">
        <v>0.4</v>
      </c>
      <c r="N714" s="1">
        <v>8.1</v>
      </c>
      <c r="O714" s="7">
        <v>19321</v>
      </c>
      <c r="P714" s="4">
        <v>44939</v>
      </c>
      <c r="Q714" s="4">
        <v>44946</v>
      </c>
      <c r="R714" s="1" t="s">
        <v>80</v>
      </c>
      <c r="AO714" s="7">
        <v>19321</v>
      </c>
      <c r="AP714" s="5">
        <v>8.8</v>
      </c>
      <c r="AQ714" s="5">
        <v>140</v>
      </c>
      <c r="AR714" s="5">
        <v>44</v>
      </c>
      <c r="AS714" s="5">
        <v>8</v>
      </c>
      <c r="AT714" s="5">
        <v>68</v>
      </c>
      <c r="AU714" s="5">
        <v>25</v>
      </c>
      <c r="AV714" s="5">
        <v>39.2</v>
      </c>
      <c r="AW714" s="5">
        <v>7.91</v>
      </c>
      <c r="AX714" s="5">
        <v>78</v>
      </c>
      <c r="AY714" s="5">
        <v>97.94</v>
      </c>
      <c r="AZ714" s="5">
        <v>4.88</v>
      </c>
      <c r="BA714" s="5">
        <v>3.68</v>
      </c>
      <c r="BB714" s="12" t="s">
        <v>76</v>
      </c>
      <c r="BC714" s="5">
        <v>3.77</v>
      </c>
      <c r="BD714" s="5">
        <v>140</v>
      </c>
      <c r="BE714" s="5">
        <v>0.96</v>
      </c>
      <c r="BF714" s="5">
        <v>2.48</v>
      </c>
      <c r="BG714" s="15">
        <v>36.3</v>
      </c>
      <c r="BH714" s="5">
        <v>77</v>
      </c>
      <c r="BI714" s="5">
        <v>77</v>
      </c>
      <c r="BJ714" s="5">
        <v>18</v>
      </c>
      <c r="BK714" s="5">
        <v>119</v>
      </c>
      <c r="BL714" s="5">
        <v>75</v>
      </c>
      <c r="BM714" s="5">
        <v>80</v>
      </c>
      <c r="BN714" s="5">
        <v>170</v>
      </c>
      <c r="BO714" s="5">
        <f t="shared" si="11"/>
        <v>27.681660899654</v>
      </c>
      <c r="BP714" s="5" t="s">
        <v>323</v>
      </c>
      <c r="BQ714" s="5">
        <v>6</v>
      </c>
      <c r="BR714" s="5">
        <v>959.3</v>
      </c>
    </row>
    <row r="715" s="1" customFormat="1" spans="1:70">
      <c r="A715" s="1">
        <v>3256277</v>
      </c>
      <c r="B715" s="1" t="s">
        <v>1821</v>
      </c>
      <c r="D715" s="4">
        <v>44921</v>
      </c>
      <c r="E715" s="4">
        <v>44934</v>
      </c>
      <c r="F715" s="7">
        <v>19321</v>
      </c>
      <c r="G715" s="1">
        <v>28</v>
      </c>
      <c r="H715" s="1">
        <v>10</v>
      </c>
      <c r="I715" s="1">
        <v>44</v>
      </c>
      <c r="J715" s="1">
        <v>10</v>
      </c>
      <c r="K715" s="1">
        <v>57</v>
      </c>
      <c r="L715" s="1">
        <v>30</v>
      </c>
      <c r="M715" s="1">
        <v>0.82</v>
      </c>
      <c r="O715" s="7">
        <v>19321</v>
      </c>
      <c r="P715" s="4">
        <v>44921</v>
      </c>
      <c r="Q715" s="4">
        <v>44934</v>
      </c>
      <c r="R715" s="1" t="s">
        <v>80</v>
      </c>
      <c r="AO715" s="7">
        <v>19321</v>
      </c>
      <c r="AP715" s="5">
        <v>9.8</v>
      </c>
      <c r="AQ715" s="5">
        <v>95</v>
      </c>
      <c r="AR715" s="5">
        <v>38.7</v>
      </c>
      <c r="AS715" s="5">
        <v>268.5</v>
      </c>
      <c r="AT715" s="5">
        <v>86</v>
      </c>
      <c r="AU715" s="5">
        <v>58</v>
      </c>
      <c r="AV715" s="5">
        <v>34.6</v>
      </c>
      <c r="AW715" s="5">
        <v>6.45</v>
      </c>
      <c r="AX715" s="5">
        <v>92</v>
      </c>
      <c r="AY715" s="5">
        <v>84.45</v>
      </c>
      <c r="AZ715" s="5" t="s">
        <v>75</v>
      </c>
      <c r="BA715" s="5" t="s">
        <v>76</v>
      </c>
      <c r="BB715" s="12" t="s">
        <v>76</v>
      </c>
      <c r="BC715" s="5">
        <v>5.22</v>
      </c>
      <c r="BD715" s="5">
        <v>95</v>
      </c>
      <c r="BE715" s="5" t="s">
        <v>76</v>
      </c>
      <c r="BF715" s="5" t="s">
        <v>76</v>
      </c>
      <c r="BG715" s="15">
        <v>38.5</v>
      </c>
      <c r="BH715" s="5" t="s">
        <v>76</v>
      </c>
      <c r="BI715" s="5">
        <v>112</v>
      </c>
      <c r="BJ715" s="5">
        <v>27</v>
      </c>
      <c r="BK715" s="5">
        <v>118</v>
      </c>
      <c r="BL715" s="5">
        <v>65</v>
      </c>
      <c r="BM715" s="5" t="s">
        <v>77</v>
      </c>
      <c r="BN715" s="5" t="s">
        <v>77</v>
      </c>
      <c r="BO715" s="5" t="e">
        <f t="shared" si="11"/>
        <v>#VALUE!</v>
      </c>
      <c r="BP715" s="5" t="s">
        <v>117</v>
      </c>
      <c r="BQ715" s="5" t="s">
        <v>76</v>
      </c>
      <c r="BR715" s="5">
        <v>8945</v>
      </c>
    </row>
    <row r="716" s="1" customFormat="1" spans="1:70">
      <c r="A716" s="1">
        <v>3513736</v>
      </c>
      <c r="B716" s="1" t="s">
        <v>1822</v>
      </c>
      <c r="D716" s="4">
        <v>45285</v>
      </c>
      <c r="E716" s="4">
        <v>45299</v>
      </c>
      <c r="F716" s="7">
        <v>19331</v>
      </c>
      <c r="G716" s="1">
        <v>46</v>
      </c>
      <c r="H716" s="1">
        <v>10</v>
      </c>
      <c r="I716" s="1">
        <v>45</v>
      </c>
      <c r="J716" s="1">
        <v>10</v>
      </c>
      <c r="K716" s="1">
        <v>62</v>
      </c>
      <c r="L716" s="1">
        <v>33</v>
      </c>
      <c r="M716" s="1">
        <v>1.14</v>
      </c>
      <c r="N716" s="1">
        <v>16.9</v>
      </c>
      <c r="O716" s="7">
        <v>19331</v>
      </c>
      <c r="P716" s="4">
        <v>45285</v>
      </c>
      <c r="Q716" s="4">
        <v>45299</v>
      </c>
      <c r="R716" s="1" t="s">
        <v>80</v>
      </c>
      <c r="S716" s="1">
        <v>71</v>
      </c>
      <c r="T716" s="1" t="s">
        <v>1823</v>
      </c>
      <c r="V716" s="1">
        <v>1</v>
      </c>
      <c r="X716" s="1">
        <v>1</v>
      </c>
      <c r="AC716" s="1">
        <v>1</v>
      </c>
      <c r="AH716" s="1">
        <v>1</v>
      </c>
      <c r="AL716" s="1">
        <v>1</v>
      </c>
      <c r="AO716" s="7">
        <v>19331</v>
      </c>
      <c r="AP716" s="5">
        <v>5.6</v>
      </c>
      <c r="AQ716" s="5">
        <v>127</v>
      </c>
      <c r="AR716" s="5">
        <v>38.8</v>
      </c>
      <c r="AS716" s="5">
        <v>17.6</v>
      </c>
      <c r="AT716" s="5">
        <v>23</v>
      </c>
      <c r="AU716" s="5">
        <v>19</v>
      </c>
      <c r="AV716" s="5">
        <v>39.4</v>
      </c>
      <c r="AW716" s="5">
        <v>4.84</v>
      </c>
      <c r="AX716" s="5">
        <v>47</v>
      </c>
      <c r="AY716" s="5" t="s">
        <v>125</v>
      </c>
      <c r="AZ716" s="5">
        <v>7.12</v>
      </c>
      <c r="BA716" s="5">
        <v>4.03</v>
      </c>
      <c r="BB716" s="12" t="s">
        <v>76</v>
      </c>
      <c r="BC716" s="5">
        <v>3.83</v>
      </c>
      <c r="BD716" s="5">
        <v>127</v>
      </c>
      <c r="BE716" s="5">
        <v>1.05</v>
      </c>
      <c r="BF716" s="5">
        <v>2.15</v>
      </c>
      <c r="BG716" s="15">
        <v>36.5</v>
      </c>
      <c r="BH716" s="5">
        <v>72</v>
      </c>
      <c r="BI716" s="5">
        <v>72</v>
      </c>
      <c r="BJ716" s="5">
        <v>18</v>
      </c>
      <c r="BK716" s="5">
        <v>190</v>
      </c>
      <c r="BL716" s="5">
        <v>86</v>
      </c>
      <c r="BM716" s="5">
        <v>70</v>
      </c>
      <c r="BN716" s="5">
        <v>169</v>
      </c>
      <c r="BO716" s="5">
        <f t="shared" si="11"/>
        <v>24.5089457652043</v>
      </c>
      <c r="BP716" s="5" t="s">
        <v>83</v>
      </c>
      <c r="BQ716" s="5">
        <v>7.3</v>
      </c>
      <c r="BR716" s="5">
        <v>1048</v>
      </c>
    </row>
    <row r="717" s="1" customFormat="1" spans="1:70">
      <c r="A717" s="1">
        <v>3266879</v>
      </c>
      <c r="B717" s="1" t="s">
        <v>1824</v>
      </c>
      <c r="D717" s="4">
        <v>44940</v>
      </c>
      <c r="E717" s="4">
        <v>44945</v>
      </c>
      <c r="F717" s="7">
        <v>19340</v>
      </c>
      <c r="G717" s="1">
        <v>45</v>
      </c>
      <c r="H717" s="1">
        <v>10</v>
      </c>
      <c r="I717" s="1">
        <v>60</v>
      </c>
      <c r="J717" s="1">
        <v>10</v>
      </c>
      <c r="K717" s="1">
        <v>34</v>
      </c>
      <c r="L717" s="1">
        <v>16</v>
      </c>
      <c r="N717" s="1">
        <v>13.6</v>
      </c>
      <c r="O717" s="7">
        <v>19340</v>
      </c>
      <c r="P717" s="4">
        <v>44940</v>
      </c>
      <c r="Q717" s="4">
        <v>44945</v>
      </c>
      <c r="R717" s="1" t="s">
        <v>80</v>
      </c>
      <c r="AO717" s="7">
        <v>19340</v>
      </c>
      <c r="AP717" s="5">
        <v>6.8</v>
      </c>
      <c r="AQ717" s="5">
        <v>144</v>
      </c>
      <c r="AR717" s="5">
        <v>43.4</v>
      </c>
      <c r="AS717" s="5">
        <v>4.8</v>
      </c>
      <c r="AT717" s="5">
        <v>26</v>
      </c>
      <c r="AU717" s="5">
        <v>6</v>
      </c>
      <c r="AV717" s="5">
        <v>41</v>
      </c>
      <c r="AW717" s="5">
        <v>4.54</v>
      </c>
      <c r="AX717" s="5">
        <v>79</v>
      </c>
      <c r="AY717" s="5">
        <v>89.4</v>
      </c>
      <c r="AZ717" s="5" t="s">
        <v>75</v>
      </c>
      <c r="BA717" s="5">
        <v>3.88</v>
      </c>
      <c r="BB717" s="12" t="s">
        <v>76</v>
      </c>
      <c r="BC717" s="5">
        <v>3.85</v>
      </c>
      <c r="BD717" s="5">
        <v>144</v>
      </c>
      <c r="BE717" s="5">
        <v>1</v>
      </c>
      <c r="BF717" s="5">
        <v>2.72</v>
      </c>
      <c r="BG717" s="15">
        <v>36.7</v>
      </c>
      <c r="BH717" s="5">
        <v>120</v>
      </c>
      <c r="BI717" s="5">
        <v>120</v>
      </c>
      <c r="BJ717" s="5">
        <v>19</v>
      </c>
      <c r="BK717" s="5">
        <v>201</v>
      </c>
      <c r="BL717" s="5">
        <v>107</v>
      </c>
      <c r="BM717" s="5">
        <v>70</v>
      </c>
      <c r="BN717" s="5">
        <v>172</v>
      </c>
      <c r="BO717" s="5">
        <f t="shared" si="11"/>
        <v>23.6614386154678</v>
      </c>
      <c r="BP717" s="5" t="s">
        <v>161</v>
      </c>
      <c r="BQ717" s="5" t="s">
        <v>76</v>
      </c>
      <c r="BR717" s="5">
        <v>5895</v>
      </c>
    </row>
    <row r="718" s="1" customFormat="1" spans="1:70">
      <c r="A718" s="1">
        <v>3258803</v>
      </c>
      <c r="B718" s="1" t="s">
        <v>1825</v>
      </c>
      <c r="D718" s="4">
        <v>44926</v>
      </c>
      <c r="E718" s="4">
        <v>44937</v>
      </c>
      <c r="F718" s="7">
        <v>19346</v>
      </c>
      <c r="G718" s="1">
        <v>36</v>
      </c>
      <c r="H718" s="1">
        <v>9</v>
      </c>
      <c r="I718" s="1">
        <v>46</v>
      </c>
      <c r="J718" s="1">
        <v>9</v>
      </c>
      <c r="K718" s="1">
        <v>56</v>
      </c>
      <c r="M718" s="1">
        <v>0.82</v>
      </c>
      <c r="N718" s="1">
        <v>10.7</v>
      </c>
      <c r="O718" s="7">
        <v>19346</v>
      </c>
      <c r="P718" s="4">
        <v>44926</v>
      </c>
      <c r="Q718" s="4">
        <v>44937</v>
      </c>
      <c r="R718" s="1" t="s">
        <v>80</v>
      </c>
      <c r="AO718" s="7">
        <v>19346</v>
      </c>
      <c r="AP718" s="5">
        <v>1.6</v>
      </c>
      <c r="AQ718" s="5" t="s">
        <v>76</v>
      </c>
      <c r="AR718" s="5" t="s">
        <v>76</v>
      </c>
      <c r="AS718" s="5" t="s">
        <v>76</v>
      </c>
      <c r="AT718" s="5">
        <v>133</v>
      </c>
      <c r="AU718" s="5" t="s">
        <v>76</v>
      </c>
      <c r="AV718" s="5" t="s">
        <v>76</v>
      </c>
      <c r="AW718" s="5" t="s">
        <v>76</v>
      </c>
      <c r="AX718" s="5" t="s">
        <v>76</v>
      </c>
      <c r="AY718" s="5" t="s">
        <v>76</v>
      </c>
      <c r="AZ718" s="5">
        <v>4.67</v>
      </c>
      <c r="BA718" s="5">
        <v>3.21</v>
      </c>
      <c r="BB718" s="12" t="s">
        <v>76</v>
      </c>
      <c r="BC718" s="5" t="s">
        <v>76</v>
      </c>
      <c r="BD718" s="5" t="s">
        <v>76</v>
      </c>
      <c r="BE718" s="5">
        <v>1.09</v>
      </c>
      <c r="BF718" s="5">
        <v>2.06</v>
      </c>
      <c r="BG718" s="15">
        <v>36.6</v>
      </c>
      <c r="BH718" s="5">
        <v>72</v>
      </c>
      <c r="BI718" s="5">
        <v>72</v>
      </c>
      <c r="BJ718" s="5">
        <v>18</v>
      </c>
      <c r="BK718" s="5">
        <v>138</v>
      </c>
      <c r="BL718" s="5">
        <v>76</v>
      </c>
      <c r="BM718" s="5">
        <v>65</v>
      </c>
      <c r="BN718" s="5">
        <v>170</v>
      </c>
      <c r="BO718" s="5">
        <f t="shared" si="11"/>
        <v>22.4913494809689</v>
      </c>
      <c r="BP718" s="5" t="s">
        <v>156</v>
      </c>
      <c r="BQ718" s="5" t="s">
        <v>76</v>
      </c>
      <c r="BR718" s="5">
        <v>1785</v>
      </c>
    </row>
    <row r="719" s="1" customFormat="1" spans="1:70">
      <c r="A719" s="1">
        <v>3503374</v>
      </c>
      <c r="B719" s="1" t="s">
        <v>1826</v>
      </c>
      <c r="D719" s="4">
        <v>45271</v>
      </c>
      <c r="E719" s="4">
        <v>45274</v>
      </c>
      <c r="F719" s="7">
        <v>19355</v>
      </c>
      <c r="G719" s="1">
        <v>57</v>
      </c>
      <c r="H719" s="1">
        <v>10</v>
      </c>
      <c r="I719" s="1">
        <v>53</v>
      </c>
      <c r="J719" s="1">
        <v>10</v>
      </c>
      <c r="K719" s="1">
        <v>61</v>
      </c>
      <c r="L719" s="1">
        <v>33</v>
      </c>
      <c r="M719" s="1">
        <v>0.72</v>
      </c>
      <c r="O719" s="7">
        <v>19355</v>
      </c>
      <c r="P719" s="4">
        <v>45271</v>
      </c>
      <c r="Q719" s="4">
        <v>45274</v>
      </c>
      <c r="R719" s="1" t="s">
        <v>73</v>
      </c>
      <c r="AO719" s="7">
        <v>19355</v>
      </c>
      <c r="AP719" s="5">
        <v>10.6</v>
      </c>
      <c r="AQ719" s="5">
        <v>121</v>
      </c>
      <c r="AR719" s="5">
        <v>37.8</v>
      </c>
      <c r="AS719" s="5">
        <v>3.6</v>
      </c>
      <c r="AT719" s="5">
        <v>17</v>
      </c>
      <c r="AU719" s="5">
        <v>14</v>
      </c>
      <c r="AV719" s="5">
        <v>42.1</v>
      </c>
      <c r="AW719" s="5">
        <v>4</v>
      </c>
      <c r="AX719" s="5">
        <v>43</v>
      </c>
      <c r="AY719" s="5" t="s">
        <v>125</v>
      </c>
      <c r="AZ719" s="5" t="s">
        <v>75</v>
      </c>
      <c r="BA719" s="5">
        <v>2.39</v>
      </c>
      <c r="BB719" s="12" t="s">
        <v>76</v>
      </c>
      <c r="BC719" s="5">
        <v>3.49</v>
      </c>
      <c r="BD719" s="5">
        <v>121</v>
      </c>
      <c r="BE719" s="5">
        <v>0.86</v>
      </c>
      <c r="BF719" s="5">
        <v>0.57</v>
      </c>
      <c r="BG719" s="15">
        <v>36.4</v>
      </c>
      <c r="BH719" s="5">
        <v>90</v>
      </c>
      <c r="BI719" s="5">
        <v>90</v>
      </c>
      <c r="BJ719" s="5">
        <v>17</v>
      </c>
      <c r="BK719" s="5">
        <v>163</v>
      </c>
      <c r="BL719" s="5">
        <v>86</v>
      </c>
      <c r="BM719" s="5">
        <v>90</v>
      </c>
      <c r="BN719" s="5">
        <v>160</v>
      </c>
      <c r="BO719" s="5">
        <f t="shared" si="11"/>
        <v>35.15625</v>
      </c>
      <c r="BP719" s="5" t="s">
        <v>156</v>
      </c>
      <c r="BQ719" s="5">
        <v>5.8</v>
      </c>
      <c r="BR719" s="5">
        <v>1237</v>
      </c>
    </row>
    <row r="720" s="1" customFormat="1" spans="1:70">
      <c r="A720" s="1">
        <v>3312067</v>
      </c>
      <c r="B720" s="1" t="s">
        <v>1827</v>
      </c>
      <c r="D720" s="4">
        <v>45007</v>
      </c>
      <c r="E720" s="4">
        <v>45012</v>
      </c>
      <c r="F720" s="7">
        <v>19360</v>
      </c>
      <c r="G720" s="1">
        <v>44</v>
      </c>
      <c r="H720" s="1">
        <v>10</v>
      </c>
      <c r="I720" s="1">
        <v>53</v>
      </c>
      <c r="J720" s="1">
        <v>10</v>
      </c>
      <c r="K720" s="1">
        <v>52</v>
      </c>
      <c r="L720" s="1">
        <v>26</v>
      </c>
      <c r="M720" s="1">
        <v>1.49</v>
      </c>
      <c r="N720" s="1">
        <v>17.4</v>
      </c>
      <c r="O720" s="7">
        <v>19360</v>
      </c>
      <c r="P720" s="4">
        <v>45007</v>
      </c>
      <c r="Q720" s="4">
        <v>45012</v>
      </c>
      <c r="R720" s="1" t="s">
        <v>80</v>
      </c>
      <c r="AO720" s="7">
        <v>19360</v>
      </c>
      <c r="AP720" s="5">
        <v>8.7</v>
      </c>
      <c r="AQ720" s="5">
        <v>143</v>
      </c>
      <c r="AR720" s="5">
        <v>44.3</v>
      </c>
      <c r="AS720" s="5">
        <v>5</v>
      </c>
      <c r="AT720" s="5">
        <v>77</v>
      </c>
      <c r="AU720" s="5">
        <v>22</v>
      </c>
      <c r="AV720" s="5">
        <v>36.9</v>
      </c>
      <c r="AW720" s="5">
        <v>7.03</v>
      </c>
      <c r="AX720" s="5">
        <v>63</v>
      </c>
      <c r="AY720" s="5" t="s">
        <v>125</v>
      </c>
      <c r="AZ720" s="5" t="s">
        <v>375</v>
      </c>
      <c r="BA720" s="5">
        <v>4.57</v>
      </c>
      <c r="BB720" s="12" t="s">
        <v>76</v>
      </c>
      <c r="BC720" s="5">
        <v>5.34</v>
      </c>
      <c r="BD720" s="5">
        <v>143</v>
      </c>
      <c r="BE720" s="5">
        <v>0.83</v>
      </c>
      <c r="BF720" s="5">
        <v>3.4</v>
      </c>
      <c r="BG720" s="15">
        <v>36.7</v>
      </c>
      <c r="BH720" s="5">
        <v>62</v>
      </c>
      <c r="BI720" s="5">
        <v>62</v>
      </c>
      <c r="BJ720" s="5">
        <v>18</v>
      </c>
      <c r="BK720" s="5">
        <v>148</v>
      </c>
      <c r="BL720" s="5">
        <v>73</v>
      </c>
      <c r="BM720" s="5">
        <v>65</v>
      </c>
      <c r="BN720" s="5">
        <v>178</v>
      </c>
      <c r="BO720" s="5">
        <f t="shared" si="11"/>
        <v>20.5150864789799</v>
      </c>
      <c r="BP720" s="5" t="s">
        <v>323</v>
      </c>
      <c r="BQ720" s="5">
        <v>8.8</v>
      </c>
      <c r="BR720" s="5">
        <v>975</v>
      </c>
    </row>
    <row r="721" s="1" customFormat="1" spans="1:70">
      <c r="A721" s="1">
        <v>3510431</v>
      </c>
      <c r="B721" s="1" t="s">
        <v>1828</v>
      </c>
      <c r="C721" s="1" t="s">
        <v>273</v>
      </c>
      <c r="D721" s="4">
        <v>45280</v>
      </c>
      <c r="E721" s="4">
        <v>45283</v>
      </c>
      <c r="F721" s="7">
        <v>19369</v>
      </c>
      <c r="G721" s="1">
        <v>34</v>
      </c>
      <c r="H721" s="1">
        <v>8</v>
      </c>
      <c r="I721" s="1">
        <v>40</v>
      </c>
      <c r="J721" s="1">
        <v>8</v>
      </c>
      <c r="K721" s="1">
        <v>63</v>
      </c>
      <c r="L721" s="1">
        <v>34</v>
      </c>
      <c r="M721" s="1">
        <v>0.9</v>
      </c>
      <c r="O721" s="7">
        <v>19369</v>
      </c>
      <c r="P721" s="4">
        <v>45280</v>
      </c>
      <c r="Q721" s="4">
        <v>45283</v>
      </c>
      <c r="R721" s="1" t="s">
        <v>80</v>
      </c>
      <c r="AO721" s="7">
        <v>19369</v>
      </c>
      <c r="AP721" s="5">
        <v>5.3</v>
      </c>
      <c r="AQ721" s="5">
        <v>99</v>
      </c>
      <c r="AR721" s="5">
        <v>46.3</v>
      </c>
      <c r="AS721" s="5">
        <v>208.8</v>
      </c>
      <c r="AT721" s="5">
        <v>60</v>
      </c>
      <c r="AU721" s="5">
        <v>26</v>
      </c>
      <c r="AV721" s="5">
        <v>27.5</v>
      </c>
      <c r="AW721" s="5">
        <v>43.06</v>
      </c>
      <c r="AX721" s="5">
        <v>65</v>
      </c>
      <c r="AY721" s="5">
        <v>54.66</v>
      </c>
      <c r="AZ721" s="5" t="s">
        <v>75</v>
      </c>
      <c r="BA721" s="5" t="s">
        <v>76</v>
      </c>
      <c r="BB721" s="12" t="s">
        <v>76</v>
      </c>
      <c r="BC721" s="5">
        <v>3.82</v>
      </c>
      <c r="BD721" s="5">
        <v>99</v>
      </c>
      <c r="BE721" s="5" t="s">
        <v>76</v>
      </c>
      <c r="BF721" s="5" t="s">
        <v>76</v>
      </c>
      <c r="BG721" s="5" t="s">
        <v>76</v>
      </c>
      <c r="BH721" s="5" t="s">
        <v>76</v>
      </c>
      <c r="BI721" s="5" t="s">
        <v>76</v>
      </c>
      <c r="BJ721" s="5" t="s">
        <v>76</v>
      </c>
      <c r="BK721" s="5" t="s">
        <v>76</v>
      </c>
      <c r="BL721" s="5" t="s">
        <v>76</v>
      </c>
      <c r="BM721" s="5" t="s">
        <v>76</v>
      </c>
      <c r="BN721" s="5" t="s">
        <v>76</v>
      </c>
      <c r="BO721" s="5" t="e">
        <f t="shared" si="11"/>
        <v>#VALUE!</v>
      </c>
      <c r="BP721" s="5" t="s">
        <v>85</v>
      </c>
      <c r="BQ721" s="5" t="s">
        <v>76</v>
      </c>
      <c r="BR721" s="5">
        <v>9230</v>
      </c>
    </row>
    <row r="722" s="1" customFormat="1" spans="1:70">
      <c r="A722" s="1" t="s">
        <v>1829</v>
      </c>
      <c r="B722" s="1" t="s">
        <v>1830</v>
      </c>
      <c r="D722" s="4">
        <v>44927</v>
      </c>
      <c r="E722" s="4">
        <v>44946</v>
      </c>
      <c r="F722" s="7">
        <v>19384</v>
      </c>
      <c r="G722" s="1">
        <v>37</v>
      </c>
      <c r="H722" s="1">
        <v>10</v>
      </c>
      <c r="I722" s="1">
        <v>50</v>
      </c>
      <c r="J722" s="1">
        <v>10</v>
      </c>
      <c r="K722" s="1">
        <v>58</v>
      </c>
      <c r="L722" s="1">
        <v>31</v>
      </c>
      <c r="M722" s="1">
        <v>0.82</v>
      </c>
      <c r="N722" s="1">
        <v>16.8</v>
      </c>
      <c r="O722" s="7">
        <v>19384</v>
      </c>
      <c r="P722" s="4">
        <v>44927</v>
      </c>
      <c r="Q722" s="4">
        <v>44946</v>
      </c>
      <c r="R722" s="1" t="s">
        <v>73</v>
      </c>
      <c r="AO722" s="7">
        <v>19384</v>
      </c>
      <c r="AP722" s="5" t="s">
        <v>1831</v>
      </c>
      <c r="AQ722" s="5" t="s">
        <v>140</v>
      </c>
      <c r="AR722" s="5" t="s">
        <v>1832</v>
      </c>
      <c r="AS722" s="5" t="s">
        <v>221</v>
      </c>
      <c r="AT722" s="5" t="s">
        <v>382</v>
      </c>
      <c r="AU722" s="5" t="s">
        <v>171</v>
      </c>
      <c r="AV722" s="5" t="s">
        <v>1083</v>
      </c>
      <c r="AW722" s="5" t="s">
        <v>1833</v>
      </c>
      <c r="AX722" s="5" t="s">
        <v>1834</v>
      </c>
      <c r="AY722" s="5" t="s">
        <v>1835</v>
      </c>
      <c r="AZ722" s="5" t="s">
        <v>75</v>
      </c>
      <c r="BA722" s="5" t="s">
        <v>76</v>
      </c>
      <c r="BB722" s="12" t="s">
        <v>76</v>
      </c>
      <c r="BC722" s="5" t="s">
        <v>4</v>
      </c>
      <c r="BD722" s="5" t="s">
        <v>140</v>
      </c>
      <c r="BE722" s="5" t="s">
        <v>76</v>
      </c>
      <c r="BF722" s="5" t="s">
        <v>76</v>
      </c>
      <c r="BG722" s="15">
        <v>36.5</v>
      </c>
      <c r="BH722" s="5" t="s">
        <v>391</v>
      </c>
      <c r="BI722" s="5" t="s">
        <v>173</v>
      </c>
      <c r="BJ722" s="5" t="s">
        <v>193</v>
      </c>
      <c r="BK722" s="5" t="s">
        <v>680</v>
      </c>
      <c r="BL722" s="5" t="s">
        <v>140</v>
      </c>
      <c r="BM722" s="5" t="s">
        <v>352</v>
      </c>
      <c r="BN722" s="5">
        <v>160</v>
      </c>
      <c r="BO722" s="5">
        <f t="shared" si="11"/>
        <v>21.484375</v>
      </c>
      <c r="BP722" s="5" t="s">
        <v>542</v>
      </c>
      <c r="BQ722" s="5" t="s">
        <v>76</v>
      </c>
      <c r="BR722" s="5">
        <v>2560</v>
      </c>
    </row>
    <row r="723" s="1" customFormat="1" spans="1:70">
      <c r="A723" s="1">
        <v>3261535</v>
      </c>
      <c r="B723" s="1" t="s">
        <v>1836</v>
      </c>
      <c r="D723" s="4">
        <v>44930</v>
      </c>
      <c r="E723" s="4">
        <v>44935</v>
      </c>
      <c r="F723" s="7">
        <v>19407</v>
      </c>
      <c r="G723" s="1">
        <v>39</v>
      </c>
      <c r="H723" s="1">
        <v>11</v>
      </c>
      <c r="I723" s="1">
        <v>50</v>
      </c>
      <c r="J723" s="1">
        <v>11</v>
      </c>
      <c r="K723" s="1">
        <v>54</v>
      </c>
      <c r="L723" s="1">
        <v>28</v>
      </c>
      <c r="M723" s="1">
        <v>0.71</v>
      </c>
      <c r="N723" s="1">
        <v>16.2</v>
      </c>
      <c r="O723" s="7">
        <v>19407</v>
      </c>
      <c r="P723" s="4">
        <v>44930</v>
      </c>
      <c r="Q723" s="4">
        <v>44935</v>
      </c>
      <c r="R723" s="1" t="s">
        <v>80</v>
      </c>
      <c r="AO723" s="7">
        <v>19407</v>
      </c>
      <c r="AP723" s="5">
        <v>9.6</v>
      </c>
      <c r="AQ723" s="5">
        <v>133</v>
      </c>
      <c r="AR723" s="5">
        <v>41.3</v>
      </c>
      <c r="AS723" s="5">
        <v>48.5</v>
      </c>
      <c r="AT723" s="5">
        <v>47</v>
      </c>
      <c r="AU723" s="5">
        <v>23</v>
      </c>
      <c r="AV723" s="5">
        <v>36.7</v>
      </c>
      <c r="AW723" s="5">
        <v>5.93</v>
      </c>
      <c r="AX723" s="5">
        <v>77</v>
      </c>
      <c r="AY723" s="5">
        <v>99.8</v>
      </c>
      <c r="AZ723" s="5">
        <v>5</v>
      </c>
      <c r="BA723" s="5">
        <v>3.63</v>
      </c>
      <c r="BB723" s="12" t="s">
        <v>76</v>
      </c>
      <c r="BC723" s="5">
        <v>4.12</v>
      </c>
      <c r="BD723" s="5">
        <v>133</v>
      </c>
      <c r="BE723" s="5">
        <v>0.8</v>
      </c>
      <c r="BF723" s="5">
        <v>2.3</v>
      </c>
      <c r="BG723" s="15">
        <v>36.9</v>
      </c>
      <c r="BH723" s="5">
        <v>84</v>
      </c>
      <c r="BI723" s="5">
        <v>84</v>
      </c>
      <c r="BJ723" s="5">
        <v>20</v>
      </c>
      <c r="BK723" s="5">
        <v>152</v>
      </c>
      <c r="BL723" s="5">
        <v>86</v>
      </c>
      <c r="BM723" s="5">
        <v>60</v>
      </c>
      <c r="BN723" s="5">
        <v>165</v>
      </c>
      <c r="BO723" s="5">
        <f t="shared" si="11"/>
        <v>22.038567493113</v>
      </c>
      <c r="BP723" s="5" t="s">
        <v>323</v>
      </c>
      <c r="BQ723" s="5">
        <v>6.4</v>
      </c>
      <c r="BR723" s="5">
        <v>964</v>
      </c>
    </row>
    <row r="724" s="1" customFormat="1" spans="1:70">
      <c r="A724" s="1">
        <v>3482891</v>
      </c>
      <c r="B724" s="1" t="s">
        <v>1837</v>
      </c>
      <c r="D724" s="4">
        <v>45244</v>
      </c>
      <c r="E724" s="4">
        <v>45265</v>
      </c>
      <c r="F724" s="7">
        <v>19410</v>
      </c>
      <c r="G724" s="1">
        <v>55</v>
      </c>
      <c r="H724" s="1">
        <v>17</v>
      </c>
      <c r="I724" s="1">
        <v>48</v>
      </c>
      <c r="J724" s="1">
        <v>12</v>
      </c>
      <c r="K724" s="1">
        <v>58</v>
      </c>
      <c r="L724" s="1">
        <v>31</v>
      </c>
      <c r="N724" s="1">
        <v>10.3</v>
      </c>
      <c r="O724" s="7">
        <v>19410</v>
      </c>
      <c r="P724" s="4">
        <v>45244</v>
      </c>
      <c r="Q724" s="4">
        <v>45265</v>
      </c>
      <c r="R724" s="1" t="s">
        <v>80</v>
      </c>
      <c r="AO724" s="7">
        <v>19410</v>
      </c>
      <c r="AP724" s="5">
        <v>8.1</v>
      </c>
      <c r="AQ724" s="5">
        <v>180</v>
      </c>
      <c r="AR724" s="5">
        <v>55</v>
      </c>
      <c r="AS724" s="5">
        <v>4.2</v>
      </c>
      <c r="AT724" s="5">
        <v>63</v>
      </c>
      <c r="AU724" s="5">
        <v>36</v>
      </c>
      <c r="AV724" s="5">
        <v>44.9</v>
      </c>
      <c r="AW724" s="5">
        <v>6.07</v>
      </c>
      <c r="AX724" s="5">
        <v>78</v>
      </c>
      <c r="AY724" s="5">
        <v>90.73</v>
      </c>
      <c r="AZ724" s="5">
        <v>7.96</v>
      </c>
      <c r="BA724" s="5">
        <v>4.97</v>
      </c>
      <c r="BB724" s="12" t="s">
        <v>76</v>
      </c>
      <c r="BC724" s="5">
        <v>4.7</v>
      </c>
      <c r="BD724" s="5">
        <v>180</v>
      </c>
      <c r="BE724" s="5" t="s">
        <v>76</v>
      </c>
      <c r="BF724" s="5" t="s">
        <v>76</v>
      </c>
      <c r="BG724" s="15">
        <v>36.5</v>
      </c>
      <c r="BH724" s="5">
        <v>61</v>
      </c>
      <c r="BI724" s="5">
        <v>70</v>
      </c>
      <c r="BJ724" s="5">
        <v>20</v>
      </c>
      <c r="BK724" s="5">
        <v>126</v>
      </c>
      <c r="BL724" s="5">
        <v>82</v>
      </c>
      <c r="BM724" s="5">
        <v>76</v>
      </c>
      <c r="BN724" s="5">
        <v>165</v>
      </c>
      <c r="BO724" s="5">
        <f t="shared" si="11"/>
        <v>27.9155188246097</v>
      </c>
      <c r="BP724" s="5" t="s">
        <v>107</v>
      </c>
      <c r="BQ724" s="5">
        <v>6.4</v>
      </c>
      <c r="BR724" s="5">
        <v>5224</v>
      </c>
    </row>
    <row r="725" s="1" customFormat="1" spans="1:70">
      <c r="A725" s="1">
        <v>3328501</v>
      </c>
      <c r="B725" s="1" t="s">
        <v>1838</v>
      </c>
      <c r="D725" s="4">
        <v>45029</v>
      </c>
      <c r="E725" s="4">
        <v>45039</v>
      </c>
      <c r="F725" s="7">
        <v>19422</v>
      </c>
      <c r="G725" s="1">
        <v>35</v>
      </c>
      <c r="H725" s="1">
        <v>10</v>
      </c>
      <c r="I725" s="1">
        <v>53</v>
      </c>
      <c r="J725" s="1">
        <v>10</v>
      </c>
      <c r="K725" s="1">
        <v>48</v>
      </c>
      <c r="L725" s="1">
        <v>24</v>
      </c>
      <c r="M725" s="1">
        <v>0.45</v>
      </c>
      <c r="N725" s="1">
        <v>11.7</v>
      </c>
      <c r="O725" s="7">
        <v>19422</v>
      </c>
      <c r="P725" s="4">
        <v>45029</v>
      </c>
      <c r="Q725" s="4">
        <v>45039</v>
      </c>
      <c r="R725" s="1" t="s">
        <v>80</v>
      </c>
      <c r="AO725" s="7">
        <v>19422</v>
      </c>
      <c r="AP725" s="5">
        <v>9.5</v>
      </c>
      <c r="AQ725" s="5">
        <v>143</v>
      </c>
      <c r="AR725" s="5">
        <v>41.7</v>
      </c>
      <c r="AS725" s="5">
        <v>9.8</v>
      </c>
      <c r="AT725" s="5">
        <v>84</v>
      </c>
      <c r="AU725" s="5">
        <v>94</v>
      </c>
      <c r="AV725" s="5">
        <v>41.2</v>
      </c>
      <c r="AW725" s="5">
        <v>7.8</v>
      </c>
      <c r="AX725" s="5">
        <v>72</v>
      </c>
      <c r="AY725" s="5" t="s">
        <v>125</v>
      </c>
      <c r="AZ725" s="5" t="s">
        <v>75</v>
      </c>
      <c r="BA725" s="5">
        <v>5.95</v>
      </c>
      <c r="BB725" s="12" t="s">
        <v>76</v>
      </c>
      <c r="BC725" s="5">
        <v>3.98</v>
      </c>
      <c r="BD725" s="5">
        <v>143</v>
      </c>
      <c r="BE725" s="5">
        <v>1.11</v>
      </c>
      <c r="BF725" s="5">
        <v>4.34</v>
      </c>
      <c r="BG725" s="15">
        <v>36.5</v>
      </c>
      <c r="BH725" s="5">
        <v>85</v>
      </c>
      <c r="BI725" s="5">
        <v>85</v>
      </c>
      <c r="BJ725" s="5">
        <v>19</v>
      </c>
      <c r="BK725" s="5">
        <v>100</v>
      </c>
      <c r="BL725" s="5">
        <v>56</v>
      </c>
      <c r="BM725" s="5">
        <v>70</v>
      </c>
      <c r="BN725" s="5">
        <v>173</v>
      </c>
      <c r="BO725" s="5">
        <f t="shared" si="11"/>
        <v>23.3886865581877</v>
      </c>
      <c r="BP725" s="5" t="s">
        <v>323</v>
      </c>
      <c r="BQ725" s="5">
        <v>6.4</v>
      </c>
      <c r="BR725" s="5">
        <v>5539</v>
      </c>
    </row>
    <row r="726" s="1" customFormat="1" spans="1:70">
      <c r="A726" s="1" t="s">
        <v>1839</v>
      </c>
      <c r="B726" s="1" t="s">
        <v>1840</v>
      </c>
      <c r="D726" s="4">
        <v>45000</v>
      </c>
      <c r="E726" s="4">
        <v>45019</v>
      </c>
      <c r="F726" s="7">
        <v>19427</v>
      </c>
      <c r="G726" s="1">
        <v>34</v>
      </c>
      <c r="H726" s="1">
        <v>12</v>
      </c>
      <c r="I726" s="1">
        <v>40</v>
      </c>
      <c r="J726" s="1">
        <v>12</v>
      </c>
      <c r="K726" s="1">
        <v>75</v>
      </c>
      <c r="L726" s="1">
        <v>43</v>
      </c>
      <c r="M726" s="1">
        <v>0.7</v>
      </c>
      <c r="N726" s="1">
        <v>7.7</v>
      </c>
      <c r="O726" s="7">
        <v>19427</v>
      </c>
      <c r="P726" s="4">
        <v>45000</v>
      </c>
      <c r="Q726" s="4">
        <v>45019</v>
      </c>
      <c r="R726" s="1" t="s">
        <v>73</v>
      </c>
      <c r="AO726" s="7">
        <v>19427</v>
      </c>
      <c r="AP726" s="5" t="s">
        <v>1300</v>
      </c>
      <c r="AQ726" s="5" t="s">
        <v>103</v>
      </c>
      <c r="AR726" s="5" t="s">
        <v>1841</v>
      </c>
      <c r="AS726" s="5" t="s">
        <v>1842</v>
      </c>
      <c r="AT726" s="5" t="s">
        <v>201</v>
      </c>
      <c r="AU726" s="5" t="s">
        <v>614</v>
      </c>
      <c r="AV726" s="5" t="s">
        <v>741</v>
      </c>
      <c r="AW726" s="5" t="s">
        <v>1843</v>
      </c>
      <c r="AX726" s="5" t="s">
        <v>598</v>
      </c>
      <c r="AY726" s="5" t="s">
        <v>125</v>
      </c>
      <c r="AZ726" s="5" t="s">
        <v>306</v>
      </c>
      <c r="BA726" s="5" t="s">
        <v>76</v>
      </c>
      <c r="BB726" s="12" t="s">
        <v>76</v>
      </c>
      <c r="BC726" s="5" t="s">
        <v>1844</v>
      </c>
      <c r="BD726" s="5" t="s">
        <v>103</v>
      </c>
      <c r="BE726" s="5" t="s">
        <v>76</v>
      </c>
      <c r="BF726" s="5" t="s">
        <v>76</v>
      </c>
      <c r="BG726" s="15">
        <v>37</v>
      </c>
      <c r="BH726" s="5" t="s">
        <v>76</v>
      </c>
      <c r="BI726" s="5" t="s">
        <v>407</v>
      </c>
      <c r="BJ726" s="5" t="s">
        <v>769</v>
      </c>
      <c r="BK726" s="5" t="s">
        <v>1295</v>
      </c>
      <c r="BL726" s="5" t="s">
        <v>1006</v>
      </c>
      <c r="BM726" s="5" t="s">
        <v>1845</v>
      </c>
      <c r="BN726" s="5">
        <v>160</v>
      </c>
      <c r="BO726" s="5" t="e">
        <f t="shared" si="11"/>
        <v>#VALUE!</v>
      </c>
      <c r="BP726" s="5" t="s">
        <v>196</v>
      </c>
      <c r="BQ726" s="5" t="s">
        <v>76</v>
      </c>
      <c r="BR726" s="5">
        <v>9587</v>
      </c>
    </row>
    <row r="727" s="1" customFormat="1" spans="1:70">
      <c r="A727" s="1">
        <v>3287366</v>
      </c>
      <c r="B727" s="1" t="s">
        <v>1846</v>
      </c>
      <c r="D727" s="4">
        <v>44973</v>
      </c>
      <c r="E727" s="4">
        <v>44978</v>
      </c>
      <c r="F727" s="7">
        <v>19433</v>
      </c>
      <c r="G727" s="1">
        <v>43</v>
      </c>
      <c r="H727" s="1">
        <v>11</v>
      </c>
      <c r="I727" s="1">
        <v>41</v>
      </c>
      <c r="J727" s="1">
        <v>11</v>
      </c>
      <c r="K727" s="1">
        <v>58</v>
      </c>
      <c r="L727" s="1">
        <v>30</v>
      </c>
      <c r="O727" s="7">
        <v>19433</v>
      </c>
      <c r="P727" s="4">
        <v>44973</v>
      </c>
      <c r="Q727" s="4">
        <v>44978</v>
      </c>
      <c r="R727" s="1" t="s">
        <v>73</v>
      </c>
      <c r="AO727" s="7">
        <v>19433</v>
      </c>
      <c r="AP727" s="5">
        <v>8.8</v>
      </c>
      <c r="AQ727" s="5">
        <v>146</v>
      </c>
      <c r="AR727" s="5">
        <v>46.5</v>
      </c>
      <c r="AS727" s="5">
        <v>1</v>
      </c>
      <c r="AT727" s="5">
        <v>20</v>
      </c>
      <c r="AU727" s="5">
        <v>15</v>
      </c>
      <c r="AV727" s="5">
        <v>38.1</v>
      </c>
      <c r="AW727" s="5">
        <v>9.45</v>
      </c>
      <c r="AX727" s="5">
        <v>71</v>
      </c>
      <c r="AY727" s="5">
        <v>75.26</v>
      </c>
      <c r="AZ727" s="5" t="s">
        <v>804</v>
      </c>
      <c r="BA727" s="5">
        <v>5.62</v>
      </c>
      <c r="BB727" s="12" t="s">
        <v>76</v>
      </c>
      <c r="BC727" s="5">
        <v>4.7</v>
      </c>
      <c r="BD727" s="5">
        <v>146</v>
      </c>
      <c r="BE727" s="5">
        <v>0.78</v>
      </c>
      <c r="BF727" s="5">
        <v>3.89</v>
      </c>
      <c r="BG727" s="15">
        <v>36.2</v>
      </c>
      <c r="BH727" s="5">
        <v>65</v>
      </c>
      <c r="BI727" s="5">
        <v>84</v>
      </c>
      <c r="BJ727" s="5">
        <v>16</v>
      </c>
      <c r="BK727" s="5">
        <v>124</v>
      </c>
      <c r="BL727" s="5">
        <v>75</v>
      </c>
      <c r="BM727" s="5">
        <v>65</v>
      </c>
      <c r="BN727" s="5">
        <v>156</v>
      </c>
      <c r="BO727" s="5">
        <f t="shared" si="11"/>
        <v>26.7094017094017</v>
      </c>
      <c r="BP727" s="5" t="s">
        <v>121</v>
      </c>
      <c r="BQ727" s="5">
        <v>10.7</v>
      </c>
      <c r="BR727" s="5">
        <v>2742</v>
      </c>
    </row>
    <row r="728" s="1" customFormat="1" spans="1:70">
      <c r="A728" s="1">
        <v>3262998</v>
      </c>
      <c r="B728" s="1" t="s">
        <v>1847</v>
      </c>
      <c r="D728" s="4">
        <v>44934</v>
      </c>
      <c r="E728" s="4">
        <v>44962</v>
      </c>
      <c r="F728" s="7">
        <v>19438</v>
      </c>
      <c r="G728" s="1">
        <v>36</v>
      </c>
      <c r="H728" s="1">
        <v>10</v>
      </c>
      <c r="I728" s="1">
        <v>51</v>
      </c>
      <c r="J728" s="1">
        <v>10</v>
      </c>
      <c r="K728" s="1">
        <v>57</v>
      </c>
      <c r="L728" s="1">
        <v>30</v>
      </c>
      <c r="M728" s="1">
        <v>0.67</v>
      </c>
      <c r="N728" s="1">
        <v>10.3</v>
      </c>
      <c r="O728" s="7">
        <v>19438</v>
      </c>
      <c r="P728" s="4">
        <v>44934</v>
      </c>
      <c r="Q728" s="4">
        <v>44962</v>
      </c>
      <c r="R728" s="1" t="s">
        <v>80</v>
      </c>
      <c r="AO728" s="7">
        <v>19438</v>
      </c>
      <c r="AP728" s="5">
        <v>8.8</v>
      </c>
      <c r="AQ728" s="5">
        <v>89</v>
      </c>
      <c r="AR728" s="5">
        <v>40</v>
      </c>
      <c r="AS728" s="5">
        <v>87.1</v>
      </c>
      <c r="AT728" s="5">
        <v>44</v>
      </c>
      <c r="AU728" s="5">
        <v>54</v>
      </c>
      <c r="AV728" s="5">
        <v>31.3</v>
      </c>
      <c r="AW728" s="5">
        <v>9.96</v>
      </c>
      <c r="AX728" s="5">
        <v>98</v>
      </c>
      <c r="AY728" s="5" t="s">
        <v>125</v>
      </c>
      <c r="AZ728" s="5">
        <v>15.1</v>
      </c>
      <c r="BA728" s="5" t="s">
        <v>76</v>
      </c>
      <c r="BB728" s="12" t="s">
        <v>76</v>
      </c>
      <c r="BC728" s="5">
        <v>4.67</v>
      </c>
      <c r="BD728" s="5">
        <v>89</v>
      </c>
      <c r="BE728" s="5" t="s">
        <v>76</v>
      </c>
      <c r="BF728" s="5" t="s">
        <v>76</v>
      </c>
      <c r="BG728" s="15">
        <v>36.2</v>
      </c>
      <c r="BH728" s="5">
        <v>116</v>
      </c>
      <c r="BI728" s="5" t="s">
        <v>76</v>
      </c>
      <c r="BJ728" s="5">
        <v>18</v>
      </c>
      <c r="BK728" s="5">
        <v>115</v>
      </c>
      <c r="BL728" s="5">
        <v>79</v>
      </c>
      <c r="BM728" s="5" t="s">
        <v>274</v>
      </c>
      <c r="BN728" s="5" t="s">
        <v>274</v>
      </c>
      <c r="BO728" s="5" t="e">
        <f t="shared" si="11"/>
        <v>#VALUE!</v>
      </c>
      <c r="BP728" s="5" t="s">
        <v>109</v>
      </c>
      <c r="BQ728" s="5" t="s">
        <v>76</v>
      </c>
      <c r="BR728" s="5">
        <v>4108</v>
      </c>
    </row>
    <row r="729" s="1" customFormat="1" spans="1:70">
      <c r="A729" s="1" t="s">
        <v>1848</v>
      </c>
      <c r="B729" s="1" t="s">
        <v>1849</v>
      </c>
      <c r="D729" s="4">
        <v>44926</v>
      </c>
      <c r="E729" s="4">
        <v>44953</v>
      </c>
      <c r="F729" s="7">
        <v>19439</v>
      </c>
      <c r="G729" s="1">
        <v>41</v>
      </c>
      <c r="H729" s="1">
        <v>10</v>
      </c>
      <c r="I729" s="1">
        <v>52</v>
      </c>
      <c r="J729" s="1">
        <v>10</v>
      </c>
      <c r="K729" s="1">
        <v>58</v>
      </c>
      <c r="L729" s="1">
        <v>31</v>
      </c>
      <c r="M729" s="1">
        <v>0.59</v>
      </c>
      <c r="N729" s="1">
        <v>9.8</v>
      </c>
      <c r="O729" s="7">
        <v>19439</v>
      </c>
      <c r="P729" s="4">
        <v>44926</v>
      </c>
      <c r="Q729" s="4">
        <v>44953</v>
      </c>
      <c r="R729" s="1" t="s">
        <v>80</v>
      </c>
      <c r="AO729" s="7">
        <v>19439</v>
      </c>
      <c r="AP729" s="5" t="s">
        <v>1118</v>
      </c>
      <c r="AQ729" s="5" t="s">
        <v>100</v>
      </c>
      <c r="AR729" s="5" t="s">
        <v>845</v>
      </c>
      <c r="AS729" s="5" t="s">
        <v>1118</v>
      </c>
      <c r="AT729" s="5" t="s">
        <v>594</v>
      </c>
      <c r="AU729" s="5" t="s">
        <v>171</v>
      </c>
      <c r="AV729" s="5" t="s">
        <v>1850</v>
      </c>
      <c r="AW729" s="5" t="s">
        <v>1851</v>
      </c>
      <c r="AX729" s="5" t="s">
        <v>1852</v>
      </c>
      <c r="AY729" s="5" t="s">
        <v>1853</v>
      </c>
      <c r="AZ729" s="5" t="s">
        <v>871</v>
      </c>
      <c r="BA729" s="5" t="s">
        <v>76</v>
      </c>
      <c r="BB729" s="12" t="s">
        <v>76</v>
      </c>
      <c r="BC729" s="5" t="s">
        <v>1854</v>
      </c>
      <c r="BD729" s="5" t="s">
        <v>100</v>
      </c>
      <c r="BE729" s="5" t="s">
        <v>76</v>
      </c>
      <c r="BF729" s="5" t="s">
        <v>76</v>
      </c>
      <c r="BG729" s="15">
        <v>37.2</v>
      </c>
      <c r="BH729" s="5" t="s">
        <v>103</v>
      </c>
      <c r="BI729" s="5" t="s">
        <v>103</v>
      </c>
      <c r="BJ729" s="5" t="s">
        <v>293</v>
      </c>
      <c r="BK729" s="5" t="s">
        <v>1090</v>
      </c>
      <c r="BL729" s="5" t="s">
        <v>100</v>
      </c>
      <c r="BM729" s="5" t="s">
        <v>425</v>
      </c>
      <c r="BN729" s="5">
        <v>170</v>
      </c>
      <c r="BO729" s="5">
        <f t="shared" si="11"/>
        <v>24.2214532871972</v>
      </c>
      <c r="BP729" s="5" t="s">
        <v>501</v>
      </c>
      <c r="BQ729" s="5" t="s">
        <v>1855</v>
      </c>
      <c r="BR729" s="5">
        <v>9962</v>
      </c>
    </row>
    <row r="730" s="1" customFormat="1" spans="1:70">
      <c r="A730" s="1">
        <v>3515933</v>
      </c>
      <c r="B730" s="1" t="s">
        <v>1856</v>
      </c>
      <c r="D730" s="4">
        <v>45288</v>
      </c>
      <c r="E730" s="4">
        <v>45291</v>
      </c>
      <c r="F730" s="7">
        <v>19455</v>
      </c>
      <c r="G730" s="1">
        <v>42</v>
      </c>
      <c r="H730" s="1">
        <v>10</v>
      </c>
      <c r="I730" s="1">
        <v>52</v>
      </c>
      <c r="J730" s="1">
        <v>9</v>
      </c>
      <c r="K730" s="1">
        <v>51</v>
      </c>
      <c r="L730" s="1">
        <v>26</v>
      </c>
      <c r="M730" s="1">
        <v>0.62</v>
      </c>
      <c r="N730" s="1">
        <v>9.6</v>
      </c>
      <c r="O730" s="7">
        <v>19455</v>
      </c>
      <c r="P730" s="4">
        <v>45288</v>
      </c>
      <c r="Q730" s="4">
        <v>45291</v>
      </c>
      <c r="R730" s="1" t="s">
        <v>80</v>
      </c>
      <c r="AO730" s="7">
        <v>19455</v>
      </c>
      <c r="AP730" s="5">
        <v>9.6</v>
      </c>
      <c r="AQ730" s="5">
        <v>132</v>
      </c>
      <c r="AR730" s="5">
        <v>41.3</v>
      </c>
      <c r="AS730" s="5">
        <v>67.9</v>
      </c>
      <c r="AT730" s="5">
        <v>209</v>
      </c>
      <c r="AU730" s="5">
        <v>262</v>
      </c>
      <c r="AV730" s="5">
        <v>32.3</v>
      </c>
      <c r="AW730" s="5">
        <v>9.05</v>
      </c>
      <c r="AX730" s="5">
        <v>57</v>
      </c>
      <c r="AY730" s="5" t="s">
        <v>125</v>
      </c>
      <c r="AZ730" s="5">
        <v>9.88</v>
      </c>
      <c r="BA730" s="5">
        <v>3.75</v>
      </c>
      <c r="BB730" s="12" t="s">
        <v>76</v>
      </c>
      <c r="BC730" s="5">
        <v>3.84</v>
      </c>
      <c r="BD730" s="5">
        <v>132</v>
      </c>
      <c r="BE730" s="5">
        <v>0.56</v>
      </c>
      <c r="BF730" s="5">
        <v>2.59</v>
      </c>
      <c r="BG730" s="15">
        <v>36.6</v>
      </c>
      <c r="BH730" s="5">
        <v>106</v>
      </c>
      <c r="BI730" s="5">
        <v>106</v>
      </c>
      <c r="BJ730" s="5">
        <v>18</v>
      </c>
      <c r="BK730" s="5">
        <v>154</v>
      </c>
      <c r="BL730" s="5">
        <v>86</v>
      </c>
      <c r="BM730" s="5">
        <v>80</v>
      </c>
      <c r="BN730" s="5">
        <v>170</v>
      </c>
      <c r="BO730" s="5">
        <f t="shared" si="11"/>
        <v>27.681660899654</v>
      </c>
      <c r="BP730" s="5" t="s">
        <v>323</v>
      </c>
      <c r="BQ730" s="5">
        <v>8.7</v>
      </c>
      <c r="BR730" s="5">
        <v>2926.41</v>
      </c>
    </row>
    <row r="731" s="1" customFormat="1" spans="1:70">
      <c r="A731" s="1">
        <v>3260108</v>
      </c>
      <c r="B731" s="1" t="s">
        <v>1857</v>
      </c>
      <c r="C731" s="1" t="s">
        <v>273</v>
      </c>
      <c r="D731" s="4">
        <v>44928</v>
      </c>
      <c r="E731" s="4">
        <v>44935</v>
      </c>
      <c r="F731" s="7">
        <v>19460</v>
      </c>
      <c r="G731" s="1">
        <v>31</v>
      </c>
      <c r="H731" s="1">
        <v>10</v>
      </c>
      <c r="I731" s="1">
        <v>43</v>
      </c>
      <c r="J731" s="1">
        <v>9</v>
      </c>
      <c r="K731" s="1">
        <v>50</v>
      </c>
      <c r="L731" s="1">
        <v>25</v>
      </c>
      <c r="M731" s="1">
        <v>0.58</v>
      </c>
      <c r="N731" s="1">
        <v>10.5</v>
      </c>
      <c r="O731" s="7">
        <v>19460</v>
      </c>
      <c r="P731" s="4">
        <v>44928</v>
      </c>
      <c r="Q731" s="4">
        <v>44935</v>
      </c>
      <c r="R731" s="1" t="s">
        <v>73</v>
      </c>
      <c r="AO731" s="7">
        <v>19460</v>
      </c>
      <c r="AP731" s="5">
        <v>9.9</v>
      </c>
      <c r="AQ731" s="5">
        <v>151</v>
      </c>
      <c r="AR731" s="5">
        <v>47.1</v>
      </c>
      <c r="AS731" s="5" t="s">
        <v>81</v>
      </c>
      <c r="AT731" s="5">
        <v>95</v>
      </c>
      <c r="AU731" s="5">
        <v>37</v>
      </c>
      <c r="AV731" s="5">
        <v>46.9</v>
      </c>
      <c r="AW731" s="5">
        <v>7.47</v>
      </c>
      <c r="AX731" s="5">
        <v>79</v>
      </c>
      <c r="AY731" s="5">
        <v>89.66</v>
      </c>
      <c r="AZ731" s="5" t="s">
        <v>75</v>
      </c>
      <c r="BA731" s="5">
        <v>4.33</v>
      </c>
      <c r="BB731" s="12" t="s">
        <v>76</v>
      </c>
      <c r="BC731" s="5">
        <v>3.99</v>
      </c>
      <c r="BD731" s="5">
        <v>151</v>
      </c>
      <c r="BE731" s="5">
        <v>1.09</v>
      </c>
      <c r="BF731" s="5">
        <v>2.78</v>
      </c>
      <c r="BG731" s="15">
        <v>36.6</v>
      </c>
      <c r="BH731" s="5">
        <v>67</v>
      </c>
      <c r="BI731" s="5">
        <v>67</v>
      </c>
      <c r="BJ731" s="5">
        <v>20</v>
      </c>
      <c r="BK731" s="5">
        <v>122</v>
      </c>
      <c r="BL731" s="5">
        <v>69</v>
      </c>
      <c r="BM731" s="5">
        <v>50</v>
      </c>
      <c r="BN731" s="5">
        <v>152</v>
      </c>
      <c r="BO731" s="5">
        <f t="shared" si="11"/>
        <v>21.6412742382271</v>
      </c>
      <c r="BP731" s="5" t="s">
        <v>323</v>
      </c>
      <c r="BQ731" s="5">
        <v>6.2</v>
      </c>
      <c r="BR731" s="5">
        <v>987</v>
      </c>
    </row>
    <row r="732" s="1" customFormat="1" spans="1:70">
      <c r="A732" s="1" t="s">
        <v>1858</v>
      </c>
      <c r="B732" s="1" t="s">
        <v>1859</v>
      </c>
      <c r="D732" s="4">
        <v>44935</v>
      </c>
      <c r="E732" s="4">
        <v>44946</v>
      </c>
      <c r="F732" s="7">
        <v>19461</v>
      </c>
      <c r="G732" s="1">
        <v>45</v>
      </c>
      <c r="H732" s="1">
        <v>11</v>
      </c>
      <c r="I732" s="1">
        <v>50</v>
      </c>
      <c r="J732" s="1">
        <v>12</v>
      </c>
      <c r="K732" s="1">
        <v>68</v>
      </c>
      <c r="L732" s="1">
        <v>38</v>
      </c>
      <c r="M732" s="1">
        <v>1.06</v>
      </c>
      <c r="N732" s="1">
        <v>20.6</v>
      </c>
      <c r="O732" s="7">
        <v>19461</v>
      </c>
      <c r="P732" s="4">
        <v>44935</v>
      </c>
      <c r="Q732" s="4">
        <v>44946</v>
      </c>
      <c r="R732" s="1" t="s">
        <v>80</v>
      </c>
      <c r="S732" s="1">
        <v>69</v>
      </c>
      <c r="T732" s="1" t="s">
        <v>1860</v>
      </c>
      <c r="AA732" s="1">
        <v>1</v>
      </c>
      <c r="AO732" s="7">
        <v>19461</v>
      </c>
      <c r="AP732" s="5" t="s">
        <v>1861</v>
      </c>
      <c r="AQ732" s="5" t="s">
        <v>215</v>
      </c>
      <c r="AR732" s="5" t="s">
        <v>1862</v>
      </c>
      <c r="AS732" s="5" t="s">
        <v>1055</v>
      </c>
      <c r="AT732" s="5" t="s">
        <v>512</v>
      </c>
      <c r="AU732" s="5" t="s">
        <v>93</v>
      </c>
      <c r="AV732" s="5" t="s">
        <v>1256</v>
      </c>
      <c r="AW732" s="5" t="s">
        <v>1863</v>
      </c>
      <c r="AX732" s="5" t="s">
        <v>598</v>
      </c>
      <c r="AY732" s="5" t="s">
        <v>1864</v>
      </c>
      <c r="AZ732" s="5" t="s">
        <v>75</v>
      </c>
      <c r="BA732" s="5" t="s">
        <v>1865</v>
      </c>
      <c r="BB732" s="12" t="s">
        <v>76</v>
      </c>
      <c r="BC732" s="5" t="s">
        <v>1635</v>
      </c>
      <c r="BD732" s="5" t="s">
        <v>215</v>
      </c>
      <c r="BE732" s="5" t="s">
        <v>1866</v>
      </c>
      <c r="BF732" s="5" t="s">
        <v>1867</v>
      </c>
      <c r="BG732" s="15">
        <v>36.9</v>
      </c>
      <c r="BH732" s="5" t="s">
        <v>658</v>
      </c>
      <c r="BI732" s="5" t="s">
        <v>173</v>
      </c>
      <c r="BJ732" s="5" t="s">
        <v>246</v>
      </c>
      <c r="BK732" s="5" t="s">
        <v>759</v>
      </c>
      <c r="BL732" s="5" t="s">
        <v>483</v>
      </c>
      <c r="BM732" s="5" t="s">
        <v>352</v>
      </c>
      <c r="BN732" s="5">
        <v>165</v>
      </c>
      <c r="BO732" s="5">
        <f t="shared" si="11"/>
        <v>20.2020202020202</v>
      </c>
      <c r="BP732" s="5" t="s">
        <v>542</v>
      </c>
      <c r="BQ732" s="5" t="s">
        <v>76</v>
      </c>
      <c r="BR732" s="5">
        <v>1849</v>
      </c>
    </row>
    <row r="733" s="1" customFormat="1" spans="1:70">
      <c r="A733" s="1">
        <v>3321956</v>
      </c>
      <c r="B733" s="1" t="s">
        <v>1868</v>
      </c>
      <c r="D733" s="4">
        <v>45020</v>
      </c>
      <c r="E733" s="4">
        <v>45026</v>
      </c>
      <c r="F733" s="7">
        <v>19464</v>
      </c>
      <c r="G733" s="1">
        <v>36</v>
      </c>
      <c r="H733" s="1">
        <v>9</v>
      </c>
      <c r="I733" s="1">
        <v>46</v>
      </c>
      <c r="J733" s="1">
        <v>9</v>
      </c>
      <c r="K733" s="1">
        <v>66</v>
      </c>
      <c r="L733" s="1">
        <v>36</v>
      </c>
      <c r="M733" s="1">
        <v>0.56</v>
      </c>
      <c r="N733" s="1">
        <v>15.2</v>
      </c>
      <c r="O733" s="7">
        <v>19464</v>
      </c>
      <c r="P733" s="4">
        <v>45020</v>
      </c>
      <c r="Q733" s="4">
        <v>45026</v>
      </c>
      <c r="R733" s="1" t="s">
        <v>73</v>
      </c>
      <c r="AO733" s="7">
        <v>19464</v>
      </c>
      <c r="AP733" s="5">
        <v>9.6</v>
      </c>
      <c r="AQ733" s="5">
        <v>129</v>
      </c>
      <c r="AR733" s="5">
        <v>40.4</v>
      </c>
      <c r="AS733" s="5">
        <v>7.5</v>
      </c>
      <c r="AT733" s="5">
        <v>56</v>
      </c>
      <c r="AU733" s="5">
        <v>45</v>
      </c>
      <c r="AV733" s="5">
        <v>45.5</v>
      </c>
      <c r="AW733" s="5">
        <v>6.53</v>
      </c>
      <c r="AX733" s="5">
        <v>62</v>
      </c>
      <c r="AY733" s="5" t="s">
        <v>125</v>
      </c>
      <c r="AZ733" s="5" t="s">
        <v>75</v>
      </c>
      <c r="BA733" s="5">
        <v>5.44</v>
      </c>
      <c r="BB733" s="12" t="s">
        <v>76</v>
      </c>
      <c r="BC733" s="5">
        <v>4.3</v>
      </c>
      <c r="BD733" s="5">
        <v>129</v>
      </c>
      <c r="BE733" s="5">
        <v>1.31</v>
      </c>
      <c r="BF733" s="5">
        <v>3.62</v>
      </c>
      <c r="BG733" s="15">
        <v>36.6</v>
      </c>
      <c r="BH733" s="5">
        <v>75</v>
      </c>
      <c r="BI733" s="5">
        <v>99</v>
      </c>
      <c r="BJ733" s="5">
        <v>18</v>
      </c>
      <c r="BK733" s="5">
        <v>115</v>
      </c>
      <c r="BL733" s="5">
        <v>75</v>
      </c>
      <c r="BM733" s="5">
        <v>70</v>
      </c>
      <c r="BN733" s="5">
        <v>155</v>
      </c>
      <c r="BO733" s="5">
        <f t="shared" si="11"/>
        <v>29.1363163371488</v>
      </c>
      <c r="BP733" s="5" t="s">
        <v>323</v>
      </c>
      <c r="BQ733" s="5">
        <v>5.4</v>
      </c>
      <c r="BR733" s="5">
        <v>966</v>
      </c>
    </row>
    <row r="734" s="1" customFormat="1" spans="1:70">
      <c r="A734" s="1">
        <v>3293948</v>
      </c>
      <c r="B734" s="1" t="s">
        <v>1869</v>
      </c>
      <c r="D734" s="4">
        <v>44983</v>
      </c>
      <c r="E734" s="4">
        <v>44999</v>
      </c>
      <c r="F734" s="7">
        <v>19465</v>
      </c>
      <c r="G734" s="1">
        <v>40</v>
      </c>
      <c r="H734" s="1">
        <v>8</v>
      </c>
      <c r="I734" s="1">
        <v>45</v>
      </c>
      <c r="J734" s="1">
        <v>8</v>
      </c>
      <c r="K734" s="1">
        <v>58</v>
      </c>
      <c r="L734" s="1">
        <v>31</v>
      </c>
      <c r="O734" s="7">
        <v>19465</v>
      </c>
      <c r="P734" s="4">
        <v>44983</v>
      </c>
      <c r="Q734" s="4">
        <v>44999</v>
      </c>
      <c r="R734" s="1" t="s">
        <v>73</v>
      </c>
      <c r="AO734" s="7">
        <v>19465</v>
      </c>
      <c r="AP734" s="5">
        <v>8.9</v>
      </c>
      <c r="AQ734" s="5">
        <v>99</v>
      </c>
      <c r="AR734" s="5">
        <v>38.3</v>
      </c>
      <c r="AS734" s="5">
        <v>8.1</v>
      </c>
      <c r="AT734" s="5">
        <v>60</v>
      </c>
      <c r="AU734" s="5">
        <v>9</v>
      </c>
      <c r="AV734" s="5">
        <v>35.5</v>
      </c>
      <c r="AW734" s="5">
        <v>6.4</v>
      </c>
      <c r="AX734" s="5">
        <v>46</v>
      </c>
      <c r="AY734" s="5" t="s">
        <v>125</v>
      </c>
      <c r="AZ734" s="5">
        <v>9.9</v>
      </c>
      <c r="BA734" s="5">
        <v>2.83</v>
      </c>
      <c r="BB734" s="12" t="s">
        <v>76</v>
      </c>
      <c r="BC734" s="5">
        <v>4.56</v>
      </c>
      <c r="BD734" s="5">
        <v>99</v>
      </c>
      <c r="BE734" s="5" t="s">
        <v>76</v>
      </c>
      <c r="BF734" s="5" t="s">
        <v>76</v>
      </c>
      <c r="BG734" s="15">
        <v>36.7</v>
      </c>
      <c r="BH734" s="5" t="s">
        <v>76</v>
      </c>
      <c r="BI734" s="5">
        <v>67</v>
      </c>
      <c r="BJ734" s="5">
        <v>15</v>
      </c>
      <c r="BK734" s="5">
        <v>168</v>
      </c>
      <c r="BL734" s="5">
        <v>98</v>
      </c>
      <c r="BM734" s="5">
        <v>55</v>
      </c>
      <c r="BN734" s="5">
        <v>160</v>
      </c>
      <c r="BO734" s="5">
        <f t="shared" si="11"/>
        <v>21.484375</v>
      </c>
      <c r="BP734" s="5" t="s">
        <v>85</v>
      </c>
      <c r="BQ734" s="5" t="s">
        <v>76</v>
      </c>
      <c r="BR734" s="5">
        <v>925</v>
      </c>
    </row>
    <row r="735" s="1" customFormat="1" spans="1:70">
      <c r="A735" s="1">
        <v>3304028</v>
      </c>
      <c r="B735" s="1" t="s">
        <v>1870</v>
      </c>
      <c r="D735" s="4">
        <v>44995</v>
      </c>
      <c r="E735" s="4">
        <v>45015</v>
      </c>
      <c r="F735" s="7">
        <v>19479</v>
      </c>
      <c r="G735" s="1">
        <v>28</v>
      </c>
      <c r="H735" s="1">
        <v>10</v>
      </c>
      <c r="I735" s="1">
        <v>41</v>
      </c>
      <c r="J735" s="1">
        <v>9</v>
      </c>
      <c r="K735" s="1">
        <v>60</v>
      </c>
      <c r="L735" s="1">
        <v>32</v>
      </c>
      <c r="M735" s="1">
        <v>0.67</v>
      </c>
      <c r="O735" s="7">
        <v>19479</v>
      </c>
      <c r="P735" s="4">
        <v>44995</v>
      </c>
      <c r="Q735" s="4">
        <v>45015</v>
      </c>
      <c r="R735" s="1" t="s">
        <v>73</v>
      </c>
      <c r="AO735" s="7">
        <v>19479</v>
      </c>
      <c r="AP735" s="5">
        <v>8.2</v>
      </c>
      <c r="AQ735" s="5">
        <v>96</v>
      </c>
      <c r="AR735" s="5">
        <v>34.4</v>
      </c>
      <c r="AS735" s="5">
        <v>97.5</v>
      </c>
      <c r="AT735" s="5">
        <v>96</v>
      </c>
      <c r="AU735" s="5">
        <v>83</v>
      </c>
      <c r="AV735" s="5">
        <v>36.4</v>
      </c>
      <c r="AW735" s="5">
        <v>9.63</v>
      </c>
      <c r="AX735" s="5">
        <v>95</v>
      </c>
      <c r="AY735" s="5" t="s">
        <v>125</v>
      </c>
      <c r="AZ735" s="5" t="s">
        <v>75</v>
      </c>
      <c r="BA735" s="5" t="s">
        <v>76</v>
      </c>
      <c r="BB735" s="12" t="s">
        <v>76</v>
      </c>
      <c r="BC735" s="5">
        <v>4.61</v>
      </c>
      <c r="BD735" s="5">
        <v>96</v>
      </c>
      <c r="BE735" s="5" t="s">
        <v>76</v>
      </c>
      <c r="BF735" s="5" t="s">
        <v>76</v>
      </c>
      <c r="BG735" s="15">
        <v>37</v>
      </c>
      <c r="BH735" s="5">
        <v>119</v>
      </c>
      <c r="BI735" s="5">
        <v>119</v>
      </c>
      <c r="BJ735" s="5">
        <v>24</v>
      </c>
      <c r="BK735" s="5">
        <v>51</v>
      </c>
      <c r="BL735" s="5">
        <v>35</v>
      </c>
      <c r="BM735" s="5" t="s">
        <v>77</v>
      </c>
      <c r="BN735" s="5" t="s">
        <v>77</v>
      </c>
      <c r="BO735" s="5" t="e">
        <f t="shared" si="11"/>
        <v>#VALUE!</v>
      </c>
      <c r="BP735" s="5" t="s">
        <v>117</v>
      </c>
      <c r="BQ735" s="5" t="s">
        <v>76</v>
      </c>
      <c r="BR735" s="5">
        <v>919</v>
      </c>
    </row>
    <row r="736" s="1" customFormat="1" spans="1:70">
      <c r="A736" s="1">
        <v>3513570</v>
      </c>
      <c r="B736" s="1" t="s">
        <v>1871</v>
      </c>
      <c r="D736" s="4">
        <v>45285</v>
      </c>
      <c r="E736" s="4">
        <v>45289</v>
      </c>
      <c r="F736" s="7">
        <v>19484</v>
      </c>
      <c r="G736" s="1">
        <v>55</v>
      </c>
      <c r="H736" s="1">
        <v>8</v>
      </c>
      <c r="I736" s="1">
        <v>46</v>
      </c>
      <c r="J736" s="1">
        <v>8</v>
      </c>
      <c r="K736" s="1">
        <v>57</v>
      </c>
      <c r="L736" s="1">
        <v>30</v>
      </c>
      <c r="N736" s="10">
        <v>4</v>
      </c>
      <c r="O736" s="7">
        <v>19484</v>
      </c>
      <c r="P736" s="4">
        <v>45285</v>
      </c>
      <c r="Q736" s="4">
        <v>45289</v>
      </c>
      <c r="R736" s="1" t="s">
        <v>73</v>
      </c>
      <c r="AO736" s="7">
        <v>19484</v>
      </c>
      <c r="AP736" s="5">
        <v>866.7</v>
      </c>
      <c r="AQ736" s="5">
        <v>106</v>
      </c>
      <c r="AR736" s="5">
        <v>32.9</v>
      </c>
      <c r="AS736" s="5">
        <v>65.1</v>
      </c>
      <c r="AT736" s="5">
        <v>17</v>
      </c>
      <c r="AU736" s="5">
        <v>13</v>
      </c>
      <c r="AV736" s="5">
        <v>31.2</v>
      </c>
      <c r="AW736" s="5">
        <v>8.95</v>
      </c>
      <c r="AX736" s="5">
        <v>49</v>
      </c>
      <c r="AY736" s="5">
        <v>115.12</v>
      </c>
      <c r="AZ736" s="5" t="s">
        <v>75</v>
      </c>
      <c r="BA736" s="5">
        <v>4.33</v>
      </c>
      <c r="BB736" s="12" t="s">
        <v>76</v>
      </c>
      <c r="BC736" s="5">
        <v>3.44</v>
      </c>
      <c r="BD736" s="5">
        <v>106</v>
      </c>
      <c r="BE736" s="5">
        <v>0.91</v>
      </c>
      <c r="BF736" s="5">
        <v>2.76</v>
      </c>
      <c r="BG736" s="15">
        <v>36.9</v>
      </c>
      <c r="BH736" s="5">
        <v>78</v>
      </c>
      <c r="BI736" s="5">
        <v>78</v>
      </c>
      <c r="BJ736" s="5">
        <v>16</v>
      </c>
      <c r="BK736" s="5">
        <v>114</v>
      </c>
      <c r="BL736" s="5">
        <v>60</v>
      </c>
      <c r="BM736" s="5">
        <v>45</v>
      </c>
      <c r="BN736" s="5">
        <v>150</v>
      </c>
      <c r="BO736" s="5">
        <f t="shared" si="11"/>
        <v>20</v>
      </c>
      <c r="BP736" s="5" t="s">
        <v>1872</v>
      </c>
      <c r="BQ736" s="5" t="s">
        <v>76</v>
      </c>
      <c r="BR736" s="5">
        <v>1054</v>
      </c>
    </row>
    <row r="737" s="1" customFormat="1" spans="1:70">
      <c r="A737" s="1">
        <v>3302936</v>
      </c>
      <c r="B737" s="1" t="s">
        <v>1873</v>
      </c>
      <c r="D737" s="4">
        <v>44994</v>
      </c>
      <c r="E737" s="4">
        <v>45007</v>
      </c>
      <c r="F737" s="7">
        <v>19489</v>
      </c>
      <c r="G737" s="1">
        <v>40</v>
      </c>
      <c r="H737" s="1">
        <v>10</v>
      </c>
      <c r="I737" s="1">
        <v>49</v>
      </c>
      <c r="J737" s="1">
        <v>10</v>
      </c>
      <c r="K737" s="1">
        <v>60</v>
      </c>
      <c r="L737" s="1">
        <v>32</v>
      </c>
      <c r="M737" s="1">
        <v>0.6</v>
      </c>
      <c r="N737" s="1">
        <v>11.7</v>
      </c>
      <c r="O737" s="7">
        <v>19489</v>
      </c>
      <c r="P737" s="4">
        <v>44994</v>
      </c>
      <c r="Q737" s="4">
        <v>45007</v>
      </c>
      <c r="R737" s="1" t="s">
        <v>73</v>
      </c>
      <c r="AO737" s="7">
        <v>19489</v>
      </c>
      <c r="AP737" s="5">
        <v>84.6</v>
      </c>
      <c r="AQ737" s="5">
        <v>148</v>
      </c>
      <c r="AR737" s="5">
        <v>45.1</v>
      </c>
      <c r="AS737" s="5">
        <v>7.6</v>
      </c>
      <c r="AT737" s="5">
        <v>21</v>
      </c>
      <c r="AU737" s="5">
        <v>17</v>
      </c>
      <c r="AV737" s="5">
        <v>47.2</v>
      </c>
      <c r="AW737" s="5">
        <v>5.98</v>
      </c>
      <c r="AX737" s="5">
        <v>58</v>
      </c>
      <c r="AY737" s="5">
        <v>95.04</v>
      </c>
      <c r="AZ737" s="5" t="s">
        <v>75</v>
      </c>
      <c r="BA737" s="5" t="s">
        <v>76</v>
      </c>
      <c r="BB737" s="12" t="s">
        <v>76</v>
      </c>
      <c r="BC737" s="5">
        <v>3.83</v>
      </c>
      <c r="BD737" s="5">
        <v>148</v>
      </c>
      <c r="BE737" s="5" t="s">
        <v>76</v>
      </c>
      <c r="BF737" s="5" t="s">
        <v>76</v>
      </c>
      <c r="BG737" s="15">
        <v>36.5</v>
      </c>
      <c r="BH737" s="5">
        <v>90</v>
      </c>
      <c r="BI737" s="5">
        <v>90</v>
      </c>
      <c r="BJ737" s="5">
        <v>20</v>
      </c>
      <c r="BK737" s="5">
        <v>180</v>
      </c>
      <c r="BL737" s="5">
        <v>100</v>
      </c>
      <c r="BM737" s="5">
        <v>62</v>
      </c>
      <c r="BN737" s="5">
        <v>150</v>
      </c>
      <c r="BO737" s="5">
        <f t="shared" si="11"/>
        <v>27.5555555555556</v>
      </c>
      <c r="BP737" s="5" t="s">
        <v>168</v>
      </c>
      <c r="BQ737" s="5" t="s">
        <v>76</v>
      </c>
      <c r="BR737" s="5">
        <v>1196</v>
      </c>
    </row>
    <row r="738" s="1" customFormat="1" spans="1:70">
      <c r="A738" s="1">
        <v>3260165</v>
      </c>
      <c r="B738" s="1" t="s">
        <v>1874</v>
      </c>
      <c r="D738" s="4">
        <v>44928</v>
      </c>
      <c r="E738" s="4">
        <v>44942</v>
      </c>
      <c r="F738" s="7">
        <v>19492</v>
      </c>
      <c r="G738" s="1">
        <v>40</v>
      </c>
      <c r="H738" s="1">
        <v>6</v>
      </c>
      <c r="I738" s="1">
        <v>70</v>
      </c>
      <c r="J738" s="1">
        <v>8</v>
      </c>
      <c r="K738" s="1">
        <v>27</v>
      </c>
      <c r="L738" s="1">
        <v>13</v>
      </c>
      <c r="M738" s="1">
        <v>4.16</v>
      </c>
      <c r="N738" s="10">
        <v>22</v>
      </c>
      <c r="O738" s="7">
        <v>19492</v>
      </c>
      <c r="P738" s="4">
        <v>44928</v>
      </c>
      <c r="Q738" s="4">
        <v>44942</v>
      </c>
      <c r="R738" s="1" t="s">
        <v>80</v>
      </c>
      <c r="AO738" s="7">
        <v>19492</v>
      </c>
      <c r="AP738" s="5">
        <v>12</v>
      </c>
      <c r="AQ738" s="5">
        <v>137</v>
      </c>
      <c r="AR738" s="5">
        <v>44.4</v>
      </c>
      <c r="AS738" s="5">
        <v>2.1</v>
      </c>
      <c r="AT738" s="5">
        <v>22</v>
      </c>
      <c r="AU738" s="5">
        <v>16</v>
      </c>
      <c r="AV738" s="5">
        <v>33.6</v>
      </c>
      <c r="AW738" s="5">
        <v>6.27</v>
      </c>
      <c r="AX738" s="5">
        <v>89</v>
      </c>
      <c r="AY738" s="5" t="s">
        <v>76</v>
      </c>
      <c r="AZ738" s="5" t="s">
        <v>76</v>
      </c>
      <c r="BA738" s="5" t="s">
        <v>76</v>
      </c>
      <c r="BB738" s="12" t="s">
        <v>76</v>
      </c>
      <c r="BC738" s="5">
        <v>4.04</v>
      </c>
      <c r="BD738" s="5">
        <v>137</v>
      </c>
      <c r="BE738" s="5" t="s">
        <v>76</v>
      </c>
      <c r="BF738" s="5" t="s">
        <v>76</v>
      </c>
      <c r="BG738" s="15">
        <v>36.6</v>
      </c>
      <c r="BH738" s="5" t="s">
        <v>76</v>
      </c>
      <c r="BI738" s="5">
        <v>90</v>
      </c>
      <c r="BJ738" s="5">
        <v>20</v>
      </c>
      <c r="BK738" s="5">
        <v>158</v>
      </c>
      <c r="BL738" s="5">
        <v>92</v>
      </c>
      <c r="BM738" s="5">
        <v>65</v>
      </c>
      <c r="BN738" s="5">
        <v>165</v>
      </c>
      <c r="BO738" s="5">
        <f t="shared" si="11"/>
        <v>23.8751147842057</v>
      </c>
      <c r="BP738" s="5" t="s">
        <v>438</v>
      </c>
      <c r="BQ738" s="5" t="s">
        <v>76</v>
      </c>
      <c r="BR738" s="5">
        <v>6302</v>
      </c>
    </row>
    <row r="739" s="1" customFormat="1" spans="1:70">
      <c r="A739" s="1">
        <v>3491970</v>
      </c>
      <c r="B739" s="1" t="s">
        <v>1875</v>
      </c>
      <c r="D739" s="4">
        <v>45257</v>
      </c>
      <c r="E739" s="4">
        <v>45274</v>
      </c>
      <c r="F739" s="7">
        <v>19493</v>
      </c>
      <c r="G739" s="1">
        <v>40</v>
      </c>
      <c r="H739" s="1">
        <v>10</v>
      </c>
      <c r="I739" s="1">
        <v>44</v>
      </c>
      <c r="J739" s="1">
        <v>10</v>
      </c>
      <c r="K739" s="1">
        <v>59</v>
      </c>
      <c r="L739" s="1">
        <v>31</v>
      </c>
      <c r="M739" s="1">
        <v>0.75</v>
      </c>
      <c r="O739" s="7">
        <v>19493</v>
      </c>
      <c r="P739" s="4">
        <v>45257</v>
      </c>
      <c r="Q739" s="4">
        <v>45274</v>
      </c>
      <c r="R739" s="1" t="s">
        <v>80</v>
      </c>
      <c r="AO739" s="7">
        <v>19493</v>
      </c>
      <c r="AP739" s="5">
        <v>9.5</v>
      </c>
      <c r="AQ739" s="5">
        <v>185</v>
      </c>
      <c r="AR739" s="5">
        <v>65.5</v>
      </c>
      <c r="AS739" s="5">
        <v>87.7</v>
      </c>
      <c r="AT739" s="5">
        <v>89</v>
      </c>
      <c r="AU739" s="5">
        <v>88</v>
      </c>
      <c r="AV739" s="5">
        <v>41.4</v>
      </c>
      <c r="AW739" s="5">
        <v>9.6</v>
      </c>
      <c r="AX739" s="5">
        <v>96</v>
      </c>
      <c r="AY739" s="5" t="s">
        <v>76</v>
      </c>
      <c r="AZ739" s="5" t="s">
        <v>1876</v>
      </c>
      <c r="BA739" s="5">
        <v>2.75</v>
      </c>
      <c r="BB739" s="12" t="s">
        <v>76</v>
      </c>
      <c r="BC739" s="5">
        <v>5.45</v>
      </c>
      <c r="BD739" s="5">
        <v>185</v>
      </c>
      <c r="BE739" s="5">
        <v>0.93</v>
      </c>
      <c r="BF739" s="5">
        <v>0.9</v>
      </c>
      <c r="BG739" s="15">
        <v>36.1</v>
      </c>
      <c r="BH739" s="5">
        <v>130</v>
      </c>
      <c r="BI739" s="5">
        <v>130</v>
      </c>
      <c r="BJ739" s="5">
        <v>15</v>
      </c>
      <c r="BK739" s="5">
        <v>127</v>
      </c>
      <c r="BL739" s="5">
        <v>67</v>
      </c>
      <c r="BM739" s="5">
        <v>75</v>
      </c>
      <c r="BN739" s="5">
        <v>165</v>
      </c>
      <c r="BO739" s="5">
        <f t="shared" si="11"/>
        <v>27.5482093663912</v>
      </c>
      <c r="BP739" s="5" t="s">
        <v>394</v>
      </c>
      <c r="BQ739" s="5" t="s">
        <v>76</v>
      </c>
      <c r="BR739" s="5">
        <v>971.6</v>
      </c>
    </row>
    <row r="740" s="1" customFormat="1" spans="1:70">
      <c r="A740" s="1">
        <v>3276514</v>
      </c>
      <c r="B740" s="1" t="s">
        <v>1877</v>
      </c>
      <c r="D740" s="4">
        <v>44960</v>
      </c>
      <c r="E740" s="4">
        <v>44968</v>
      </c>
      <c r="F740" s="7">
        <v>19517</v>
      </c>
      <c r="G740" s="1">
        <v>37</v>
      </c>
      <c r="H740" s="1">
        <v>10</v>
      </c>
      <c r="I740" s="1">
        <v>53</v>
      </c>
      <c r="J740" s="1">
        <v>10</v>
      </c>
      <c r="K740" s="1">
        <v>41</v>
      </c>
      <c r="L740" s="1">
        <v>20</v>
      </c>
      <c r="M740" s="1">
        <v>1.44</v>
      </c>
      <c r="N740" s="1">
        <v>9.7</v>
      </c>
      <c r="O740" s="7">
        <v>19517</v>
      </c>
      <c r="P740" s="4">
        <v>44960</v>
      </c>
      <c r="Q740" s="4">
        <v>44968</v>
      </c>
      <c r="R740" s="1" t="s">
        <v>80</v>
      </c>
      <c r="AO740" s="7">
        <v>19517</v>
      </c>
      <c r="AP740" s="5">
        <v>6.5</v>
      </c>
      <c r="AQ740" s="5">
        <v>130</v>
      </c>
      <c r="AR740" s="5">
        <v>40.5</v>
      </c>
      <c r="AS740" s="5">
        <v>33.4</v>
      </c>
      <c r="AT740" s="5">
        <v>59</v>
      </c>
      <c r="AU740" s="5">
        <v>34</v>
      </c>
      <c r="AV740" s="5">
        <v>37.9</v>
      </c>
      <c r="AW740" s="5">
        <v>6.48</v>
      </c>
      <c r="AX740" s="5">
        <v>69</v>
      </c>
      <c r="AY740" s="5" t="s">
        <v>125</v>
      </c>
      <c r="AZ740" s="5" t="s">
        <v>75</v>
      </c>
      <c r="BA740" s="5">
        <v>3.01</v>
      </c>
      <c r="BB740" s="12" t="s">
        <v>76</v>
      </c>
      <c r="BC740" s="5">
        <v>4.1</v>
      </c>
      <c r="BD740" s="5">
        <v>130</v>
      </c>
      <c r="BE740" s="5">
        <v>0.88</v>
      </c>
      <c r="BF740" s="5">
        <v>1.77</v>
      </c>
      <c r="BG740" s="15">
        <v>36.5</v>
      </c>
      <c r="BH740" s="5">
        <v>86</v>
      </c>
      <c r="BI740" s="5" t="s">
        <v>76</v>
      </c>
      <c r="BJ740" s="5">
        <v>15</v>
      </c>
      <c r="BK740" s="5">
        <v>143</v>
      </c>
      <c r="BL740" s="5">
        <v>91</v>
      </c>
      <c r="BM740" s="5">
        <v>65</v>
      </c>
      <c r="BN740" s="5">
        <v>165</v>
      </c>
      <c r="BO740" s="5">
        <f t="shared" si="11"/>
        <v>23.8751147842057</v>
      </c>
      <c r="BP740" s="5" t="s">
        <v>963</v>
      </c>
      <c r="BQ740" s="5" t="s">
        <v>76</v>
      </c>
      <c r="BR740" s="5">
        <v>1929</v>
      </c>
    </row>
    <row r="741" s="1" customFormat="1" spans="1:70">
      <c r="A741" s="1" t="s">
        <v>1878</v>
      </c>
      <c r="B741" s="1" t="s">
        <v>1879</v>
      </c>
      <c r="D741" s="4">
        <v>45016</v>
      </c>
      <c r="E741" s="4">
        <v>45027</v>
      </c>
      <c r="F741" s="7">
        <v>19520</v>
      </c>
      <c r="G741" s="1">
        <v>37</v>
      </c>
      <c r="H741" s="1">
        <v>10</v>
      </c>
      <c r="I741" s="1">
        <v>45</v>
      </c>
      <c r="J741" s="1">
        <v>10</v>
      </c>
      <c r="K741" s="1">
        <v>64</v>
      </c>
      <c r="L741" s="1">
        <v>35</v>
      </c>
      <c r="M741" s="1">
        <v>0.92</v>
      </c>
      <c r="N741" s="1">
        <v>17.8</v>
      </c>
      <c r="O741" s="7">
        <v>19520</v>
      </c>
      <c r="P741" s="4">
        <v>45016</v>
      </c>
      <c r="Q741" s="4">
        <v>45027</v>
      </c>
      <c r="R741" s="1" t="s">
        <v>80</v>
      </c>
      <c r="AO741" s="7">
        <v>19520</v>
      </c>
      <c r="AP741" s="5" t="s">
        <v>88</v>
      </c>
      <c r="AQ741" s="5" t="s">
        <v>1880</v>
      </c>
      <c r="AR741" s="5" t="s">
        <v>1881</v>
      </c>
      <c r="AS741" s="5" t="s">
        <v>1882</v>
      </c>
      <c r="AT741" s="5" t="s">
        <v>425</v>
      </c>
      <c r="AU741" s="5" t="s">
        <v>100</v>
      </c>
      <c r="AV741" s="5" t="s">
        <v>1561</v>
      </c>
      <c r="AW741" s="5" t="s">
        <v>1883</v>
      </c>
      <c r="AX741" s="5" t="s">
        <v>482</v>
      </c>
      <c r="AY741" s="5" t="s">
        <v>125</v>
      </c>
      <c r="AZ741" s="5" t="s">
        <v>75</v>
      </c>
      <c r="BA741" s="5" t="s">
        <v>76</v>
      </c>
      <c r="BB741" s="12" t="s">
        <v>76</v>
      </c>
      <c r="BC741" s="5" t="s">
        <v>1884</v>
      </c>
      <c r="BD741" s="5" t="s">
        <v>1880</v>
      </c>
      <c r="BE741" s="5" t="s">
        <v>76</v>
      </c>
      <c r="BF741" s="5" t="s">
        <v>76</v>
      </c>
      <c r="BG741" s="15">
        <v>36.3</v>
      </c>
      <c r="BH741" s="5" t="s">
        <v>76</v>
      </c>
      <c r="BI741" s="5" t="s">
        <v>391</v>
      </c>
      <c r="BJ741" s="5" t="s">
        <v>193</v>
      </c>
      <c r="BK741" s="5" t="s">
        <v>1880</v>
      </c>
      <c r="BL741" s="5" t="s">
        <v>391</v>
      </c>
      <c r="BM741" s="5" t="s">
        <v>248</v>
      </c>
      <c r="BN741" s="5">
        <v>173</v>
      </c>
      <c r="BO741" s="5">
        <f t="shared" si="11"/>
        <v>17.708576965485</v>
      </c>
      <c r="BP741" s="5" t="s">
        <v>986</v>
      </c>
      <c r="BQ741" s="5" t="s">
        <v>76</v>
      </c>
      <c r="BR741" s="5">
        <v>3637</v>
      </c>
    </row>
    <row r="742" s="1" customFormat="1" spans="1:70">
      <c r="A742" s="1">
        <v>3284024</v>
      </c>
      <c r="B742" s="1" t="s">
        <v>1885</v>
      </c>
      <c r="D742" s="4">
        <v>44971</v>
      </c>
      <c r="E742" s="4">
        <v>44977</v>
      </c>
      <c r="F742" s="7">
        <v>19523</v>
      </c>
      <c r="G742" s="1">
        <v>300</v>
      </c>
      <c r="H742" s="1">
        <v>9</v>
      </c>
      <c r="I742" s="1">
        <v>45</v>
      </c>
      <c r="J742" s="1">
        <v>9</v>
      </c>
      <c r="K742" s="1">
        <v>69</v>
      </c>
      <c r="L742" s="1">
        <v>39</v>
      </c>
      <c r="M742" s="1">
        <v>1.46</v>
      </c>
      <c r="N742" s="1">
        <v>12.9</v>
      </c>
      <c r="O742" s="7">
        <v>19523</v>
      </c>
      <c r="P742" s="4">
        <v>44971</v>
      </c>
      <c r="Q742" s="4">
        <v>44977</v>
      </c>
      <c r="R742" s="1" t="s">
        <v>80</v>
      </c>
      <c r="AO742" s="7">
        <v>19523</v>
      </c>
      <c r="AP742" s="5">
        <v>7</v>
      </c>
      <c r="AQ742" s="5">
        <v>154</v>
      </c>
      <c r="AR742" s="5">
        <v>49.8</v>
      </c>
      <c r="AS742" s="5">
        <v>5.2</v>
      </c>
      <c r="AT742" s="5">
        <v>21</v>
      </c>
      <c r="AU742" s="5">
        <v>15</v>
      </c>
      <c r="AV742" s="5">
        <v>41.1</v>
      </c>
      <c r="AW742" s="5">
        <v>5.82</v>
      </c>
      <c r="AX742" s="5">
        <v>68</v>
      </c>
      <c r="AY742" s="5">
        <v>106.6</v>
      </c>
      <c r="AZ742" s="5" t="s">
        <v>75</v>
      </c>
      <c r="BA742" s="5">
        <v>4.54</v>
      </c>
      <c r="BB742" s="12" t="s">
        <v>76</v>
      </c>
      <c r="BC742" s="5">
        <v>3.71</v>
      </c>
      <c r="BD742" s="5">
        <v>154</v>
      </c>
      <c r="BE742" s="5">
        <v>1.04</v>
      </c>
      <c r="BF742" s="5">
        <v>2.64</v>
      </c>
      <c r="BG742" s="15">
        <v>36.5</v>
      </c>
      <c r="BH742" s="5">
        <v>78</v>
      </c>
      <c r="BI742" s="5" t="s">
        <v>76</v>
      </c>
      <c r="BJ742" s="5">
        <v>20</v>
      </c>
      <c r="BK742" s="5">
        <v>213</v>
      </c>
      <c r="BL742" s="5">
        <v>103</v>
      </c>
      <c r="BM742" s="5">
        <v>45</v>
      </c>
      <c r="BN742" s="5">
        <v>160</v>
      </c>
      <c r="BO742" s="5">
        <f t="shared" si="11"/>
        <v>17.578125</v>
      </c>
      <c r="BP742" s="5" t="s">
        <v>152</v>
      </c>
      <c r="BQ742" s="5">
        <v>5.3</v>
      </c>
      <c r="BR742" s="5">
        <v>1323</v>
      </c>
    </row>
    <row r="743" s="1" customFormat="1" spans="1:70">
      <c r="A743" s="1">
        <v>3288728</v>
      </c>
      <c r="B743" s="1" t="s">
        <v>724</v>
      </c>
      <c r="D743" s="4">
        <v>44975</v>
      </c>
      <c r="E743" s="4">
        <v>44983</v>
      </c>
      <c r="F743" s="7">
        <v>19547</v>
      </c>
      <c r="G743" s="1">
        <v>39</v>
      </c>
      <c r="H743" s="1">
        <v>9</v>
      </c>
      <c r="I743" s="1">
        <v>40</v>
      </c>
      <c r="J743" s="1">
        <v>9</v>
      </c>
      <c r="K743" s="1">
        <v>55</v>
      </c>
      <c r="L743" s="1">
        <v>28</v>
      </c>
      <c r="M743" s="1">
        <v>0.83</v>
      </c>
      <c r="N743" s="1">
        <v>13.8</v>
      </c>
      <c r="O743" s="7">
        <v>19547</v>
      </c>
      <c r="P743" s="4">
        <v>44975</v>
      </c>
      <c r="Q743" s="4">
        <v>44983</v>
      </c>
      <c r="R743" s="1" t="s">
        <v>73</v>
      </c>
      <c r="AO743" s="7">
        <v>19547</v>
      </c>
      <c r="AP743" s="5">
        <v>8.4</v>
      </c>
      <c r="AQ743" s="5">
        <v>126</v>
      </c>
      <c r="AR743" s="5">
        <v>42.6</v>
      </c>
      <c r="AS743" s="5">
        <v>16.2</v>
      </c>
      <c r="AT743" s="5">
        <v>20</v>
      </c>
      <c r="AU743" s="5">
        <v>11</v>
      </c>
      <c r="AV743" s="5">
        <v>28.7</v>
      </c>
      <c r="AW743" s="5">
        <v>7.1</v>
      </c>
      <c r="AX743" s="5">
        <v>30</v>
      </c>
      <c r="AY743" s="5" t="s">
        <v>76</v>
      </c>
      <c r="AZ743" s="5">
        <v>6.8</v>
      </c>
      <c r="BA743" s="5">
        <v>2.4</v>
      </c>
      <c r="BB743" s="12" t="s">
        <v>76</v>
      </c>
      <c r="BC743" s="5">
        <v>3.61</v>
      </c>
      <c r="BD743" s="5">
        <v>126</v>
      </c>
      <c r="BE743" s="5" t="s">
        <v>76</v>
      </c>
      <c r="BF743" s="5" t="s">
        <v>76</v>
      </c>
      <c r="BG743" s="15">
        <v>36.5</v>
      </c>
      <c r="BH743" s="5" t="s">
        <v>76</v>
      </c>
      <c r="BI743" s="5">
        <v>86</v>
      </c>
      <c r="BJ743" s="5">
        <v>18</v>
      </c>
      <c r="BK743" s="5">
        <v>130</v>
      </c>
      <c r="BL743" s="5">
        <v>84</v>
      </c>
      <c r="BM743" s="5">
        <v>55</v>
      </c>
      <c r="BN743" s="5">
        <v>150</v>
      </c>
      <c r="BO743" s="5">
        <f t="shared" si="11"/>
        <v>24.4444444444444</v>
      </c>
      <c r="BP743" s="5" t="s">
        <v>149</v>
      </c>
      <c r="BQ743" s="5" t="s">
        <v>76</v>
      </c>
      <c r="BR743" s="5">
        <v>3992</v>
      </c>
    </row>
    <row r="744" s="1" customFormat="1" spans="1:70">
      <c r="A744" s="1" t="s">
        <v>1886</v>
      </c>
      <c r="B744" s="1" t="s">
        <v>1887</v>
      </c>
      <c r="D744" s="4">
        <v>44978</v>
      </c>
      <c r="E744" s="4">
        <v>44992</v>
      </c>
      <c r="F744" s="7">
        <v>19552</v>
      </c>
      <c r="G744" s="1">
        <v>40</v>
      </c>
      <c r="H744" s="1">
        <v>9</v>
      </c>
      <c r="I744" s="1">
        <v>47</v>
      </c>
      <c r="J744" s="1">
        <v>9</v>
      </c>
      <c r="K744" s="1">
        <v>64</v>
      </c>
      <c r="L744" s="1">
        <v>35</v>
      </c>
      <c r="M744" s="1">
        <v>0.7</v>
      </c>
      <c r="N744" s="1">
        <v>8.9</v>
      </c>
      <c r="O744" s="7">
        <v>19552</v>
      </c>
      <c r="P744" s="4">
        <v>44978</v>
      </c>
      <c r="Q744" s="4">
        <v>44992</v>
      </c>
      <c r="R744" s="1" t="s">
        <v>80</v>
      </c>
      <c r="AO744" s="7">
        <v>19552</v>
      </c>
      <c r="AP744" s="5" t="s">
        <v>844</v>
      </c>
      <c r="AQ744" s="5" t="s">
        <v>467</v>
      </c>
      <c r="AR744" s="5" t="s">
        <v>1888</v>
      </c>
      <c r="AS744" s="5" t="s">
        <v>568</v>
      </c>
      <c r="AT744" s="5" t="s">
        <v>1475</v>
      </c>
      <c r="AU744" s="5" t="s">
        <v>207</v>
      </c>
      <c r="AV744" s="5" t="s">
        <v>1889</v>
      </c>
      <c r="AW744" s="5" t="s">
        <v>1890</v>
      </c>
      <c r="AX744" s="5" t="s">
        <v>1891</v>
      </c>
      <c r="AY744" s="5" t="s">
        <v>1892</v>
      </c>
      <c r="AZ744" s="5" t="s">
        <v>1893</v>
      </c>
      <c r="BA744" s="5" t="s">
        <v>1266</v>
      </c>
      <c r="BB744" s="12" t="s">
        <v>76</v>
      </c>
      <c r="BC744" s="5" t="s">
        <v>496</v>
      </c>
      <c r="BD744" s="5" t="s">
        <v>467</v>
      </c>
      <c r="BE744" s="5" t="s">
        <v>76</v>
      </c>
      <c r="BF744" s="5" t="s">
        <v>76</v>
      </c>
      <c r="BG744" s="15">
        <v>37</v>
      </c>
      <c r="BH744" s="5" t="s">
        <v>76</v>
      </c>
      <c r="BI744" s="5" t="s">
        <v>391</v>
      </c>
      <c r="BJ744" s="5" t="s">
        <v>293</v>
      </c>
      <c r="BK744" s="5" t="s">
        <v>938</v>
      </c>
      <c r="BL744" s="5" t="s">
        <v>232</v>
      </c>
      <c r="BM744" s="5" t="s">
        <v>425</v>
      </c>
      <c r="BN744" s="5">
        <v>165</v>
      </c>
      <c r="BO744" s="5">
        <f t="shared" si="11"/>
        <v>25.7116620752984</v>
      </c>
      <c r="BP744" s="5" t="s">
        <v>337</v>
      </c>
      <c r="BQ744" s="5" t="s">
        <v>76</v>
      </c>
      <c r="BR744" s="5">
        <v>2905</v>
      </c>
    </row>
    <row r="745" s="1" customFormat="1" spans="1:70">
      <c r="A745" s="1">
        <v>3294044</v>
      </c>
      <c r="B745" s="1" t="s">
        <v>1894</v>
      </c>
      <c r="D745" s="4">
        <v>44984</v>
      </c>
      <c r="E745" s="4">
        <v>44988</v>
      </c>
      <c r="F745" s="7">
        <v>19553</v>
      </c>
      <c r="G745" s="1">
        <v>30</v>
      </c>
      <c r="H745" s="1">
        <v>9</v>
      </c>
      <c r="I745" s="1">
        <v>44</v>
      </c>
      <c r="J745" s="1">
        <v>9</v>
      </c>
      <c r="K745" s="1">
        <v>51</v>
      </c>
      <c r="L745" s="1">
        <v>26</v>
      </c>
      <c r="M745" s="1">
        <v>0.59</v>
      </c>
      <c r="N745" s="1">
        <v>12.1</v>
      </c>
      <c r="O745" s="7">
        <v>19553</v>
      </c>
      <c r="P745" s="4">
        <v>44984</v>
      </c>
      <c r="Q745" s="4">
        <v>44988</v>
      </c>
      <c r="R745" s="1" t="s">
        <v>80</v>
      </c>
      <c r="AO745" s="7">
        <v>19553</v>
      </c>
      <c r="AP745" s="5">
        <v>8.6</v>
      </c>
      <c r="AQ745" s="5">
        <v>123</v>
      </c>
      <c r="AR745" s="5">
        <v>43.7</v>
      </c>
      <c r="AS745" s="5">
        <v>84.9</v>
      </c>
      <c r="AT745" s="5">
        <v>57</v>
      </c>
      <c r="AU745" s="5">
        <v>27</v>
      </c>
      <c r="AV745" s="5">
        <v>30</v>
      </c>
      <c r="AW745" s="5">
        <v>9.34</v>
      </c>
      <c r="AX745" s="5">
        <v>73</v>
      </c>
      <c r="AY745" s="5">
        <v>99.8</v>
      </c>
      <c r="AZ745" s="5">
        <v>9.2</v>
      </c>
      <c r="BA745" s="5">
        <v>2.46</v>
      </c>
      <c r="BB745" s="12" t="s">
        <v>76</v>
      </c>
      <c r="BC745" s="5">
        <v>4.28</v>
      </c>
      <c r="BD745" s="5">
        <v>123</v>
      </c>
      <c r="BE745" s="5">
        <v>0.65</v>
      </c>
      <c r="BF745" s="5">
        <v>1.01</v>
      </c>
      <c r="BG745" s="15">
        <v>36.5</v>
      </c>
      <c r="BH745" s="5" t="s">
        <v>76</v>
      </c>
      <c r="BI745" s="5">
        <v>85</v>
      </c>
      <c r="BJ745" s="5">
        <v>20</v>
      </c>
      <c r="BK745" s="5">
        <v>118</v>
      </c>
      <c r="BL745" s="5">
        <v>52</v>
      </c>
      <c r="BM745" s="5">
        <v>55</v>
      </c>
      <c r="BN745" s="5">
        <v>170</v>
      </c>
      <c r="BO745" s="5">
        <f t="shared" si="11"/>
        <v>19.0311418685121</v>
      </c>
      <c r="BP745" s="5" t="s">
        <v>457</v>
      </c>
      <c r="BQ745" s="5">
        <v>9.1</v>
      </c>
      <c r="BR745" s="5" t="s">
        <v>118</v>
      </c>
    </row>
    <row r="746" s="1" customFormat="1" spans="1:70">
      <c r="A746" s="1">
        <v>3254858</v>
      </c>
      <c r="B746" s="1" t="s">
        <v>1895</v>
      </c>
      <c r="D746" s="4">
        <v>44916</v>
      </c>
      <c r="E746" s="4">
        <v>44924</v>
      </c>
      <c r="F746" s="7">
        <v>19553</v>
      </c>
      <c r="G746" s="1">
        <v>41</v>
      </c>
      <c r="H746" s="1">
        <v>9</v>
      </c>
      <c r="I746" s="1">
        <v>48</v>
      </c>
      <c r="J746" s="1">
        <v>9</v>
      </c>
      <c r="K746" s="1">
        <v>57</v>
      </c>
      <c r="L746" s="1">
        <v>30</v>
      </c>
      <c r="N746" s="1">
        <v>8.5</v>
      </c>
      <c r="O746" s="7">
        <v>19553</v>
      </c>
      <c r="P746" s="4">
        <v>44916</v>
      </c>
      <c r="Q746" s="4">
        <v>44924</v>
      </c>
      <c r="R746" s="1" t="s">
        <v>80</v>
      </c>
      <c r="AO746" s="7">
        <v>19553</v>
      </c>
      <c r="AP746" s="5">
        <v>4</v>
      </c>
      <c r="AQ746" s="5">
        <v>143</v>
      </c>
      <c r="AR746" s="5">
        <v>43.7</v>
      </c>
      <c r="AS746" s="5">
        <v>2</v>
      </c>
      <c r="AT746" s="5">
        <v>32</v>
      </c>
      <c r="AU746" s="5">
        <v>27</v>
      </c>
      <c r="AV746" s="5">
        <v>35.5</v>
      </c>
      <c r="AW746" s="5">
        <v>5.1</v>
      </c>
      <c r="AX746" s="5">
        <v>57</v>
      </c>
      <c r="AY746" s="5" t="s">
        <v>76</v>
      </c>
      <c r="AZ746" s="5" t="s">
        <v>75</v>
      </c>
      <c r="BA746" s="5" t="s">
        <v>76</v>
      </c>
      <c r="BB746" s="12" t="s">
        <v>76</v>
      </c>
      <c r="BC746" s="5">
        <v>4.54</v>
      </c>
      <c r="BD746" s="5">
        <v>143</v>
      </c>
      <c r="BE746" s="5" t="s">
        <v>76</v>
      </c>
      <c r="BF746" s="5" t="s">
        <v>76</v>
      </c>
      <c r="BG746" s="15">
        <v>36.5</v>
      </c>
      <c r="BH746" s="5">
        <v>80</v>
      </c>
      <c r="BI746" s="5">
        <v>80</v>
      </c>
      <c r="BJ746" s="5">
        <v>16</v>
      </c>
      <c r="BK746" s="5">
        <v>95</v>
      </c>
      <c r="BL746" s="5">
        <v>68</v>
      </c>
      <c r="BM746" s="5">
        <v>73</v>
      </c>
      <c r="BN746" s="5">
        <v>178</v>
      </c>
      <c r="BO746" s="5">
        <f t="shared" si="11"/>
        <v>23.0400201994698</v>
      </c>
      <c r="BP746" s="5" t="s">
        <v>149</v>
      </c>
      <c r="BQ746" s="5" t="s">
        <v>76</v>
      </c>
      <c r="BR746" s="5">
        <v>2390</v>
      </c>
    </row>
    <row r="747" s="1" customFormat="1" spans="1:70">
      <c r="A747" s="1">
        <v>3313737</v>
      </c>
      <c r="B747" s="1" t="s">
        <v>1896</v>
      </c>
      <c r="D747" s="4">
        <v>45010</v>
      </c>
      <c r="E747" s="4">
        <v>45020</v>
      </c>
      <c r="F747" s="7">
        <v>19554</v>
      </c>
      <c r="G747" s="1">
        <v>43</v>
      </c>
      <c r="H747" s="1">
        <v>10</v>
      </c>
      <c r="I747" s="1">
        <v>54</v>
      </c>
      <c r="J747" s="1">
        <v>10</v>
      </c>
      <c r="K747" s="1">
        <v>48</v>
      </c>
      <c r="L747" s="1">
        <v>24</v>
      </c>
      <c r="M747" s="9">
        <v>1.7</v>
      </c>
      <c r="N747" s="1">
        <v>18.9</v>
      </c>
      <c r="O747" s="7">
        <v>19554</v>
      </c>
      <c r="P747" s="4">
        <v>45010</v>
      </c>
      <c r="Q747" s="4">
        <v>45020</v>
      </c>
      <c r="R747" s="1" t="s">
        <v>80</v>
      </c>
      <c r="AO747" s="7">
        <v>19554</v>
      </c>
      <c r="AP747" s="5">
        <v>5.8</v>
      </c>
      <c r="AQ747" s="5">
        <v>144</v>
      </c>
      <c r="AR747" s="5">
        <v>44.4</v>
      </c>
      <c r="AS747" s="5">
        <v>3</v>
      </c>
      <c r="AT747" s="5">
        <v>34</v>
      </c>
      <c r="AU747" s="5">
        <v>6</v>
      </c>
      <c r="AV747" s="5">
        <v>36.8</v>
      </c>
      <c r="AW747" s="5">
        <v>5.43</v>
      </c>
      <c r="AX747" s="5">
        <v>60</v>
      </c>
      <c r="AY747" s="5" t="s">
        <v>125</v>
      </c>
      <c r="AZ747" s="5">
        <v>5.54</v>
      </c>
      <c r="BA747" s="5">
        <v>4.89</v>
      </c>
      <c r="BB747" s="12" t="s">
        <v>76</v>
      </c>
      <c r="BC747" s="5">
        <v>6.33</v>
      </c>
      <c r="BD747" s="5">
        <v>144</v>
      </c>
      <c r="BE747" s="5">
        <v>1.57</v>
      </c>
      <c r="BF747" s="5">
        <v>2.78</v>
      </c>
      <c r="BG747" s="15">
        <v>36.4</v>
      </c>
      <c r="BH747" s="5">
        <v>70</v>
      </c>
      <c r="BI747" s="5">
        <v>70</v>
      </c>
      <c r="BJ747" s="5">
        <v>17</v>
      </c>
      <c r="BK747" s="5">
        <v>185</v>
      </c>
      <c r="BL747" s="5">
        <v>70</v>
      </c>
      <c r="BM747" s="5">
        <v>75</v>
      </c>
      <c r="BN747" s="5" t="s">
        <v>76</v>
      </c>
      <c r="BO747" s="5" t="e">
        <f t="shared" si="11"/>
        <v>#VALUE!</v>
      </c>
      <c r="BP747" s="5" t="s">
        <v>78</v>
      </c>
      <c r="BQ747" s="5">
        <v>5.2</v>
      </c>
      <c r="BR747" s="5">
        <v>961</v>
      </c>
    </row>
    <row r="748" s="1" customFormat="1" spans="1:70">
      <c r="A748" s="1">
        <v>3238517</v>
      </c>
      <c r="B748" s="1" t="s">
        <v>1897</v>
      </c>
      <c r="D748" s="4">
        <v>44880</v>
      </c>
      <c r="E748" s="4">
        <v>44899</v>
      </c>
      <c r="F748" s="7">
        <v>19554</v>
      </c>
      <c r="G748" s="1">
        <v>38</v>
      </c>
      <c r="H748" s="1">
        <v>9</v>
      </c>
      <c r="I748" s="1">
        <v>48</v>
      </c>
      <c r="J748" s="1">
        <v>9</v>
      </c>
      <c r="K748" s="1">
        <v>61</v>
      </c>
      <c r="L748" s="1">
        <v>32</v>
      </c>
      <c r="M748" s="1">
        <v>0.72</v>
      </c>
      <c r="N748" s="1">
        <v>9.7</v>
      </c>
      <c r="O748" s="7">
        <v>19554</v>
      </c>
      <c r="P748" s="4">
        <v>44880</v>
      </c>
      <c r="Q748" s="4">
        <v>44899</v>
      </c>
      <c r="R748" s="1" t="s">
        <v>80</v>
      </c>
      <c r="AO748" s="7">
        <v>19554</v>
      </c>
      <c r="AP748" s="5">
        <v>9.5</v>
      </c>
      <c r="AQ748" s="5">
        <v>154</v>
      </c>
      <c r="AR748" s="5">
        <v>49.3</v>
      </c>
      <c r="AS748" s="5">
        <v>91.6</v>
      </c>
      <c r="AT748" s="5">
        <v>8</v>
      </c>
      <c r="AU748" s="5">
        <v>45</v>
      </c>
      <c r="AV748" s="5">
        <v>41.9</v>
      </c>
      <c r="AW748" s="5">
        <v>7.32</v>
      </c>
      <c r="AX748" s="5">
        <v>76</v>
      </c>
      <c r="AY748" s="5" t="s">
        <v>125</v>
      </c>
      <c r="AZ748" s="5">
        <v>9.4</v>
      </c>
      <c r="BA748" s="5">
        <v>2.54</v>
      </c>
      <c r="BB748" s="12" t="s">
        <v>76</v>
      </c>
      <c r="BC748" s="5">
        <v>4.7</v>
      </c>
      <c r="BD748" s="5">
        <v>154</v>
      </c>
      <c r="BE748" s="5" t="s">
        <v>76</v>
      </c>
      <c r="BF748" s="5" t="s">
        <v>76</v>
      </c>
      <c r="BG748" s="15">
        <v>36.4</v>
      </c>
      <c r="BH748" s="5">
        <v>68</v>
      </c>
      <c r="BI748" s="5" t="s">
        <v>76</v>
      </c>
      <c r="BJ748" s="5">
        <v>16</v>
      </c>
      <c r="BK748" s="5">
        <v>140</v>
      </c>
      <c r="BL748" s="5">
        <v>80</v>
      </c>
      <c r="BM748" s="5">
        <v>82.5</v>
      </c>
      <c r="BN748" s="5">
        <v>165</v>
      </c>
      <c r="BO748" s="5">
        <f t="shared" si="11"/>
        <v>30.3030303030303</v>
      </c>
      <c r="BP748" s="5" t="s">
        <v>1450</v>
      </c>
      <c r="BQ748" s="5" t="s">
        <v>76</v>
      </c>
      <c r="BR748" s="5">
        <v>907</v>
      </c>
    </row>
    <row r="749" s="1" customFormat="1" spans="1:70">
      <c r="A749" s="1">
        <v>3479150</v>
      </c>
      <c r="B749" s="1" t="s">
        <v>1898</v>
      </c>
      <c r="D749" s="4">
        <v>45238</v>
      </c>
      <c r="E749" s="4">
        <v>45300</v>
      </c>
      <c r="F749" s="7">
        <v>19554</v>
      </c>
      <c r="G749" s="1">
        <v>47</v>
      </c>
      <c r="H749" s="1">
        <v>9</v>
      </c>
      <c r="I749" s="1">
        <v>47</v>
      </c>
      <c r="J749" s="1">
        <v>9</v>
      </c>
      <c r="K749" s="1">
        <v>65</v>
      </c>
      <c r="L749" s="1">
        <v>35</v>
      </c>
      <c r="N749" s="1">
        <v>8.9</v>
      </c>
      <c r="O749" s="7">
        <v>19554</v>
      </c>
      <c r="P749" s="4">
        <v>45238</v>
      </c>
      <c r="Q749" s="4">
        <v>45300</v>
      </c>
      <c r="R749" s="1" t="s">
        <v>73</v>
      </c>
      <c r="AO749" s="7">
        <v>19554</v>
      </c>
      <c r="AP749" s="5">
        <v>9.8</v>
      </c>
      <c r="AQ749" s="5">
        <v>99</v>
      </c>
      <c r="AR749" s="5">
        <v>32.7</v>
      </c>
      <c r="AS749" s="5">
        <v>99.5</v>
      </c>
      <c r="AT749" s="5">
        <v>71</v>
      </c>
      <c r="AU749" s="5">
        <v>9</v>
      </c>
      <c r="AV749" s="5">
        <v>39.2</v>
      </c>
      <c r="AW749" s="5">
        <v>9.2</v>
      </c>
      <c r="AX749" s="5" t="s">
        <v>1455</v>
      </c>
      <c r="AY749" s="5" t="s">
        <v>125</v>
      </c>
      <c r="AZ749" s="5" t="s">
        <v>75</v>
      </c>
      <c r="BA749" s="5">
        <v>5.17</v>
      </c>
      <c r="BB749" s="12" t="s">
        <v>76</v>
      </c>
      <c r="BC749" s="5">
        <v>5.14</v>
      </c>
      <c r="BD749" s="5">
        <v>99</v>
      </c>
      <c r="BE749" s="5">
        <v>0.51</v>
      </c>
      <c r="BF749" s="5">
        <v>1.68</v>
      </c>
      <c r="BG749" s="15">
        <v>37.6</v>
      </c>
      <c r="BH749" s="5">
        <v>92</v>
      </c>
      <c r="BI749" s="5">
        <v>99</v>
      </c>
      <c r="BJ749" s="5">
        <v>25</v>
      </c>
      <c r="BK749" s="5">
        <v>149</v>
      </c>
      <c r="BL749" s="5">
        <v>79</v>
      </c>
      <c r="BM749" s="5">
        <v>70</v>
      </c>
      <c r="BN749" s="5">
        <v>163</v>
      </c>
      <c r="BO749" s="5">
        <f t="shared" si="11"/>
        <v>26.346494034401</v>
      </c>
      <c r="BP749" s="5" t="s">
        <v>113</v>
      </c>
      <c r="BQ749" s="5">
        <v>6</v>
      </c>
      <c r="BR749" s="5">
        <v>960</v>
      </c>
    </row>
    <row r="750" s="1" customFormat="1" spans="1:70">
      <c r="A750" s="1">
        <v>3252035</v>
      </c>
      <c r="B750" s="1" t="s">
        <v>1899</v>
      </c>
      <c r="C750" s="1">
        <v>1</v>
      </c>
      <c r="D750" s="4">
        <v>44905</v>
      </c>
      <c r="E750" s="4">
        <v>44943</v>
      </c>
      <c r="F750" s="7">
        <v>19559</v>
      </c>
      <c r="G750" s="1">
        <v>40</v>
      </c>
      <c r="H750" s="1">
        <v>8</v>
      </c>
      <c r="I750" s="1">
        <v>51</v>
      </c>
      <c r="J750" s="1">
        <v>8</v>
      </c>
      <c r="K750" s="1">
        <v>32</v>
      </c>
      <c r="M750" s="1">
        <v>2.23</v>
      </c>
      <c r="O750" s="7">
        <v>19559</v>
      </c>
      <c r="P750" s="4">
        <v>44905</v>
      </c>
      <c r="Q750" s="4">
        <v>44943</v>
      </c>
      <c r="R750" s="1" t="s">
        <v>73</v>
      </c>
      <c r="AO750" s="7">
        <v>19559</v>
      </c>
      <c r="AP750" s="5">
        <v>9.8</v>
      </c>
      <c r="AQ750" s="5">
        <v>98</v>
      </c>
      <c r="AR750" s="5">
        <v>40</v>
      </c>
      <c r="AS750" s="5">
        <v>9.7</v>
      </c>
      <c r="AT750" s="5">
        <v>75</v>
      </c>
      <c r="AU750" s="5">
        <v>9</v>
      </c>
      <c r="AV750" s="5">
        <v>43.2</v>
      </c>
      <c r="AW750" s="5">
        <v>9.9</v>
      </c>
      <c r="AX750" s="5">
        <v>53</v>
      </c>
      <c r="AY750" s="5" t="s">
        <v>125</v>
      </c>
      <c r="AZ750" s="5">
        <v>9.9</v>
      </c>
      <c r="BA750" s="5">
        <v>4.59</v>
      </c>
      <c r="BB750" s="12" t="s">
        <v>76</v>
      </c>
      <c r="BC750" s="5">
        <v>4.25</v>
      </c>
      <c r="BD750" s="5">
        <v>98</v>
      </c>
      <c r="BE750" s="5">
        <v>0.97</v>
      </c>
      <c r="BF750" s="5">
        <v>3.08</v>
      </c>
      <c r="BG750" s="15">
        <v>36.6</v>
      </c>
      <c r="BH750" s="5">
        <v>60</v>
      </c>
      <c r="BI750" s="5">
        <v>60</v>
      </c>
      <c r="BJ750" s="5">
        <v>20</v>
      </c>
      <c r="BK750" s="5">
        <v>130</v>
      </c>
      <c r="BL750" s="5">
        <v>80</v>
      </c>
      <c r="BM750" s="5">
        <v>50</v>
      </c>
      <c r="BN750" s="5">
        <v>162</v>
      </c>
      <c r="BO750" s="5">
        <f t="shared" si="11"/>
        <v>19.0519737844841</v>
      </c>
      <c r="BP750" s="5" t="s">
        <v>117</v>
      </c>
      <c r="BQ750" s="5">
        <v>8.6</v>
      </c>
      <c r="BR750" s="5" t="s">
        <v>118</v>
      </c>
    </row>
    <row r="751" s="1" customFormat="1" spans="1:70">
      <c r="A751" s="1">
        <v>3256675</v>
      </c>
      <c r="B751" s="1" t="s">
        <v>1900</v>
      </c>
      <c r="D751" s="4">
        <v>44922</v>
      </c>
      <c r="E751" s="4">
        <v>44929</v>
      </c>
      <c r="F751" s="7">
        <v>19566</v>
      </c>
      <c r="G751" s="1">
        <v>44</v>
      </c>
      <c r="H751" s="1">
        <v>12</v>
      </c>
      <c r="I751" s="1">
        <v>53</v>
      </c>
      <c r="J751" s="1">
        <v>12</v>
      </c>
      <c r="K751" s="1">
        <v>68</v>
      </c>
      <c r="L751" s="1">
        <v>38</v>
      </c>
      <c r="M751" s="1">
        <v>0.83</v>
      </c>
      <c r="N751" s="1">
        <v>20</v>
      </c>
      <c r="O751" s="7">
        <v>19566</v>
      </c>
      <c r="P751" s="4">
        <v>44922</v>
      </c>
      <c r="Q751" s="4">
        <v>44929</v>
      </c>
      <c r="R751" s="1" t="s">
        <v>80</v>
      </c>
      <c r="AO751" s="7">
        <v>19566</v>
      </c>
      <c r="AP751" s="5">
        <v>8.9</v>
      </c>
      <c r="AQ751" s="5">
        <v>129</v>
      </c>
      <c r="AR751" s="5">
        <v>40.1</v>
      </c>
      <c r="AS751" s="5">
        <v>3.5</v>
      </c>
      <c r="AT751" s="5">
        <v>24</v>
      </c>
      <c r="AU751" s="5">
        <v>25</v>
      </c>
      <c r="AV751" s="5">
        <v>40.6</v>
      </c>
      <c r="AW751" s="5">
        <v>8.84</v>
      </c>
      <c r="AX751" s="5">
        <v>76</v>
      </c>
      <c r="AY751" s="5">
        <v>98.22</v>
      </c>
      <c r="AZ751" s="5">
        <v>8</v>
      </c>
      <c r="BA751" s="5" t="s">
        <v>76</v>
      </c>
      <c r="BB751" s="12" t="s">
        <v>76</v>
      </c>
      <c r="BC751" s="5">
        <v>3.83</v>
      </c>
      <c r="BD751" s="5">
        <v>129</v>
      </c>
      <c r="BE751" s="5" t="s">
        <v>76</v>
      </c>
      <c r="BF751" s="5" t="s">
        <v>76</v>
      </c>
      <c r="BG751" s="15">
        <v>36.3</v>
      </c>
      <c r="BH751" s="5">
        <v>84</v>
      </c>
      <c r="BI751" s="5" t="s">
        <v>76</v>
      </c>
      <c r="BJ751" s="5">
        <v>16</v>
      </c>
      <c r="BK751" s="5">
        <v>176</v>
      </c>
      <c r="BL751" s="5">
        <v>101</v>
      </c>
      <c r="BM751" s="5">
        <v>85</v>
      </c>
      <c r="BN751" s="5">
        <v>171</v>
      </c>
      <c r="BO751" s="5">
        <f t="shared" si="11"/>
        <v>29.0687732977668</v>
      </c>
      <c r="BP751" s="5" t="s">
        <v>109</v>
      </c>
      <c r="BQ751" s="5">
        <v>9.9</v>
      </c>
      <c r="BR751" s="5">
        <v>2971</v>
      </c>
    </row>
    <row r="752" s="1" customFormat="1" spans="1:70">
      <c r="A752" s="1">
        <v>3257155</v>
      </c>
      <c r="B752" s="1" t="s">
        <v>1901</v>
      </c>
      <c r="D752" s="4">
        <v>44923</v>
      </c>
      <c r="E752" s="4">
        <v>44941</v>
      </c>
      <c r="F752" s="7">
        <v>19568</v>
      </c>
      <c r="G752" s="1">
        <v>42</v>
      </c>
      <c r="H752" s="1">
        <v>10</v>
      </c>
      <c r="I752" s="1">
        <v>52</v>
      </c>
      <c r="J752" s="1">
        <v>10</v>
      </c>
      <c r="K752" s="1">
        <v>60</v>
      </c>
      <c r="L752" s="1">
        <v>32</v>
      </c>
      <c r="M752" s="1">
        <v>0.85</v>
      </c>
      <c r="N752" s="1">
        <v>17.5</v>
      </c>
      <c r="O752" s="7">
        <v>19568</v>
      </c>
      <c r="P752" s="4">
        <v>44923</v>
      </c>
      <c r="Q752" s="4">
        <v>44941</v>
      </c>
      <c r="R752" s="1" t="s">
        <v>80</v>
      </c>
      <c r="S752" s="1">
        <v>69</v>
      </c>
      <c r="T752" s="1" t="s">
        <v>1902</v>
      </c>
      <c r="X752" s="1">
        <v>1</v>
      </c>
      <c r="AC752" s="1">
        <v>1</v>
      </c>
      <c r="AG752" s="1">
        <v>1</v>
      </c>
      <c r="AI752" s="1">
        <v>1</v>
      </c>
      <c r="AO752" s="7">
        <v>19568</v>
      </c>
      <c r="AP752" s="5">
        <v>5.4</v>
      </c>
      <c r="AQ752" s="5">
        <v>153</v>
      </c>
      <c r="AR752" s="5">
        <v>46.1</v>
      </c>
      <c r="AS752" s="5">
        <v>3.2</v>
      </c>
      <c r="AT752" s="5">
        <v>69</v>
      </c>
      <c r="AU752" s="5">
        <v>69</v>
      </c>
      <c r="AV752" s="5">
        <v>41.1</v>
      </c>
      <c r="AW752" s="5">
        <v>9.3</v>
      </c>
      <c r="AX752" s="5">
        <v>87</v>
      </c>
      <c r="AY752" s="5">
        <v>89.67</v>
      </c>
      <c r="AZ752" s="5">
        <v>6.07</v>
      </c>
      <c r="BA752" s="5">
        <v>2.69</v>
      </c>
      <c r="BB752" s="12" t="s">
        <v>76</v>
      </c>
      <c r="BC752" s="5">
        <v>3.93</v>
      </c>
      <c r="BD752" s="5">
        <v>153</v>
      </c>
      <c r="BE752" s="5">
        <v>1.15</v>
      </c>
      <c r="BF752" s="5">
        <v>1.37</v>
      </c>
      <c r="BG752" s="15">
        <v>36.2</v>
      </c>
      <c r="BH752" s="5">
        <v>82</v>
      </c>
      <c r="BI752" s="5" t="s">
        <v>76</v>
      </c>
      <c r="BJ752" s="5">
        <v>18</v>
      </c>
      <c r="BK752" s="5">
        <v>143</v>
      </c>
      <c r="BL752" s="5">
        <v>87</v>
      </c>
      <c r="BM752" s="5">
        <v>80</v>
      </c>
      <c r="BN752" s="5">
        <v>176</v>
      </c>
      <c r="BO752" s="5">
        <f t="shared" si="11"/>
        <v>25.8264462809917</v>
      </c>
      <c r="BP752" s="5" t="s">
        <v>156</v>
      </c>
      <c r="BQ752" s="5">
        <v>6.9</v>
      </c>
      <c r="BR752" s="5">
        <v>4618</v>
      </c>
    </row>
    <row r="753" s="1" customFormat="1" spans="1:70">
      <c r="A753" s="1" t="s">
        <v>1903</v>
      </c>
      <c r="B753" s="1" t="s">
        <v>1904</v>
      </c>
      <c r="D753" s="4">
        <v>44885</v>
      </c>
      <c r="E753" s="4">
        <v>44904</v>
      </c>
      <c r="F753" s="7">
        <v>19586</v>
      </c>
      <c r="G753" s="1">
        <v>41</v>
      </c>
      <c r="H753" s="1">
        <v>10</v>
      </c>
      <c r="I753" s="1">
        <v>50</v>
      </c>
      <c r="J753" s="1">
        <v>10</v>
      </c>
      <c r="K753" s="1">
        <v>59</v>
      </c>
      <c r="L753" s="1">
        <v>31</v>
      </c>
      <c r="M753" s="1">
        <v>0.78</v>
      </c>
      <c r="O753" s="7">
        <v>19586</v>
      </c>
      <c r="P753" s="4">
        <v>44885</v>
      </c>
      <c r="Q753" s="4">
        <v>44904</v>
      </c>
      <c r="R753" s="1" t="s">
        <v>80</v>
      </c>
      <c r="AO753" s="7">
        <v>19586</v>
      </c>
      <c r="AP753" s="5" t="s">
        <v>807</v>
      </c>
      <c r="AQ753" s="5" t="s">
        <v>89</v>
      </c>
      <c r="AR753" s="5" t="s">
        <v>567</v>
      </c>
      <c r="AS753" s="5" t="s">
        <v>1905</v>
      </c>
      <c r="AT753" s="5" t="s">
        <v>336</v>
      </c>
      <c r="AU753" s="5" t="s">
        <v>139</v>
      </c>
      <c r="AV753" s="5" t="s">
        <v>1906</v>
      </c>
      <c r="AW753" s="5" t="s">
        <v>1907</v>
      </c>
      <c r="AX753" s="5" t="s">
        <v>232</v>
      </c>
      <c r="AY753" s="5" t="s">
        <v>1908</v>
      </c>
      <c r="AZ753" s="5" t="s">
        <v>1909</v>
      </c>
      <c r="BA753" s="5" t="s">
        <v>1910</v>
      </c>
      <c r="BB753" s="12" t="s">
        <v>76</v>
      </c>
      <c r="BC753" s="5" t="s">
        <v>1911</v>
      </c>
      <c r="BD753" s="5" t="s">
        <v>89</v>
      </c>
      <c r="BE753" s="5" t="s">
        <v>1912</v>
      </c>
      <c r="BF753" s="5" t="s">
        <v>1913</v>
      </c>
      <c r="BG753" s="15">
        <v>36.2</v>
      </c>
      <c r="BH753" s="5" t="s">
        <v>192</v>
      </c>
      <c r="BI753" s="5" t="s">
        <v>192</v>
      </c>
      <c r="BJ753" s="5" t="s">
        <v>293</v>
      </c>
      <c r="BK753" s="5" t="s">
        <v>467</v>
      </c>
      <c r="BL753" s="5" t="s">
        <v>425</v>
      </c>
      <c r="BM753" s="5" t="s">
        <v>207</v>
      </c>
      <c r="BN753" s="5">
        <v>173</v>
      </c>
      <c r="BO753" s="5">
        <f t="shared" si="11"/>
        <v>22.7204383708109</v>
      </c>
      <c r="BP753" s="5" t="s">
        <v>501</v>
      </c>
      <c r="BQ753" s="5" t="s">
        <v>76</v>
      </c>
      <c r="BR753" s="5">
        <v>2935</v>
      </c>
    </row>
    <row r="754" s="1" customFormat="1" spans="1:70">
      <c r="A754" s="1" t="s">
        <v>1914</v>
      </c>
      <c r="B754" s="1" t="s">
        <v>1915</v>
      </c>
      <c r="D754" s="4">
        <v>44887</v>
      </c>
      <c r="E754" s="4">
        <v>44907</v>
      </c>
      <c r="F754" s="7">
        <v>19586</v>
      </c>
      <c r="G754" s="1">
        <v>37</v>
      </c>
      <c r="H754" s="1">
        <v>9</v>
      </c>
      <c r="I754" s="1">
        <v>49</v>
      </c>
      <c r="J754" s="1">
        <v>9</v>
      </c>
      <c r="K754" s="1">
        <v>63</v>
      </c>
      <c r="L754" s="1">
        <v>34</v>
      </c>
      <c r="M754" s="1">
        <v>0.92</v>
      </c>
      <c r="N754" s="1">
        <v>9.9</v>
      </c>
      <c r="O754" s="7">
        <v>19586</v>
      </c>
      <c r="P754" s="4">
        <v>44887</v>
      </c>
      <c r="Q754" s="4">
        <v>44907</v>
      </c>
      <c r="R754" s="1" t="s">
        <v>73</v>
      </c>
      <c r="S754" s="1">
        <v>69</v>
      </c>
      <c r="T754" s="1">
        <v>13837079065</v>
      </c>
      <c r="AA754" s="1">
        <v>1</v>
      </c>
      <c r="AM754" s="1">
        <v>1</v>
      </c>
      <c r="AN754" s="1">
        <v>1</v>
      </c>
      <c r="AO754" s="7">
        <v>19586</v>
      </c>
      <c r="AP754" s="5" t="s">
        <v>227</v>
      </c>
      <c r="AQ754" s="5" t="s">
        <v>493</v>
      </c>
      <c r="AR754" s="5" t="s">
        <v>1916</v>
      </c>
      <c r="AS754" s="5" t="s">
        <v>1917</v>
      </c>
      <c r="AT754" s="5" t="s">
        <v>171</v>
      </c>
      <c r="AU754" s="5" t="s">
        <v>171</v>
      </c>
      <c r="AV754" s="5" t="s">
        <v>807</v>
      </c>
      <c r="AW754" s="5" t="s">
        <v>834</v>
      </c>
      <c r="AX754" s="5" t="s">
        <v>1918</v>
      </c>
      <c r="AY754" s="5" t="s">
        <v>1919</v>
      </c>
      <c r="AZ754" s="5" t="s">
        <v>75</v>
      </c>
      <c r="BA754" s="5" t="s">
        <v>1920</v>
      </c>
      <c r="BB754" s="12" t="s">
        <v>76</v>
      </c>
      <c r="BC754" s="5" t="s">
        <v>1921</v>
      </c>
      <c r="BD754" s="5" t="s">
        <v>493</v>
      </c>
      <c r="BE754" s="5" t="s">
        <v>1788</v>
      </c>
      <c r="BF754" s="5" t="s">
        <v>1922</v>
      </c>
      <c r="BG754" s="15">
        <v>36.5</v>
      </c>
      <c r="BH754" s="5" t="s">
        <v>140</v>
      </c>
      <c r="BI754" s="5" t="s">
        <v>76</v>
      </c>
      <c r="BJ754" s="5" t="s">
        <v>101</v>
      </c>
      <c r="BK754" s="5" t="s">
        <v>818</v>
      </c>
      <c r="BL754" s="5" t="s">
        <v>207</v>
      </c>
      <c r="BM754" s="5">
        <v>60</v>
      </c>
      <c r="BN754" s="5">
        <v>160</v>
      </c>
      <c r="BO754" s="5">
        <f t="shared" si="11"/>
        <v>23.4375</v>
      </c>
      <c r="BP754" s="5" t="s">
        <v>412</v>
      </c>
      <c r="BQ754" s="5" t="s">
        <v>1020</v>
      </c>
      <c r="BR754" s="5">
        <v>9746</v>
      </c>
    </row>
    <row r="755" s="1" customFormat="1" spans="1:70">
      <c r="A755" s="1">
        <v>3320742</v>
      </c>
      <c r="B755" s="1" t="s">
        <v>1923</v>
      </c>
      <c r="D755" s="4">
        <v>45020</v>
      </c>
      <c r="E755" s="4">
        <v>45028</v>
      </c>
      <c r="F755" s="7">
        <v>19591</v>
      </c>
      <c r="G755" s="1">
        <v>37</v>
      </c>
      <c r="H755" s="1">
        <v>10</v>
      </c>
      <c r="I755" s="1">
        <v>50</v>
      </c>
      <c r="J755" s="1">
        <v>10</v>
      </c>
      <c r="K755" s="1">
        <v>40</v>
      </c>
      <c r="L755" s="1">
        <v>20</v>
      </c>
      <c r="N755" s="10">
        <v>14</v>
      </c>
      <c r="O755" s="7">
        <v>19591</v>
      </c>
      <c r="P755" s="4">
        <v>45020</v>
      </c>
      <c r="Q755" s="4">
        <v>45028</v>
      </c>
      <c r="R755" s="1" t="s">
        <v>73</v>
      </c>
      <c r="AO755" s="7">
        <v>19591</v>
      </c>
      <c r="AP755" s="5">
        <v>61.1</v>
      </c>
      <c r="AQ755" s="5">
        <v>151</v>
      </c>
      <c r="AR755" s="5">
        <v>47.8</v>
      </c>
      <c r="AS755" s="5">
        <v>9.8</v>
      </c>
      <c r="AT755" s="5">
        <v>41</v>
      </c>
      <c r="AU755" s="5">
        <v>46</v>
      </c>
      <c r="AV755" s="5">
        <v>35.3</v>
      </c>
      <c r="AW755" s="5">
        <v>6.8</v>
      </c>
      <c r="AX755" s="5">
        <v>70</v>
      </c>
      <c r="AY755" s="5">
        <v>76.5</v>
      </c>
      <c r="AZ755" s="5" t="s">
        <v>375</v>
      </c>
      <c r="BA755" s="5">
        <v>5.16</v>
      </c>
      <c r="BB755" s="12" t="s">
        <v>76</v>
      </c>
      <c r="BC755" s="5">
        <v>4.87</v>
      </c>
      <c r="BD755" s="5">
        <v>151</v>
      </c>
      <c r="BE755" s="5">
        <v>1.23</v>
      </c>
      <c r="BF755" s="5">
        <v>3.36</v>
      </c>
      <c r="BG755" s="15">
        <v>36.3</v>
      </c>
      <c r="BH755" s="5">
        <v>86</v>
      </c>
      <c r="BI755" s="5">
        <v>86</v>
      </c>
      <c r="BJ755" s="5">
        <v>20</v>
      </c>
      <c r="BK755" s="5">
        <v>190</v>
      </c>
      <c r="BL755" s="5">
        <v>86</v>
      </c>
      <c r="BM755" s="5">
        <v>60</v>
      </c>
      <c r="BN755" s="5">
        <v>155</v>
      </c>
      <c r="BO755" s="5">
        <f t="shared" si="11"/>
        <v>24.9739854318418</v>
      </c>
      <c r="BP755" s="5" t="s">
        <v>156</v>
      </c>
      <c r="BQ755" s="5" t="s">
        <v>76</v>
      </c>
      <c r="BR755" s="5">
        <v>4105</v>
      </c>
    </row>
    <row r="756" s="1" customFormat="1" spans="1:70">
      <c r="A756" s="1">
        <v>3255764</v>
      </c>
      <c r="B756" s="1" t="s">
        <v>1924</v>
      </c>
      <c r="D756" s="4">
        <v>44921</v>
      </c>
      <c r="E756" s="4">
        <v>44954</v>
      </c>
      <c r="F756" s="7">
        <v>19595</v>
      </c>
      <c r="G756" s="1">
        <v>45</v>
      </c>
      <c r="H756" s="1">
        <v>8</v>
      </c>
      <c r="I756" s="1">
        <v>61</v>
      </c>
      <c r="J756" s="1">
        <v>8</v>
      </c>
      <c r="K756" s="1">
        <v>50</v>
      </c>
      <c r="L756" s="1">
        <v>26</v>
      </c>
      <c r="M756" s="1">
        <v>1.78</v>
      </c>
      <c r="N756" s="1">
        <v>12.9</v>
      </c>
      <c r="O756" s="7">
        <v>19595</v>
      </c>
      <c r="P756" s="4">
        <v>44921</v>
      </c>
      <c r="Q756" s="4">
        <v>44954</v>
      </c>
      <c r="R756" s="1" t="s">
        <v>73</v>
      </c>
      <c r="S756" s="1">
        <v>69</v>
      </c>
      <c r="T756" s="1" t="s">
        <v>1925</v>
      </c>
      <c r="Y756" s="1">
        <v>1</v>
      </c>
      <c r="AC756" s="1">
        <v>1</v>
      </c>
      <c r="AG756" s="1">
        <v>1</v>
      </c>
      <c r="AH756" s="1">
        <v>1</v>
      </c>
      <c r="AI756" s="1">
        <v>1</v>
      </c>
      <c r="AM756" s="1">
        <v>1</v>
      </c>
      <c r="AO756" s="7">
        <v>19595</v>
      </c>
      <c r="AP756" s="5">
        <v>9.7</v>
      </c>
      <c r="AQ756" s="5">
        <v>148</v>
      </c>
      <c r="AR756" s="5">
        <v>45.7</v>
      </c>
      <c r="AS756" s="5">
        <v>7.9</v>
      </c>
      <c r="AT756" s="5">
        <v>97</v>
      </c>
      <c r="AU756" s="5">
        <v>47</v>
      </c>
      <c r="AV756" s="5">
        <v>58.1</v>
      </c>
      <c r="AW756" s="5">
        <v>5.43</v>
      </c>
      <c r="AX756" s="5">
        <v>82</v>
      </c>
      <c r="AY756" s="5">
        <v>84.83</v>
      </c>
      <c r="AZ756" s="5" t="s">
        <v>75</v>
      </c>
      <c r="BA756" s="5">
        <v>3.23</v>
      </c>
      <c r="BB756" s="12" t="s">
        <v>76</v>
      </c>
      <c r="BC756" s="5">
        <v>6.15</v>
      </c>
      <c r="BD756" s="5">
        <v>148</v>
      </c>
      <c r="BE756" s="5">
        <v>0.8</v>
      </c>
      <c r="BF756" s="5">
        <v>2</v>
      </c>
      <c r="BG756" s="15">
        <v>36.3</v>
      </c>
      <c r="BH756" s="5">
        <v>64</v>
      </c>
      <c r="BI756" s="5" t="s">
        <v>76</v>
      </c>
      <c r="BJ756" s="5">
        <v>15</v>
      </c>
      <c r="BK756" s="5">
        <v>149</v>
      </c>
      <c r="BL756" s="5">
        <v>79</v>
      </c>
      <c r="BM756" s="5">
        <v>62</v>
      </c>
      <c r="BN756" s="5">
        <v>160</v>
      </c>
      <c r="BO756" s="5">
        <f t="shared" si="11"/>
        <v>24.21875</v>
      </c>
      <c r="BP756" s="5" t="s">
        <v>113</v>
      </c>
      <c r="BQ756" s="5">
        <v>5.4</v>
      </c>
      <c r="BR756" s="5">
        <v>8181</v>
      </c>
    </row>
    <row r="757" s="1" customFormat="1" spans="1:70">
      <c r="A757" s="1">
        <v>3259771</v>
      </c>
      <c r="B757" s="1" t="s">
        <v>1926</v>
      </c>
      <c r="D757" s="4">
        <v>44928</v>
      </c>
      <c r="E757" s="4">
        <v>44937</v>
      </c>
      <c r="F757" s="7">
        <v>19598</v>
      </c>
      <c r="G757" s="1">
        <v>46</v>
      </c>
      <c r="H757" s="1">
        <v>12</v>
      </c>
      <c r="I757" s="1">
        <v>49</v>
      </c>
      <c r="J757" s="1">
        <v>12</v>
      </c>
      <c r="K757" s="1">
        <v>68</v>
      </c>
      <c r="L757" s="1">
        <v>38</v>
      </c>
      <c r="N757" s="1">
        <v>0.1</v>
      </c>
      <c r="O757" s="7">
        <v>19598</v>
      </c>
      <c r="P757" s="4">
        <v>44928</v>
      </c>
      <c r="Q757" s="4">
        <v>44937</v>
      </c>
      <c r="R757" s="1" t="s">
        <v>80</v>
      </c>
      <c r="AO757" s="7">
        <v>19598</v>
      </c>
      <c r="AP757" s="5">
        <v>7.6</v>
      </c>
      <c r="AQ757" s="5">
        <v>52</v>
      </c>
      <c r="AR757" s="5">
        <v>17.6</v>
      </c>
      <c r="AS757" s="5">
        <v>8.3</v>
      </c>
      <c r="AT757" s="5">
        <v>96</v>
      </c>
      <c r="AU757" s="5">
        <v>54</v>
      </c>
      <c r="AV757" s="5">
        <v>29</v>
      </c>
      <c r="AW757" s="5">
        <v>9.16</v>
      </c>
      <c r="AX757" s="5">
        <v>146</v>
      </c>
      <c r="AY757" s="5">
        <v>59.32</v>
      </c>
      <c r="AZ757" s="5" t="s">
        <v>804</v>
      </c>
      <c r="BA757" s="5">
        <v>1.9</v>
      </c>
      <c r="BB757" s="12" t="s">
        <v>76</v>
      </c>
      <c r="BC757" s="5">
        <v>4.99</v>
      </c>
      <c r="BD757" s="5">
        <v>52</v>
      </c>
      <c r="BE757" s="5">
        <v>0.45</v>
      </c>
      <c r="BF757" s="5">
        <v>0.84</v>
      </c>
      <c r="BG757" s="15">
        <v>36.2</v>
      </c>
      <c r="BH757" s="5">
        <v>51</v>
      </c>
      <c r="BI757" s="5" t="s">
        <v>76</v>
      </c>
      <c r="BJ757" s="5">
        <v>12</v>
      </c>
      <c r="BK757" s="5">
        <v>100</v>
      </c>
      <c r="BL757" s="5">
        <v>61</v>
      </c>
      <c r="BM757" s="5" t="s">
        <v>77</v>
      </c>
      <c r="BN757" s="5" t="s">
        <v>77</v>
      </c>
      <c r="BO757" s="5" t="e">
        <f t="shared" si="11"/>
        <v>#VALUE!</v>
      </c>
      <c r="BP757" s="5" t="s">
        <v>144</v>
      </c>
      <c r="BQ757" s="5">
        <v>6.3</v>
      </c>
      <c r="BR757" s="5">
        <v>5997</v>
      </c>
    </row>
    <row r="758" s="1" customFormat="1" spans="1:70">
      <c r="A758" s="1">
        <v>3317085</v>
      </c>
      <c r="B758" s="1" t="s">
        <v>1927</v>
      </c>
      <c r="D758" s="4">
        <v>45013</v>
      </c>
      <c r="E758" s="4">
        <v>45020</v>
      </c>
      <c r="F758" s="7">
        <v>19611</v>
      </c>
      <c r="G758" s="1">
        <v>39</v>
      </c>
      <c r="H758" s="1">
        <v>10</v>
      </c>
      <c r="I758" s="1">
        <v>48</v>
      </c>
      <c r="J758" s="1">
        <v>10</v>
      </c>
      <c r="K758" s="1">
        <v>48</v>
      </c>
      <c r="L758" s="1">
        <v>24</v>
      </c>
      <c r="M758" s="1">
        <v>0.54</v>
      </c>
      <c r="N758" s="1">
        <v>10.8</v>
      </c>
      <c r="O758" s="7">
        <v>19611</v>
      </c>
      <c r="P758" s="4">
        <v>45013</v>
      </c>
      <c r="Q758" s="4">
        <v>45020</v>
      </c>
      <c r="R758" s="1" t="s">
        <v>73</v>
      </c>
      <c r="AO758" s="7">
        <v>19611</v>
      </c>
      <c r="AP758" s="5">
        <v>7.6</v>
      </c>
      <c r="AQ758" s="5">
        <v>155</v>
      </c>
      <c r="AR758" s="5">
        <v>48</v>
      </c>
      <c r="AS758" s="5" t="s">
        <v>81</v>
      </c>
      <c r="AT758" s="5">
        <v>63</v>
      </c>
      <c r="AU758" s="5">
        <v>26</v>
      </c>
      <c r="AV758" s="5">
        <v>40.9</v>
      </c>
      <c r="AW758" s="5">
        <v>9.81</v>
      </c>
      <c r="AX758" s="5">
        <v>59</v>
      </c>
      <c r="AY758" s="5">
        <v>98.97</v>
      </c>
      <c r="AZ758" s="5">
        <v>9.24</v>
      </c>
      <c r="BA758" s="5">
        <v>4.71</v>
      </c>
      <c r="BB758" s="12" t="s">
        <v>76</v>
      </c>
      <c r="BC758" s="5">
        <v>4.08</v>
      </c>
      <c r="BD758" s="5">
        <v>155</v>
      </c>
      <c r="BE758" s="5">
        <v>1.19</v>
      </c>
      <c r="BF758" s="5">
        <v>2.76</v>
      </c>
      <c r="BG758" s="15">
        <v>36.5</v>
      </c>
      <c r="BH758" s="5">
        <v>73</v>
      </c>
      <c r="BI758" s="5">
        <v>73</v>
      </c>
      <c r="BJ758" s="5">
        <v>20</v>
      </c>
      <c r="BK758" s="5">
        <v>162</v>
      </c>
      <c r="BL758" s="5">
        <v>85</v>
      </c>
      <c r="BM758" s="5">
        <v>60</v>
      </c>
      <c r="BN758" s="5">
        <v>156</v>
      </c>
      <c r="BO758" s="5">
        <f t="shared" si="11"/>
        <v>24.65483234714</v>
      </c>
      <c r="BP758" s="5" t="s">
        <v>323</v>
      </c>
      <c r="BQ758" s="5">
        <v>10.8</v>
      </c>
      <c r="BR758" s="5">
        <v>8005</v>
      </c>
    </row>
    <row r="759" s="1" customFormat="1" spans="1:70">
      <c r="A759" s="1" t="s">
        <v>1928</v>
      </c>
      <c r="B759" s="1" t="s">
        <v>1929</v>
      </c>
      <c r="D759" s="4">
        <v>45260</v>
      </c>
      <c r="E759" s="4">
        <v>45284</v>
      </c>
      <c r="F759" s="7">
        <v>19619</v>
      </c>
      <c r="G759" s="1">
        <v>45</v>
      </c>
      <c r="H759" s="1">
        <v>10</v>
      </c>
      <c r="I759" s="1">
        <v>40</v>
      </c>
      <c r="J759" s="1">
        <v>10</v>
      </c>
      <c r="K759" s="1">
        <v>57</v>
      </c>
      <c r="L759" s="1">
        <v>30</v>
      </c>
      <c r="N759" s="1">
        <v>23.8</v>
      </c>
      <c r="O759" s="7">
        <v>19619</v>
      </c>
      <c r="P759" s="4">
        <v>45260</v>
      </c>
      <c r="Q759" s="4">
        <v>45284</v>
      </c>
      <c r="R759" s="1" t="s">
        <v>80</v>
      </c>
      <c r="AO759" s="7">
        <v>19619</v>
      </c>
      <c r="AP759" s="5" t="s">
        <v>1353</v>
      </c>
      <c r="AQ759" s="5" t="s">
        <v>533</v>
      </c>
      <c r="AR759" s="5" t="s">
        <v>1568</v>
      </c>
      <c r="AS759" s="5" t="s">
        <v>81</v>
      </c>
      <c r="AT759" s="5" t="s">
        <v>382</v>
      </c>
      <c r="AU759" s="5" t="s">
        <v>579</v>
      </c>
      <c r="AV759" s="5" t="s">
        <v>888</v>
      </c>
      <c r="AW759" s="5" t="s">
        <v>1930</v>
      </c>
      <c r="AX759" s="5" t="s">
        <v>1931</v>
      </c>
      <c r="AY759" s="5" t="s">
        <v>1932</v>
      </c>
      <c r="AZ759" s="5" t="s">
        <v>692</v>
      </c>
      <c r="BA759" s="5" t="s">
        <v>1933</v>
      </c>
      <c r="BB759" s="12" t="s">
        <v>76</v>
      </c>
      <c r="BC759" s="5" t="s">
        <v>4</v>
      </c>
      <c r="BD759" s="5" t="s">
        <v>533</v>
      </c>
      <c r="BE759" s="5" t="s">
        <v>1867</v>
      </c>
      <c r="BF759" s="5" t="s">
        <v>1934</v>
      </c>
      <c r="BG759" s="15">
        <v>36.4</v>
      </c>
      <c r="BH759" s="5" t="s">
        <v>772</v>
      </c>
      <c r="BI759" s="5" t="s">
        <v>772</v>
      </c>
      <c r="BJ759" s="5" t="s">
        <v>293</v>
      </c>
      <c r="BK759" s="5" t="s">
        <v>100</v>
      </c>
      <c r="BL759" s="5" t="s">
        <v>691</v>
      </c>
      <c r="BM759" s="5" t="s">
        <v>344</v>
      </c>
      <c r="BN759" s="5">
        <v>170</v>
      </c>
      <c r="BO759" s="5">
        <f t="shared" si="11"/>
        <v>18.6851211072664</v>
      </c>
      <c r="BP759" s="5" t="s">
        <v>542</v>
      </c>
      <c r="BQ759" s="5" t="s">
        <v>76</v>
      </c>
      <c r="BR759" s="5" t="s">
        <v>118</v>
      </c>
    </row>
    <row r="760" s="1" customFormat="1" spans="1:70">
      <c r="A760" s="1">
        <v>3335096</v>
      </c>
      <c r="B760" s="1" t="s">
        <v>1935</v>
      </c>
      <c r="D760" s="4">
        <v>45039</v>
      </c>
      <c r="E760" s="4">
        <v>45048</v>
      </c>
      <c r="F760" s="7">
        <v>19621</v>
      </c>
      <c r="G760" s="1">
        <v>34</v>
      </c>
      <c r="H760" s="1">
        <v>10</v>
      </c>
      <c r="I760" s="1">
        <v>46</v>
      </c>
      <c r="J760" s="1">
        <v>10</v>
      </c>
      <c r="K760" s="1">
        <v>41</v>
      </c>
      <c r="L760" s="1">
        <v>20</v>
      </c>
      <c r="M760" s="1">
        <v>0.58</v>
      </c>
      <c r="N760" s="1">
        <v>12.2</v>
      </c>
      <c r="O760" s="7">
        <v>19621</v>
      </c>
      <c r="P760" s="4">
        <v>45039</v>
      </c>
      <c r="Q760" s="4">
        <v>45048</v>
      </c>
      <c r="R760" s="1" t="s">
        <v>73</v>
      </c>
      <c r="AO760" s="7">
        <v>19621</v>
      </c>
      <c r="AP760" s="5">
        <v>9.6</v>
      </c>
      <c r="AQ760" s="5">
        <v>99</v>
      </c>
      <c r="AR760" s="5">
        <v>37.4</v>
      </c>
      <c r="AS760" s="5">
        <v>95.8</v>
      </c>
      <c r="AT760" s="5">
        <v>85</v>
      </c>
      <c r="AU760" s="5">
        <v>29</v>
      </c>
      <c r="AV760" s="5">
        <v>37.8</v>
      </c>
      <c r="AW760" s="5">
        <v>18.28</v>
      </c>
      <c r="AX760" s="5">
        <v>169</v>
      </c>
      <c r="AY760" s="5">
        <v>37.45</v>
      </c>
      <c r="AZ760" s="5">
        <v>9.93</v>
      </c>
      <c r="BA760" s="5">
        <v>4.64</v>
      </c>
      <c r="BB760" s="12" t="s">
        <v>76</v>
      </c>
      <c r="BC760" s="5">
        <v>4.52</v>
      </c>
      <c r="BD760" s="5">
        <v>99</v>
      </c>
      <c r="BE760" s="5">
        <v>0.88</v>
      </c>
      <c r="BF760" s="5">
        <v>2.24</v>
      </c>
      <c r="BG760" s="15">
        <v>36.2</v>
      </c>
      <c r="BH760" s="5">
        <v>83</v>
      </c>
      <c r="BI760" s="5">
        <v>83</v>
      </c>
      <c r="BJ760" s="5">
        <v>18</v>
      </c>
      <c r="BK760" s="5">
        <v>131</v>
      </c>
      <c r="BL760" s="5">
        <v>84</v>
      </c>
      <c r="BM760" s="5">
        <v>60</v>
      </c>
      <c r="BN760" s="5">
        <v>150</v>
      </c>
      <c r="BO760" s="5">
        <f t="shared" si="11"/>
        <v>26.6666666666667</v>
      </c>
      <c r="BP760" s="5" t="s">
        <v>323</v>
      </c>
      <c r="BQ760" s="5">
        <v>7</v>
      </c>
      <c r="BR760" s="5">
        <v>8866</v>
      </c>
    </row>
    <row r="761" s="1" customFormat="1" spans="1:70">
      <c r="A761" s="1" t="s">
        <v>1936</v>
      </c>
      <c r="B761" s="1" t="s">
        <v>1937</v>
      </c>
      <c r="D761" s="4">
        <v>44985</v>
      </c>
      <c r="E761" s="4">
        <v>45002</v>
      </c>
      <c r="F761" s="7">
        <v>19622</v>
      </c>
      <c r="G761" s="1">
        <v>33</v>
      </c>
      <c r="H761" s="1">
        <v>9</v>
      </c>
      <c r="I761" s="1">
        <v>45</v>
      </c>
      <c r="J761" s="1">
        <v>9</v>
      </c>
      <c r="K761" s="1">
        <v>65</v>
      </c>
      <c r="L761" s="1">
        <v>35</v>
      </c>
      <c r="M761" s="1">
        <v>0.37</v>
      </c>
      <c r="N761" s="1">
        <v>5.9</v>
      </c>
      <c r="O761" s="7">
        <v>19622</v>
      </c>
      <c r="P761" s="4">
        <v>44985</v>
      </c>
      <c r="Q761" s="4">
        <v>45002</v>
      </c>
      <c r="R761" s="1" t="s">
        <v>73</v>
      </c>
      <c r="AO761" s="7">
        <v>19622</v>
      </c>
      <c r="AP761" s="5" t="s">
        <v>807</v>
      </c>
      <c r="AQ761" s="5" t="s">
        <v>139</v>
      </c>
      <c r="AR761" s="5" t="s">
        <v>770</v>
      </c>
      <c r="AS761" s="5" t="s">
        <v>507</v>
      </c>
      <c r="AT761" s="5" t="s">
        <v>195</v>
      </c>
      <c r="AU761" s="5" t="s">
        <v>594</v>
      </c>
      <c r="AV761" s="5" t="s">
        <v>285</v>
      </c>
      <c r="AW761" s="5" t="s">
        <v>1938</v>
      </c>
      <c r="AX761" s="5" t="s">
        <v>1939</v>
      </c>
      <c r="AY761" s="5" t="s">
        <v>1940</v>
      </c>
      <c r="AZ761" s="5" t="s">
        <v>75</v>
      </c>
      <c r="BA761" s="5" t="s">
        <v>76</v>
      </c>
      <c r="BB761" s="12" t="s">
        <v>76</v>
      </c>
      <c r="BC761" s="5" t="s">
        <v>4</v>
      </c>
      <c r="BD761" s="5" t="s">
        <v>139</v>
      </c>
      <c r="BE761" s="5" t="s">
        <v>76</v>
      </c>
      <c r="BF761" s="5" t="s">
        <v>76</v>
      </c>
      <c r="BG761" s="15">
        <v>37.8</v>
      </c>
      <c r="BH761" s="5" t="s">
        <v>192</v>
      </c>
      <c r="BI761" s="5" t="s">
        <v>192</v>
      </c>
      <c r="BJ761" s="5" t="s">
        <v>293</v>
      </c>
      <c r="BK761" s="5" t="s">
        <v>1941</v>
      </c>
      <c r="BL761" s="5" t="s">
        <v>232</v>
      </c>
      <c r="BM761" s="5" t="s">
        <v>195</v>
      </c>
      <c r="BN761" s="5">
        <v>156</v>
      </c>
      <c r="BO761" s="5">
        <f t="shared" si="11"/>
        <v>20.5456936226167</v>
      </c>
      <c r="BP761" s="5" t="s">
        <v>501</v>
      </c>
      <c r="BQ761" s="5" t="s">
        <v>76</v>
      </c>
      <c r="BR761" s="5">
        <v>7742</v>
      </c>
    </row>
    <row r="762" s="1" customFormat="1" spans="1:70">
      <c r="A762" s="1">
        <v>3295126</v>
      </c>
      <c r="B762" s="1" t="s">
        <v>1942</v>
      </c>
      <c r="D762" s="4">
        <v>44984</v>
      </c>
      <c r="E762" s="4">
        <v>44991</v>
      </c>
      <c r="F762" s="7">
        <v>19634</v>
      </c>
      <c r="G762" s="1">
        <v>43</v>
      </c>
      <c r="H762" s="1">
        <v>10</v>
      </c>
      <c r="I762" s="1">
        <v>50</v>
      </c>
      <c r="J762" s="1">
        <v>9</v>
      </c>
      <c r="K762" s="1">
        <v>52</v>
      </c>
      <c r="L762" s="1">
        <v>27</v>
      </c>
      <c r="M762" s="1">
        <v>1.82</v>
      </c>
      <c r="N762" s="1">
        <v>11.1</v>
      </c>
      <c r="O762" s="7">
        <v>19634</v>
      </c>
      <c r="P762" s="4">
        <v>44984</v>
      </c>
      <c r="Q762" s="4">
        <v>44991</v>
      </c>
      <c r="R762" s="1" t="s">
        <v>73</v>
      </c>
      <c r="AO762" s="7">
        <v>19634</v>
      </c>
      <c r="AP762" s="5">
        <v>5.1</v>
      </c>
      <c r="AQ762" s="5">
        <v>127</v>
      </c>
      <c r="AR762" s="5">
        <v>42.2</v>
      </c>
      <c r="AS762" s="5">
        <v>3.2</v>
      </c>
      <c r="AT762" s="5">
        <v>18</v>
      </c>
      <c r="AU762" s="5">
        <v>10</v>
      </c>
      <c r="AV762" s="5">
        <v>39.9</v>
      </c>
      <c r="AW762" s="5">
        <v>3.96</v>
      </c>
      <c r="AX762" s="5">
        <v>62</v>
      </c>
      <c r="AY762" s="5">
        <v>88</v>
      </c>
      <c r="AZ762" s="5" t="s">
        <v>75</v>
      </c>
      <c r="BA762" s="5">
        <v>2.74</v>
      </c>
      <c r="BB762" s="12" t="s">
        <v>76</v>
      </c>
      <c r="BC762" s="5">
        <v>4.19</v>
      </c>
      <c r="BD762" s="5">
        <v>127</v>
      </c>
      <c r="BE762" s="5">
        <v>1.34</v>
      </c>
      <c r="BF762" s="5">
        <v>0.92</v>
      </c>
      <c r="BG762" s="15">
        <v>36.5</v>
      </c>
      <c r="BH762" s="5">
        <v>82</v>
      </c>
      <c r="BI762" s="5">
        <v>91</v>
      </c>
      <c r="BJ762" s="5">
        <v>18</v>
      </c>
      <c r="BK762" s="5">
        <v>119</v>
      </c>
      <c r="BL762" s="5">
        <v>87</v>
      </c>
      <c r="BM762" s="5">
        <v>60</v>
      </c>
      <c r="BN762" s="5">
        <v>158</v>
      </c>
      <c r="BO762" s="5">
        <f t="shared" si="11"/>
        <v>24.034609838167</v>
      </c>
      <c r="BP762" s="5" t="s">
        <v>78</v>
      </c>
      <c r="BQ762" s="5">
        <v>5.9</v>
      </c>
      <c r="BR762" s="5">
        <v>1042</v>
      </c>
    </row>
    <row r="763" s="1" customFormat="1" spans="1:70">
      <c r="A763" s="1">
        <v>3282597</v>
      </c>
      <c r="B763" s="1" t="s">
        <v>1943</v>
      </c>
      <c r="D763" s="4">
        <v>44967</v>
      </c>
      <c r="E763" s="4">
        <v>44978</v>
      </c>
      <c r="F763" s="7">
        <v>19637</v>
      </c>
      <c r="G763" s="1">
        <v>38</v>
      </c>
      <c r="H763" s="1">
        <v>9</v>
      </c>
      <c r="I763" s="1">
        <v>49</v>
      </c>
      <c r="J763" s="1">
        <v>9</v>
      </c>
      <c r="K763" s="1">
        <v>46</v>
      </c>
      <c r="L763" s="1">
        <v>23</v>
      </c>
      <c r="N763" s="1">
        <v>15.8</v>
      </c>
      <c r="O763" s="7">
        <v>19637</v>
      </c>
      <c r="P763" s="4">
        <v>44967</v>
      </c>
      <c r="Q763" s="4">
        <v>44978</v>
      </c>
      <c r="R763" s="1" t="s">
        <v>73</v>
      </c>
      <c r="AO763" s="7">
        <v>19637</v>
      </c>
      <c r="AP763" s="5">
        <v>56.4</v>
      </c>
      <c r="AQ763" s="5">
        <v>87</v>
      </c>
      <c r="AR763" s="5">
        <v>29.1</v>
      </c>
      <c r="AS763" s="5">
        <v>60.6</v>
      </c>
      <c r="AT763" s="5">
        <v>28</v>
      </c>
      <c r="AU763" s="5">
        <v>28</v>
      </c>
      <c r="AV763" s="5">
        <v>30.6</v>
      </c>
      <c r="AW763" s="5">
        <v>23.76</v>
      </c>
      <c r="AX763" s="5">
        <v>226</v>
      </c>
      <c r="AY763" s="5">
        <v>40.68</v>
      </c>
      <c r="AZ763" s="5" t="s">
        <v>75</v>
      </c>
      <c r="BA763" s="5" t="s">
        <v>76</v>
      </c>
      <c r="BB763" s="12" t="s">
        <v>76</v>
      </c>
      <c r="BC763" s="5">
        <v>3.71</v>
      </c>
      <c r="BD763" s="5">
        <v>87</v>
      </c>
      <c r="BE763" s="5" t="s">
        <v>76</v>
      </c>
      <c r="BF763" s="5" t="s">
        <v>76</v>
      </c>
      <c r="BG763" s="15">
        <v>36.6</v>
      </c>
      <c r="BH763" s="5">
        <v>76</v>
      </c>
      <c r="BI763" s="5" t="s">
        <v>76</v>
      </c>
      <c r="BJ763" s="5">
        <v>18</v>
      </c>
      <c r="BK763" s="5">
        <v>115</v>
      </c>
      <c r="BL763" s="5">
        <v>78</v>
      </c>
      <c r="BM763" s="5">
        <v>70</v>
      </c>
      <c r="BN763" s="5">
        <v>165</v>
      </c>
      <c r="BO763" s="5">
        <f t="shared" si="11"/>
        <v>25.7116620752984</v>
      </c>
      <c r="BP763" s="5" t="s">
        <v>300</v>
      </c>
      <c r="BQ763" s="5">
        <v>7.7</v>
      </c>
      <c r="BR763" s="5">
        <v>8897</v>
      </c>
    </row>
    <row r="764" s="1" customFormat="1" spans="1:70">
      <c r="A764" s="1">
        <v>3310712</v>
      </c>
      <c r="B764" s="1" t="s">
        <v>1944</v>
      </c>
      <c r="D764" s="4">
        <v>45005</v>
      </c>
      <c r="E764" s="4">
        <v>45029</v>
      </c>
      <c r="F764" s="7">
        <v>19642</v>
      </c>
      <c r="G764" s="1">
        <v>32</v>
      </c>
      <c r="H764" s="1">
        <v>9</v>
      </c>
      <c r="I764" s="1">
        <v>42</v>
      </c>
      <c r="J764" s="1">
        <v>9</v>
      </c>
      <c r="K764" s="1">
        <v>63</v>
      </c>
      <c r="L764" s="1">
        <v>34</v>
      </c>
      <c r="M764" s="1">
        <v>0.7</v>
      </c>
      <c r="N764" s="1">
        <v>9.5</v>
      </c>
      <c r="O764" s="7">
        <v>19642</v>
      </c>
      <c r="P764" s="4">
        <v>45005</v>
      </c>
      <c r="Q764" s="4">
        <v>45029</v>
      </c>
      <c r="R764" s="1" t="s">
        <v>80</v>
      </c>
      <c r="S764" s="1">
        <v>69</v>
      </c>
      <c r="T764" s="1" t="s">
        <v>1945</v>
      </c>
      <c r="V764" s="1">
        <v>1</v>
      </c>
      <c r="X764" s="1">
        <v>1</v>
      </c>
      <c r="AC764" s="1">
        <v>1</v>
      </c>
      <c r="AL764" s="1">
        <v>1</v>
      </c>
      <c r="AM764" s="1">
        <v>1</v>
      </c>
      <c r="AO764" s="7">
        <v>19642</v>
      </c>
      <c r="AP764" s="5">
        <v>4.4</v>
      </c>
      <c r="AQ764" s="5">
        <v>82</v>
      </c>
      <c r="AR764" s="5">
        <v>33.05</v>
      </c>
      <c r="AS764" s="5">
        <v>90.2</v>
      </c>
      <c r="AT764" s="5">
        <v>9</v>
      </c>
      <c r="AU764" s="5" t="s">
        <v>171</v>
      </c>
      <c r="AV764" s="5">
        <v>36.9</v>
      </c>
      <c r="AW764" s="5">
        <v>9.21</v>
      </c>
      <c r="AX764" s="5">
        <v>69</v>
      </c>
      <c r="AY764" s="5" t="s">
        <v>125</v>
      </c>
      <c r="AZ764" s="5">
        <v>7</v>
      </c>
      <c r="BA764" s="5">
        <v>4.33</v>
      </c>
      <c r="BB764" s="12" t="s">
        <v>76</v>
      </c>
      <c r="BC764" s="5">
        <v>5.37</v>
      </c>
      <c r="BD764" s="5">
        <v>82</v>
      </c>
      <c r="BE764" s="5">
        <v>0.83</v>
      </c>
      <c r="BF764" s="5">
        <v>2.54</v>
      </c>
      <c r="BG764" s="15">
        <v>36</v>
      </c>
      <c r="BH764" s="5">
        <v>88</v>
      </c>
      <c r="BI764" s="5">
        <v>88</v>
      </c>
      <c r="BJ764" s="5">
        <v>15</v>
      </c>
      <c r="BK764" s="5">
        <v>112</v>
      </c>
      <c r="BL764" s="5">
        <v>66</v>
      </c>
      <c r="BM764" s="5" t="s">
        <v>77</v>
      </c>
      <c r="BN764" s="5" t="s">
        <v>77</v>
      </c>
      <c r="BO764" s="5" t="e">
        <f t="shared" si="11"/>
        <v>#VALUE!</v>
      </c>
      <c r="BP764" s="5" t="s">
        <v>453</v>
      </c>
      <c r="BQ764" s="5">
        <v>5.6</v>
      </c>
      <c r="BR764" s="5">
        <v>937</v>
      </c>
    </row>
    <row r="765" s="1" customFormat="1" spans="1:70">
      <c r="A765" s="1">
        <v>3496724</v>
      </c>
      <c r="B765" s="1" t="s">
        <v>1946</v>
      </c>
      <c r="D765" s="4">
        <v>45262</v>
      </c>
      <c r="E765" s="4">
        <v>45275</v>
      </c>
      <c r="F765" s="7">
        <v>19647</v>
      </c>
      <c r="G765" s="1">
        <v>36</v>
      </c>
      <c r="H765" s="1">
        <v>7</v>
      </c>
      <c r="I765" s="1">
        <v>43</v>
      </c>
      <c r="J765" s="1">
        <v>7</v>
      </c>
      <c r="K765" s="1">
        <v>63</v>
      </c>
      <c r="L765" s="1">
        <v>34</v>
      </c>
      <c r="M765" s="1">
        <v>0.75</v>
      </c>
      <c r="N765" s="1">
        <v>9.8</v>
      </c>
      <c r="O765" s="7">
        <v>19647</v>
      </c>
      <c r="P765" s="4">
        <v>45262</v>
      </c>
      <c r="Q765" s="4">
        <v>45275</v>
      </c>
      <c r="R765" s="1" t="s">
        <v>73</v>
      </c>
      <c r="AO765" s="7">
        <v>19647</v>
      </c>
      <c r="AP765" s="5">
        <v>9.9</v>
      </c>
      <c r="AQ765" s="5">
        <v>99</v>
      </c>
      <c r="AR765" s="5">
        <v>32.4</v>
      </c>
      <c r="AS765" s="5">
        <v>70.4</v>
      </c>
      <c r="AT765" s="5">
        <v>67</v>
      </c>
      <c r="AU765" s="5">
        <v>88</v>
      </c>
      <c r="AV765" s="5">
        <v>36.9</v>
      </c>
      <c r="AW765" s="5">
        <v>6.8</v>
      </c>
      <c r="AX765" s="5">
        <v>62</v>
      </c>
      <c r="AY765" s="5" t="s">
        <v>76</v>
      </c>
      <c r="AZ765" s="5" t="s">
        <v>75</v>
      </c>
      <c r="BA765" s="5">
        <v>4.35</v>
      </c>
      <c r="BB765" s="12" t="s">
        <v>76</v>
      </c>
      <c r="BC765" s="5">
        <v>5.17</v>
      </c>
      <c r="BD765" s="5">
        <v>99</v>
      </c>
      <c r="BE765" s="5" t="s">
        <v>76</v>
      </c>
      <c r="BF765" s="5" t="s">
        <v>76</v>
      </c>
      <c r="BG765" s="15">
        <v>37</v>
      </c>
      <c r="BH765" s="5">
        <v>89</v>
      </c>
      <c r="BI765" s="5">
        <v>89</v>
      </c>
      <c r="BJ765" s="5">
        <v>17</v>
      </c>
      <c r="BK765" s="5">
        <v>191</v>
      </c>
      <c r="BL765" s="5">
        <v>71</v>
      </c>
      <c r="BM765" s="5">
        <v>42</v>
      </c>
      <c r="BN765" s="5">
        <v>147</v>
      </c>
      <c r="BO765" s="5">
        <f t="shared" si="11"/>
        <v>19.4363459669582</v>
      </c>
      <c r="BP765" s="5" t="s">
        <v>357</v>
      </c>
      <c r="BQ765" s="5" t="s">
        <v>76</v>
      </c>
      <c r="BR765" s="5">
        <v>4054</v>
      </c>
    </row>
    <row r="766" s="1" customFormat="1" spans="1:70">
      <c r="A766" s="1">
        <v>3288565</v>
      </c>
      <c r="B766" s="1" t="s">
        <v>1947</v>
      </c>
      <c r="D766" s="4">
        <v>44974</v>
      </c>
      <c r="E766" s="4">
        <v>44987</v>
      </c>
      <c r="F766" s="7">
        <v>19650</v>
      </c>
      <c r="G766" s="1">
        <v>37</v>
      </c>
      <c r="H766" s="1">
        <v>9</v>
      </c>
      <c r="I766" s="1">
        <v>50</v>
      </c>
      <c r="J766" s="1">
        <v>9</v>
      </c>
      <c r="K766" s="1">
        <v>34</v>
      </c>
      <c r="L766" s="1">
        <v>16</v>
      </c>
      <c r="M766" s="1">
        <v>0.43</v>
      </c>
      <c r="O766" s="7">
        <v>19650</v>
      </c>
      <c r="P766" s="4">
        <v>44974</v>
      </c>
      <c r="Q766" s="4">
        <v>44987</v>
      </c>
      <c r="R766" s="1" t="s">
        <v>80</v>
      </c>
      <c r="AO766" s="7">
        <v>19650</v>
      </c>
      <c r="AP766" s="5">
        <v>9.4</v>
      </c>
      <c r="AQ766" s="5">
        <v>97</v>
      </c>
      <c r="AR766" s="5">
        <v>35.2</v>
      </c>
      <c r="AS766" s="5">
        <v>82.3</v>
      </c>
      <c r="AT766" s="5">
        <v>84</v>
      </c>
      <c r="AU766" s="5">
        <v>94</v>
      </c>
      <c r="AV766" s="5">
        <v>38.9</v>
      </c>
      <c r="AW766" s="5">
        <v>9.85</v>
      </c>
      <c r="AX766" s="5">
        <v>218</v>
      </c>
      <c r="AY766" s="5">
        <v>59.32</v>
      </c>
      <c r="AZ766" s="5" t="s">
        <v>375</v>
      </c>
      <c r="BA766" s="5">
        <v>4.6</v>
      </c>
      <c r="BB766" s="12" t="s">
        <v>76</v>
      </c>
      <c r="BC766" s="5">
        <v>5.28</v>
      </c>
      <c r="BD766" s="5">
        <v>97</v>
      </c>
      <c r="BE766" s="5">
        <v>1.31</v>
      </c>
      <c r="BF766" s="5">
        <v>2.46</v>
      </c>
      <c r="BG766" s="15">
        <v>36.5</v>
      </c>
      <c r="BH766" s="5">
        <v>91</v>
      </c>
      <c r="BI766" s="5">
        <v>91</v>
      </c>
      <c r="BJ766" s="5">
        <v>16</v>
      </c>
      <c r="BK766" s="5">
        <v>146</v>
      </c>
      <c r="BL766" s="5">
        <v>98</v>
      </c>
      <c r="BM766" s="5">
        <v>75</v>
      </c>
      <c r="BN766" s="5">
        <v>163</v>
      </c>
      <c r="BO766" s="5">
        <f t="shared" si="11"/>
        <v>28.2283864654296</v>
      </c>
      <c r="BP766" s="5" t="s">
        <v>323</v>
      </c>
      <c r="BQ766" s="5">
        <v>7.9</v>
      </c>
      <c r="BR766" s="5">
        <v>8234</v>
      </c>
    </row>
    <row r="767" s="1" customFormat="1" spans="1:70">
      <c r="A767" s="1">
        <v>3511412</v>
      </c>
      <c r="B767" s="1" t="s">
        <v>1948</v>
      </c>
      <c r="D767" s="4">
        <v>45282</v>
      </c>
      <c r="E767" s="4">
        <v>45290</v>
      </c>
      <c r="F767" s="7">
        <v>19659</v>
      </c>
      <c r="G767" s="1">
        <v>40</v>
      </c>
      <c r="H767" s="1">
        <v>10</v>
      </c>
      <c r="I767" s="1">
        <v>53</v>
      </c>
      <c r="J767" s="1">
        <v>10</v>
      </c>
      <c r="K767" s="1">
        <v>47</v>
      </c>
      <c r="L767" s="1">
        <v>24</v>
      </c>
      <c r="M767" s="1">
        <v>0.52</v>
      </c>
      <c r="N767" s="1">
        <v>8.3</v>
      </c>
      <c r="O767" s="7">
        <v>19659</v>
      </c>
      <c r="P767" s="4">
        <v>45282</v>
      </c>
      <c r="Q767" s="4">
        <v>45290</v>
      </c>
      <c r="R767" s="1" t="s">
        <v>80</v>
      </c>
      <c r="AO767" s="7">
        <v>19659</v>
      </c>
      <c r="AP767" s="5">
        <v>5.5</v>
      </c>
      <c r="AQ767" s="5">
        <v>127</v>
      </c>
      <c r="AR767" s="5">
        <v>38.7</v>
      </c>
      <c r="AS767" s="5">
        <v>6.7</v>
      </c>
      <c r="AT767" s="5">
        <v>82</v>
      </c>
      <c r="AU767" s="5">
        <v>734</v>
      </c>
      <c r="AV767" s="5">
        <v>37.1</v>
      </c>
      <c r="AW767" s="5">
        <v>7.82</v>
      </c>
      <c r="AX767" s="5">
        <v>64</v>
      </c>
      <c r="AY767" s="5" t="s">
        <v>125</v>
      </c>
      <c r="AZ767" s="5" t="s">
        <v>75</v>
      </c>
      <c r="BA767" s="5">
        <v>3.86</v>
      </c>
      <c r="BB767" s="12" t="s">
        <v>76</v>
      </c>
      <c r="BC767" s="5">
        <v>5.3</v>
      </c>
      <c r="BD767" s="5">
        <v>127</v>
      </c>
      <c r="BE767" s="5">
        <v>0.62</v>
      </c>
      <c r="BF767" s="5">
        <v>1.93</v>
      </c>
      <c r="BG767" s="15">
        <v>36.5</v>
      </c>
      <c r="BH767" s="5">
        <v>65</v>
      </c>
      <c r="BI767" s="5">
        <v>65</v>
      </c>
      <c r="BJ767" s="5">
        <v>18</v>
      </c>
      <c r="BK767" s="5">
        <v>172</v>
      </c>
      <c r="BL767" s="5">
        <v>98</v>
      </c>
      <c r="BM767" s="5">
        <v>60</v>
      </c>
      <c r="BN767" s="5">
        <v>165</v>
      </c>
      <c r="BO767" s="5">
        <f t="shared" si="11"/>
        <v>22.038567493113</v>
      </c>
      <c r="BP767" s="5" t="s">
        <v>121</v>
      </c>
      <c r="BQ767" s="5">
        <v>5.6</v>
      </c>
      <c r="BR767" s="5">
        <v>6967</v>
      </c>
    </row>
    <row r="768" s="1" customFormat="1" spans="1:70">
      <c r="A768" s="1" t="s">
        <v>1949</v>
      </c>
      <c r="B768" s="1" t="s">
        <v>1950</v>
      </c>
      <c r="D768" s="4">
        <v>45282</v>
      </c>
      <c r="E768" s="4">
        <v>45297</v>
      </c>
      <c r="F768" s="7">
        <v>19673</v>
      </c>
      <c r="G768" s="1">
        <v>32</v>
      </c>
      <c r="H768" s="1">
        <v>8</v>
      </c>
      <c r="I768" s="1">
        <v>41</v>
      </c>
      <c r="J768" s="1">
        <v>8</v>
      </c>
      <c r="K768" s="1">
        <v>67</v>
      </c>
      <c r="L768" s="1">
        <v>37</v>
      </c>
      <c r="M768" s="1">
        <v>0.82</v>
      </c>
      <c r="N768" s="1">
        <v>20.2</v>
      </c>
      <c r="O768" s="7">
        <v>19673</v>
      </c>
      <c r="P768" s="4">
        <v>45282</v>
      </c>
      <c r="Q768" s="4">
        <v>45297</v>
      </c>
      <c r="R768" s="1" t="s">
        <v>73</v>
      </c>
      <c r="AO768" s="7">
        <v>19673</v>
      </c>
      <c r="AP768" s="5" t="s">
        <v>1951</v>
      </c>
      <c r="AQ768" s="5" t="s">
        <v>138</v>
      </c>
      <c r="AR768" s="5" t="s">
        <v>1952</v>
      </c>
      <c r="AS768" s="5" t="s">
        <v>1437</v>
      </c>
      <c r="AT768" s="5" t="s">
        <v>511</v>
      </c>
      <c r="AU768" s="5" t="s">
        <v>1498</v>
      </c>
      <c r="AV768" s="5" t="s">
        <v>1953</v>
      </c>
      <c r="AW768" s="5" t="s">
        <v>1954</v>
      </c>
      <c r="AX768" s="5" t="s">
        <v>139</v>
      </c>
      <c r="AY768" s="5" t="s">
        <v>76</v>
      </c>
      <c r="AZ768" s="5" t="s">
        <v>1084</v>
      </c>
      <c r="BA768" s="5" t="s">
        <v>1607</v>
      </c>
      <c r="BB768" s="12" t="s">
        <v>76</v>
      </c>
      <c r="BC768" s="5" t="s">
        <v>813</v>
      </c>
      <c r="BD768" s="5" t="s">
        <v>138</v>
      </c>
      <c r="BE768" s="5" t="s">
        <v>76</v>
      </c>
      <c r="BF768" s="5" t="s">
        <v>76</v>
      </c>
      <c r="BG768" s="15">
        <v>36.6</v>
      </c>
      <c r="BH768" s="5" t="s">
        <v>683</v>
      </c>
      <c r="BI768" s="5" t="s">
        <v>683</v>
      </c>
      <c r="BJ768" s="5" t="s">
        <v>246</v>
      </c>
      <c r="BK768" s="5" t="s">
        <v>327</v>
      </c>
      <c r="BL768" s="5" t="s">
        <v>347</v>
      </c>
      <c r="BM768" s="5" t="s">
        <v>352</v>
      </c>
      <c r="BN768" s="5">
        <v>155</v>
      </c>
      <c r="BO768" s="5">
        <f t="shared" si="11"/>
        <v>22.8928199791883</v>
      </c>
      <c r="BP768" s="5" t="s">
        <v>1268</v>
      </c>
      <c r="BQ768" s="5" t="s">
        <v>1955</v>
      </c>
      <c r="BR768" s="5">
        <v>8076</v>
      </c>
    </row>
    <row r="769" s="1" customFormat="1" spans="1:70">
      <c r="A769" s="1">
        <v>3298042</v>
      </c>
      <c r="B769" s="1" t="s">
        <v>1956</v>
      </c>
      <c r="D769" s="4">
        <v>44988</v>
      </c>
      <c r="E769" s="4">
        <v>45005</v>
      </c>
      <c r="F769" s="7">
        <v>19687</v>
      </c>
      <c r="G769" s="1">
        <v>47</v>
      </c>
      <c r="H769" s="1">
        <v>8</v>
      </c>
      <c r="I769" s="1">
        <v>48</v>
      </c>
      <c r="J769" s="1">
        <v>8</v>
      </c>
      <c r="K769" s="1">
        <v>58</v>
      </c>
      <c r="L769" s="1">
        <v>31</v>
      </c>
      <c r="M769" s="1">
        <v>0.47</v>
      </c>
      <c r="O769" s="7">
        <v>19687</v>
      </c>
      <c r="P769" s="4">
        <v>44988</v>
      </c>
      <c r="Q769" s="4">
        <v>45005</v>
      </c>
      <c r="R769" s="1" t="s">
        <v>73</v>
      </c>
      <c r="AO769" s="7">
        <v>19687</v>
      </c>
      <c r="AP769" s="5">
        <v>9.5</v>
      </c>
      <c r="AQ769" s="5">
        <v>119</v>
      </c>
      <c r="AR769" s="5">
        <v>37.1</v>
      </c>
      <c r="AS769" s="5">
        <v>90.5</v>
      </c>
      <c r="AT769" s="5">
        <v>59</v>
      </c>
      <c r="AU769" s="5">
        <v>33</v>
      </c>
      <c r="AV769" s="5">
        <v>33.4</v>
      </c>
      <c r="AW769" s="5">
        <v>8.55</v>
      </c>
      <c r="AX769" s="5">
        <v>53</v>
      </c>
      <c r="AY769" s="5" t="s">
        <v>125</v>
      </c>
      <c r="AZ769" s="5" t="s">
        <v>75</v>
      </c>
      <c r="BA769" s="5">
        <v>4.94</v>
      </c>
      <c r="BB769" s="12" t="s">
        <v>76</v>
      </c>
      <c r="BC769" s="5">
        <v>4.14</v>
      </c>
      <c r="BD769" s="5">
        <v>119</v>
      </c>
      <c r="BE769" s="5" t="s">
        <v>76</v>
      </c>
      <c r="BF769" s="5" t="s">
        <v>76</v>
      </c>
      <c r="BG769" s="15">
        <v>37</v>
      </c>
      <c r="BH769" s="5">
        <v>112</v>
      </c>
      <c r="BI769" s="5">
        <v>120</v>
      </c>
      <c r="BJ769" s="5">
        <v>19</v>
      </c>
      <c r="BK769" s="5">
        <v>140</v>
      </c>
      <c r="BL769" s="5">
        <v>103</v>
      </c>
      <c r="BM769" s="5">
        <v>90</v>
      </c>
      <c r="BN769" s="5">
        <v>165</v>
      </c>
      <c r="BO769" s="5">
        <f t="shared" si="11"/>
        <v>33.0578512396694</v>
      </c>
      <c r="BP769" s="5" t="s">
        <v>164</v>
      </c>
      <c r="BQ769" s="5" t="s">
        <v>76</v>
      </c>
      <c r="BR769" s="5">
        <v>973</v>
      </c>
    </row>
    <row r="770" s="1" customFormat="1" spans="1:70">
      <c r="A770" s="1">
        <v>3292910</v>
      </c>
      <c r="B770" s="1" t="s">
        <v>1957</v>
      </c>
      <c r="D770" s="4">
        <v>44981</v>
      </c>
      <c r="E770" s="4">
        <v>45019</v>
      </c>
      <c r="F770" s="7">
        <v>19693</v>
      </c>
      <c r="G770" s="1">
        <v>43</v>
      </c>
      <c r="H770" s="1">
        <v>10</v>
      </c>
      <c r="I770" s="1">
        <v>50</v>
      </c>
      <c r="J770" s="1">
        <v>10</v>
      </c>
      <c r="K770" s="1">
        <v>58</v>
      </c>
      <c r="L770" s="1">
        <v>31</v>
      </c>
      <c r="O770" s="7">
        <v>19693</v>
      </c>
      <c r="P770" s="4">
        <v>44981</v>
      </c>
      <c r="Q770" s="4">
        <v>45019</v>
      </c>
      <c r="R770" s="1" t="s">
        <v>80</v>
      </c>
      <c r="AO770" s="7">
        <v>19693</v>
      </c>
      <c r="AP770" s="5">
        <v>9.7</v>
      </c>
      <c r="AQ770" s="5">
        <v>98</v>
      </c>
      <c r="AR770" s="5">
        <v>47.6</v>
      </c>
      <c r="AS770" s="5">
        <v>86.4</v>
      </c>
      <c r="AT770" s="5">
        <v>98</v>
      </c>
      <c r="AU770" s="5">
        <v>981</v>
      </c>
      <c r="AV770" s="5">
        <v>49.8</v>
      </c>
      <c r="AW770" s="5">
        <v>9.91</v>
      </c>
      <c r="AX770" s="5">
        <v>93</v>
      </c>
      <c r="AY770" s="5">
        <v>98.22</v>
      </c>
      <c r="AZ770" s="5" t="s">
        <v>75</v>
      </c>
      <c r="BA770" s="5">
        <v>3.32</v>
      </c>
      <c r="BB770" s="12" t="s">
        <v>76</v>
      </c>
      <c r="BC770" s="5">
        <v>5.59</v>
      </c>
      <c r="BD770" s="5">
        <v>98</v>
      </c>
      <c r="BE770" s="5" t="s">
        <v>76</v>
      </c>
      <c r="BF770" s="5" t="s">
        <v>76</v>
      </c>
      <c r="BG770" s="15">
        <v>36.5</v>
      </c>
      <c r="BH770" s="5" t="s">
        <v>76</v>
      </c>
      <c r="BI770" s="5">
        <v>89</v>
      </c>
      <c r="BJ770" s="5">
        <v>20</v>
      </c>
      <c r="BK770" s="5">
        <v>123</v>
      </c>
      <c r="BL770" s="5">
        <v>67</v>
      </c>
      <c r="BM770" s="5">
        <v>55</v>
      </c>
      <c r="BN770" s="5">
        <v>162</v>
      </c>
      <c r="BO770" s="5">
        <f t="shared" si="11"/>
        <v>20.9571711629325</v>
      </c>
      <c r="BP770" s="5" t="s">
        <v>1450</v>
      </c>
      <c r="BQ770" s="5">
        <v>5.1</v>
      </c>
      <c r="BR770" s="5">
        <v>9989</v>
      </c>
    </row>
    <row r="771" s="1" customFormat="1" spans="1:70">
      <c r="A771" s="1">
        <v>3475868</v>
      </c>
      <c r="B771" s="1" t="s">
        <v>1958</v>
      </c>
      <c r="D771" s="4">
        <v>45234</v>
      </c>
      <c r="E771" s="4">
        <v>45286</v>
      </c>
      <c r="F771" s="7">
        <v>19693</v>
      </c>
      <c r="G771" s="1">
        <v>31</v>
      </c>
      <c r="H771" s="1">
        <v>8</v>
      </c>
      <c r="I771" s="1">
        <v>47</v>
      </c>
      <c r="J771" s="1">
        <v>8</v>
      </c>
      <c r="K771" s="1">
        <v>67</v>
      </c>
      <c r="L771" s="1">
        <v>37</v>
      </c>
      <c r="N771" s="1">
        <v>9.4</v>
      </c>
      <c r="O771" s="7">
        <v>19693</v>
      </c>
      <c r="P771" s="4">
        <v>45234</v>
      </c>
      <c r="Q771" s="4">
        <v>45286</v>
      </c>
      <c r="R771" s="1" t="s">
        <v>80</v>
      </c>
      <c r="AO771" s="7">
        <v>19693</v>
      </c>
      <c r="AP771" s="5">
        <v>9.1</v>
      </c>
      <c r="AQ771" s="5">
        <v>151</v>
      </c>
      <c r="AR771" s="5">
        <v>49.41</v>
      </c>
      <c r="AS771" s="5">
        <v>89.3</v>
      </c>
      <c r="AT771" s="5">
        <v>63</v>
      </c>
      <c r="AU771" s="5">
        <v>9</v>
      </c>
      <c r="AV771" s="5">
        <v>43.9</v>
      </c>
      <c r="AW771" s="5">
        <v>8.2</v>
      </c>
      <c r="AX771" s="5">
        <v>59</v>
      </c>
      <c r="AY771" s="5" t="s">
        <v>125</v>
      </c>
      <c r="AZ771" s="5" t="s">
        <v>75</v>
      </c>
      <c r="BA771" s="5">
        <v>5.38</v>
      </c>
      <c r="BB771" s="12" t="s">
        <v>76</v>
      </c>
      <c r="BC771" s="5">
        <v>4.72</v>
      </c>
      <c r="BD771" s="5">
        <v>151</v>
      </c>
      <c r="BE771" s="5">
        <v>1.2</v>
      </c>
      <c r="BF771" s="5">
        <v>3.62</v>
      </c>
      <c r="BG771" s="5" t="s">
        <v>76</v>
      </c>
      <c r="BH771" s="5" t="s">
        <v>76</v>
      </c>
      <c r="BI771" s="5" t="s">
        <v>76</v>
      </c>
      <c r="BJ771" s="5" t="s">
        <v>76</v>
      </c>
      <c r="BK771" s="5" t="s">
        <v>76</v>
      </c>
      <c r="BL771" s="5" t="s">
        <v>76</v>
      </c>
      <c r="BM771" s="5" t="s">
        <v>76</v>
      </c>
      <c r="BN771" s="5" t="s">
        <v>76</v>
      </c>
      <c r="BO771" s="5" t="e">
        <f t="shared" ref="BO771:BO834" si="12">BM771/(BN771/100)^2</f>
        <v>#VALUE!</v>
      </c>
      <c r="BP771" s="5" t="s">
        <v>113</v>
      </c>
      <c r="BQ771" s="5">
        <v>5.7</v>
      </c>
      <c r="BR771" s="5">
        <v>962</v>
      </c>
    </row>
    <row r="772" s="1" customFormat="1" spans="1:70">
      <c r="A772" s="1">
        <v>3495999</v>
      </c>
      <c r="B772" s="1" t="s">
        <v>1959</v>
      </c>
      <c r="D772" s="4">
        <v>45261</v>
      </c>
      <c r="E772" s="4">
        <v>45271</v>
      </c>
      <c r="F772" s="7">
        <v>19701</v>
      </c>
      <c r="G772" s="1">
        <v>48</v>
      </c>
      <c r="H772" s="1">
        <v>10</v>
      </c>
      <c r="I772" s="1">
        <v>54</v>
      </c>
      <c r="J772" s="1">
        <v>10</v>
      </c>
      <c r="K772" s="1">
        <v>52</v>
      </c>
      <c r="L772" s="1">
        <v>27</v>
      </c>
      <c r="N772" s="1">
        <v>9.1</v>
      </c>
      <c r="O772" s="7">
        <v>19701</v>
      </c>
      <c r="P772" s="4">
        <v>45261</v>
      </c>
      <c r="Q772" s="4">
        <v>45271</v>
      </c>
      <c r="R772" s="1" t="s">
        <v>73</v>
      </c>
      <c r="AO772" s="7">
        <v>19701</v>
      </c>
      <c r="AP772" s="5">
        <v>6.2</v>
      </c>
      <c r="AQ772" s="5">
        <v>88</v>
      </c>
      <c r="AR772" s="5">
        <v>31.9</v>
      </c>
      <c r="AS772" s="5">
        <v>50.6</v>
      </c>
      <c r="AT772" s="5">
        <v>19</v>
      </c>
      <c r="AU772" s="5">
        <v>16</v>
      </c>
      <c r="AV772" s="5">
        <v>47</v>
      </c>
      <c r="AW772" s="5">
        <v>6.57</v>
      </c>
      <c r="AX772" s="5">
        <v>70</v>
      </c>
      <c r="AY772" s="5">
        <v>76.5</v>
      </c>
      <c r="AZ772" s="5" t="s">
        <v>75</v>
      </c>
      <c r="BA772" s="5">
        <v>3.24</v>
      </c>
      <c r="BB772" s="12" t="s">
        <v>76</v>
      </c>
      <c r="BC772" s="5">
        <v>3.71</v>
      </c>
      <c r="BD772" s="5">
        <v>88</v>
      </c>
      <c r="BE772" s="5">
        <v>0.8</v>
      </c>
      <c r="BF772" s="5">
        <v>1.74</v>
      </c>
      <c r="BG772" s="15">
        <v>36.3</v>
      </c>
      <c r="BH772" s="5">
        <v>78</v>
      </c>
      <c r="BI772" s="5">
        <v>78</v>
      </c>
      <c r="BJ772" s="5">
        <v>16</v>
      </c>
      <c r="BK772" s="5">
        <v>104</v>
      </c>
      <c r="BL772" s="5">
        <v>55</v>
      </c>
      <c r="BM772" s="5">
        <v>67</v>
      </c>
      <c r="BN772" s="5">
        <v>170</v>
      </c>
      <c r="BO772" s="5">
        <f t="shared" si="12"/>
        <v>23.1833910034602</v>
      </c>
      <c r="BP772" s="5" t="s">
        <v>161</v>
      </c>
      <c r="BQ772" s="5">
        <v>5.7</v>
      </c>
      <c r="BR772" s="5">
        <v>2163</v>
      </c>
    </row>
    <row r="773" s="1" customFormat="1" spans="1:70">
      <c r="A773" s="1">
        <v>3259357</v>
      </c>
      <c r="B773" s="1" t="s">
        <v>1960</v>
      </c>
      <c r="D773" s="4">
        <v>44927</v>
      </c>
      <c r="E773" s="4">
        <v>44942</v>
      </c>
      <c r="F773" s="7">
        <v>19701</v>
      </c>
      <c r="G773" s="1">
        <v>33</v>
      </c>
      <c r="H773" s="1">
        <v>9</v>
      </c>
      <c r="I773" s="1">
        <v>46</v>
      </c>
      <c r="J773" s="1">
        <v>9</v>
      </c>
      <c r="K773" s="1">
        <v>69</v>
      </c>
      <c r="L773" s="1">
        <v>39</v>
      </c>
      <c r="M773" s="1">
        <v>1.53</v>
      </c>
      <c r="N773" s="1">
        <v>10.1</v>
      </c>
      <c r="O773" s="7">
        <v>19701</v>
      </c>
      <c r="P773" s="4">
        <v>44927</v>
      </c>
      <c r="Q773" s="4">
        <v>44942</v>
      </c>
      <c r="R773" s="1" t="s">
        <v>80</v>
      </c>
      <c r="AO773" s="7">
        <v>19701</v>
      </c>
      <c r="AP773" s="5">
        <v>8.5</v>
      </c>
      <c r="AQ773" s="5">
        <v>129</v>
      </c>
      <c r="AR773" s="5">
        <v>37.9</v>
      </c>
      <c r="AS773" s="5">
        <v>32.8</v>
      </c>
      <c r="AT773" s="5">
        <v>34</v>
      </c>
      <c r="AU773" s="5">
        <v>46</v>
      </c>
      <c r="AV773" s="5">
        <v>24.5</v>
      </c>
      <c r="AW773" s="5" t="s">
        <v>76</v>
      </c>
      <c r="AX773" s="5" t="s">
        <v>76</v>
      </c>
      <c r="AY773" s="5" t="s">
        <v>76</v>
      </c>
      <c r="AZ773" s="5" t="s">
        <v>375</v>
      </c>
      <c r="BA773" s="5" t="s">
        <v>76</v>
      </c>
      <c r="BB773" s="12" t="s">
        <v>76</v>
      </c>
      <c r="BC773" s="5">
        <v>4.71</v>
      </c>
      <c r="BD773" s="5">
        <v>129</v>
      </c>
      <c r="BE773" s="5" t="s">
        <v>76</v>
      </c>
      <c r="BF773" s="5" t="s">
        <v>76</v>
      </c>
      <c r="BG773" s="15">
        <v>36</v>
      </c>
      <c r="BH773" s="5">
        <v>87</v>
      </c>
      <c r="BI773" s="5">
        <v>87</v>
      </c>
      <c r="BJ773" s="5">
        <v>16</v>
      </c>
      <c r="BK773" s="5">
        <v>149</v>
      </c>
      <c r="BL773" s="5">
        <v>93</v>
      </c>
      <c r="BM773" s="5">
        <v>0</v>
      </c>
      <c r="BN773" s="5">
        <v>0</v>
      </c>
      <c r="BO773" s="5" t="e">
        <f t="shared" si="12"/>
        <v>#DIV/0!</v>
      </c>
      <c r="BP773" s="5" t="s">
        <v>588</v>
      </c>
      <c r="BQ773" s="5">
        <v>9</v>
      </c>
      <c r="BR773" s="5">
        <v>3109</v>
      </c>
    </row>
    <row r="774" s="1" customFormat="1" spans="1:70">
      <c r="A774" s="1">
        <v>3515586</v>
      </c>
      <c r="B774" s="1" t="s">
        <v>1961</v>
      </c>
      <c r="D774" s="4">
        <v>45288</v>
      </c>
      <c r="E774" s="4">
        <v>45299</v>
      </c>
      <c r="F774" s="7">
        <v>19706</v>
      </c>
      <c r="G774" s="1">
        <v>41</v>
      </c>
      <c r="H774" s="1">
        <v>10</v>
      </c>
      <c r="I774" s="1">
        <v>43</v>
      </c>
      <c r="J774" s="1">
        <v>8</v>
      </c>
      <c r="K774" s="1">
        <v>51</v>
      </c>
      <c r="L774" s="1">
        <v>26</v>
      </c>
      <c r="M774" s="1">
        <v>1.08</v>
      </c>
      <c r="N774" s="1">
        <v>21.8</v>
      </c>
      <c r="O774" s="7">
        <v>19706</v>
      </c>
      <c r="P774" s="4">
        <v>45288</v>
      </c>
      <c r="Q774" s="4">
        <v>45299</v>
      </c>
      <c r="R774" s="1" t="s">
        <v>80</v>
      </c>
      <c r="S774" s="1">
        <v>70</v>
      </c>
      <c r="T774" s="1" t="s">
        <v>1962</v>
      </c>
      <c r="V774" s="1" t="s">
        <v>155</v>
      </c>
      <c r="X774" s="1" t="s">
        <v>155</v>
      </c>
      <c r="AC774" s="1" t="s">
        <v>155</v>
      </c>
      <c r="AG774" s="1">
        <v>1</v>
      </c>
      <c r="AH774" s="1">
        <v>1</v>
      </c>
      <c r="AK774" s="1">
        <v>1</v>
      </c>
      <c r="AL774" s="1">
        <v>1</v>
      </c>
      <c r="AO774" s="7">
        <v>19706</v>
      </c>
      <c r="AP774" s="5">
        <v>9</v>
      </c>
      <c r="AQ774" s="5">
        <v>121</v>
      </c>
      <c r="AR774" s="5">
        <v>36.9</v>
      </c>
      <c r="AS774" s="5">
        <v>7.8</v>
      </c>
      <c r="AT774" s="5">
        <v>13</v>
      </c>
      <c r="AU774" s="5">
        <v>8</v>
      </c>
      <c r="AV774" s="5">
        <v>29.8</v>
      </c>
      <c r="AW774" s="5">
        <v>8.57</v>
      </c>
      <c r="AX774" s="5">
        <v>183</v>
      </c>
      <c r="AY774" s="5">
        <v>42.66</v>
      </c>
      <c r="AZ774" s="5">
        <v>7.39</v>
      </c>
      <c r="BA774" s="5">
        <v>5.06</v>
      </c>
      <c r="BB774" s="12" t="s">
        <v>76</v>
      </c>
      <c r="BC774" s="5">
        <v>4.42</v>
      </c>
      <c r="BD774" s="5">
        <v>121</v>
      </c>
      <c r="BE774" s="5">
        <v>0.88</v>
      </c>
      <c r="BF774" s="5">
        <v>2.69</v>
      </c>
      <c r="BG774" s="15">
        <v>36.3</v>
      </c>
      <c r="BH774" s="5">
        <v>84</v>
      </c>
      <c r="BI774" s="5">
        <v>84</v>
      </c>
      <c r="BJ774" s="5">
        <v>18</v>
      </c>
      <c r="BK774" s="5">
        <v>175</v>
      </c>
      <c r="BL774" s="5">
        <v>77</v>
      </c>
      <c r="BM774" s="5">
        <v>70</v>
      </c>
      <c r="BN774" s="5">
        <v>170</v>
      </c>
      <c r="BO774" s="5">
        <f t="shared" si="12"/>
        <v>24.2214532871972</v>
      </c>
      <c r="BP774" s="5" t="s">
        <v>161</v>
      </c>
      <c r="BQ774" s="5">
        <v>9</v>
      </c>
      <c r="BR774" s="5">
        <v>9544</v>
      </c>
    </row>
    <row r="775" s="1" customFormat="1" spans="1:70">
      <c r="A775" s="1">
        <v>3504406</v>
      </c>
      <c r="B775" s="1" t="s">
        <v>1963</v>
      </c>
      <c r="D775" s="4">
        <v>45272</v>
      </c>
      <c r="E775" s="4">
        <v>45278</v>
      </c>
      <c r="F775" s="7">
        <v>19717</v>
      </c>
      <c r="G775" s="1">
        <v>44</v>
      </c>
      <c r="H775" s="1">
        <v>9</v>
      </c>
      <c r="I775" s="1">
        <v>45</v>
      </c>
      <c r="J775" s="1">
        <v>9</v>
      </c>
      <c r="K775" s="1">
        <v>56</v>
      </c>
      <c r="L775" s="1">
        <v>29</v>
      </c>
      <c r="N775" s="1">
        <v>15.3</v>
      </c>
      <c r="O775" s="7">
        <v>19717</v>
      </c>
      <c r="P775" s="4">
        <v>45272</v>
      </c>
      <c r="Q775" s="4">
        <v>45278</v>
      </c>
      <c r="R775" s="1" t="s">
        <v>73</v>
      </c>
      <c r="AO775" s="7">
        <v>19717</v>
      </c>
      <c r="AP775" s="5">
        <v>15.6</v>
      </c>
      <c r="AQ775" s="5">
        <v>155</v>
      </c>
      <c r="AR775" s="5">
        <v>47</v>
      </c>
      <c r="AS775" s="5">
        <v>85.5</v>
      </c>
      <c r="AT775" s="5">
        <v>34</v>
      </c>
      <c r="AU775" s="5">
        <v>9</v>
      </c>
      <c r="AV775" s="5">
        <v>39.6</v>
      </c>
      <c r="AW775" s="5">
        <v>9.2</v>
      </c>
      <c r="AX775" s="5">
        <v>73</v>
      </c>
      <c r="AY775" s="5" t="s">
        <v>76</v>
      </c>
      <c r="AZ775" s="5">
        <v>6.8</v>
      </c>
      <c r="BA775" s="5">
        <v>7.02</v>
      </c>
      <c r="BB775" s="12" t="s">
        <v>76</v>
      </c>
      <c r="BC775" s="5">
        <v>5.3</v>
      </c>
      <c r="BD775" s="5">
        <v>155</v>
      </c>
      <c r="BE775" s="5" t="s">
        <v>76</v>
      </c>
      <c r="BF775" s="5" t="s">
        <v>76</v>
      </c>
      <c r="BG775" s="15">
        <v>36.5</v>
      </c>
      <c r="BH775" s="5">
        <v>105</v>
      </c>
      <c r="BI775" s="5">
        <v>105</v>
      </c>
      <c r="BJ775" s="5">
        <v>28</v>
      </c>
      <c r="BK775" s="5">
        <v>103</v>
      </c>
      <c r="BL775" s="5">
        <v>63</v>
      </c>
      <c r="BM775" s="5">
        <v>60</v>
      </c>
      <c r="BN775" s="5">
        <v>163</v>
      </c>
      <c r="BO775" s="5">
        <f t="shared" si="12"/>
        <v>22.5827091723437</v>
      </c>
      <c r="BP775" s="5" t="s">
        <v>622</v>
      </c>
      <c r="BQ775" s="5" t="s">
        <v>76</v>
      </c>
      <c r="BR775" s="5">
        <v>4740</v>
      </c>
    </row>
    <row r="776" s="1" customFormat="1" spans="1:70">
      <c r="A776" s="1" t="s">
        <v>1964</v>
      </c>
      <c r="B776" s="1" t="s">
        <v>1965</v>
      </c>
      <c r="D776" s="4">
        <v>45267</v>
      </c>
      <c r="E776" s="4">
        <v>45272</v>
      </c>
      <c r="F776" s="7">
        <v>19736</v>
      </c>
      <c r="G776" s="1">
        <v>42</v>
      </c>
      <c r="H776" s="1">
        <v>10</v>
      </c>
      <c r="I776" s="1">
        <v>32</v>
      </c>
      <c r="J776" s="1">
        <v>10</v>
      </c>
      <c r="K776" s="1">
        <v>57</v>
      </c>
      <c r="L776" s="1">
        <v>29</v>
      </c>
      <c r="M776" s="1">
        <v>0.68</v>
      </c>
      <c r="N776" s="1">
        <v>14.3</v>
      </c>
      <c r="O776" s="7">
        <v>19736</v>
      </c>
      <c r="P776" s="4">
        <v>45267</v>
      </c>
      <c r="Q776" s="4">
        <v>45272</v>
      </c>
      <c r="R776" s="1" t="s">
        <v>73</v>
      </c>
      <c r="AO776" s="7">
        <v>19736</v>
      </c>
      <c r="AP776" s="5" t="s">
        <v>522</v>
      </c>
      <c r="AQ776" s="5" t="s">
        <v>327</v>
      </c>
      <c r="AR776" s="5" t="s">
        <v>743</v>
      </c>
      <c r="AS776" s="5" t="s">
        <v>1966</v>
      </c>
      <c r="AT776" s="5" t="s">
        <v>225</v>
      </c>
      <c r="AU776" s="5" t="s">
        <v>1257</v>
      </c>
      <c r="AV776" s="5" t="s">
        <v>1967</v>
      </c>
      <c r="AW776" s="5" t="s">
        <v>1968</v>
      </c>
      <c r="AX776" s="5" t="s">
        <v>129</v>
      </c>
      <c r="AY776" s="5" t="s">
        <v>1969</v>
      </c>
      <c r="AZ776" s="5" t="s">
        <v>76</v>
      </c>
      <c r="BA776" s="5" t="s">
        <v>1970</v>
      </c>
      <c r="BB776" s="12" t="s">
        <v>76</v>
      </c>
      <c r="BC776" s="5" t="s">
        <v>1971</v>
      </c>
      <c r="BD776" s="5" t="s">
        <v>327</v>
      </c>
      <c r="BE776" s="5" t="s">
        <v>1972</v>
      </c>
      <c r="BF776" s="5" t="s">
        <v>1973</v>
      </c>
      <c r="BG776" s="15">
        <v>36.5</v>
      </c>
      <c r="BH776" s="5" t="s">
        <v>613</v>
      </c>
      <c r="BI776" s="5" t="s">
        <v>613</v>
      </c>
      <c r="BJ776" s="5" t="s">
        <v>293</v>
      </c>
      <c r="BK776" s="5" t="s">
        <v>1880</v>
      </c>
      <c r="BL776" s="5" t="s">
        <v>419</v>
      </c>
      <c r="BM776" s="5" t="s">
        <v>331</v>
      </c>
      <c r="BN776" s="5">
        <v>150</v>
      </c>
      <c r="BO776" s="5">
        <f t="shared" si="12"/>
        <v>20.8888888888889</v>
      </c>
      <c r="BP776" s="5" t="s">
        <v>196</v>
      </c>
      <c r="BQ776" s="5" t="s">
        <v>470</v>
      </c>
      <c r="BR776" s="5">
        <v>8933</v>
      </c>
    </row>
    <row r="777" s="1" customFormat="1" spans="1:70">
      <c r="A777" s="1" t="s">
        <v>1974</v>
      </c>
      <c r="B777" s="1" t="s">
        <v>1975</v>
      </c>
      <c r="D777" s="4">
        <v>44994</v>
      </c>
      <c r="E777" s="4">
        <v>45022</v>
      </c>
      <c r="F777" s="7">
        <v>19740</v>
      </c>
      <c r="G777" s="1">
        <v>39</v>
      </c>
      <c r="H777" s="1">
        <v>9</v>
      </c>
      <c r="I777" s="1">
        <v>49</v>
      </c>
      <c r="J777" s="1">
        <v>9</v>
      </c>
      <c r="K777" s="1">
        <v>64</v>
      </c>
      <c r="L777" s="1">
        <v>35</v>
      </c>
      <c r="M777" s="1">
        <v>0.67</v>
      </c>
      <c r="N777" s="1">
        <v>8.2</v>
      </c>
      <c r="O777" s="7">
        <v>19740</v>
      </c>
      <c r="P777" s="4">
        <v>44994</v>
      </c>
      <c r="Q777" s="4">
        <v>45022</v>
      </c>
      <c r="R777" s="1" t="s">
        <v>73</v>
      </c>
      <c r="AO777" s="7">
        <v>19740</v>
      </c>
      <c r="AP777" s="5" t="s">
        <v>1976</v>
      </c>
      <c r="AQ777" s="5" t="s">
        <v>598</v>
      </c>
      <c r="AR777" s="5" t="s">
        <v>678</v>
      </c>
      <c r="AS777" s="5" t="s">
        <v>1977</v>
      </c>
      <c r="AT777" s="5" t="s">
        <v>93</v>
      </c>
      <c r="AU777" s="5" t="s">
        <v>171</v>
      </c>
      <c r="AV777" s="5" t="s">
        <v>1204</v>
      </c>
      <c r="AW777" s="5" t="s">
        <v>1978</v>
      </c>
      <c r="AX777" s="5" t="s">
        <v>232</v>
      </c>
      <c r="AY777" s="5" t="s">
        <v>125</v>
      </c>
      <c r="AZ777" s="5" t="s">
        <v>75</v>
      </c>
      <c r="BA777" s="5" t="s">
        <v>76</v>
      </c>
      <c r="BB777" s="12" t="s">
        <v>76</v>
      </c>
      <c r="BC777" s="5" t="s">
        <v>1844</v>
      </c>
      <c r="BD777" s="5" t="s">
        <v>598</v>
      </c>
      <c r="BE777" s="5" t="s">
        <v>76</v>
      </c>
      <c r="BF777" s="5" t="s">
        <v>76</v>
      </c>
      <c r="BG777" s="15">
        <v>36.5</v>
      </c>
      <c r="BH777" s="5" t="s">
        <v>350</v>
      </c>
      <c r="BI777" s="5" t="s">
        <v>350</v>
      </c>
      <c r="BJ777" s="5" t="s">
        <v>293</v>
      </c>
      <c r="BK777" s="5" t="s">
        <v>1474</v>
      </c>
      <c r="BL777" s="5" t="s">
        <v>192</v>
      </c>
      <c r="BM777" s="5" t="s">
        <v>248</v>
      </c>
      <c r="BN777" s="5">
        <v>160</v>
      </c>
      <c r="BO777" s="5">
        <f t="shared" si="12"/>
        <v>20.703125</v>
      </c>
      <c r="BP777" s="5" t="s">
        <v>412</v>
      </c>
      <c r="BQ777" s="5" t="s">
        <v>76</v>
      </c>
      <c r="BR777" s="5">
        <v>9883</v>
      </c>
    </row>
    <row r="778" s="1" customFormat="1" spans="1:70">
      <c r="A778" s="1">
        <v>3244899</v>
      </c>
      <c r="B778" s="1" t="s">
        <v>1979</v>
      </c>
      <c r="D778" s="4">
        <v>44890</v>
      </c>
      <c r="E778" s="4">
        <v>44896</v>
      </c>
      <c r="F778" s="7">
        <v>19742</v>
      </c>
      <c r="G778" s="1">
        <v>43</v>
      </c>
      <c r="H778" s="1">
        <v>10</v>
      </c>
      <c r="I778" s="1">
        <v>48</v>
      </c>
      <c r="J778" s="1">
        <v>10</v>
      </c>
      <c r="K778" s="1">
        <v>68</v>
      </c>
      <c r="L778" s="1">
        <v>38</v>
      </c>
      <c r="M778" s="1">
        <v>0.87</v>
      </c>
      <c r="N778" s="1">
        <v>12.6</v>
      </c>
      <c r="O778" s="7">
        <v>19742</v>
      </c>
      <c r="P778" s="4">
        <v>44890</v>
      </c>
      <c r="Q778" s="4">
        <v>44896</v>
      </c>
      <c r="R778" s="1" t="s">
        <v>80</v>
      </c>
      <c r="AO778" s="7">
        <v>19742</v>
      </c>
      <c r="AP778" s="5">
        <v>6.5</v>
      </c>
      <c r="AQ778" s="5">
        <v>121</v>
      </c>
      <c r="AR778" s="5">
        <v>38.4</v>
      </c>
      <c r="AS778" s="5" t="s">
        <v>81</v>
      </c>
      <c r="AT778" s="5">
        <v>84</v>
      </c>
      <c r="AU778" s="5">
        <v>24</v>
      </c>
      <c r="AV778" s="5">
        <v>38</v>
      </c>
      <c r="AW778" s="5">
        <v>4.49</v>
      </c>
      <c r="AX778" s="5">
        <v>62</v>
      </c>
      <c r="AY778" s="5" t="s">
        <v>125</v>
      </c>
      <c r="AZ778" s="5">
        <v>5.29</v>
      </c>
      <c r="BA778" s="5">
        <v>3.39</v>
      </c>
      <c r="BB778" s="12" t="s">
        <v>76</v>
      </c>
      <c r="BC778" s="5">
        <v>4.03</v>
      </c>
      <c r="BD778" s="5">
        <v>121</v>
      </c>
      <c r="BE778" s="5">
        <v>1.03</v>
      </c>
      <c r="BF778" s="5">
        <v>1.36</v>
      </c>
      <c r="BG778" s="15">
        <v>36.5</v>
      </c>
      <c r="BH778" s="5">
        <v>57</v>
      </c>
      <c r="BI778" s="5">
        <v>57</v>
      </c>
      <c r="BJ778" s="5">
        <v>18</v>
      </c>
      <c r="BK778" s="5">
        <v>138</v>
      </c>
      <c r="BL778" s="5">
        <v>87</v>
      </c>
      <c r="BM778" s="5">
        <v>87</v>
      </c>
      <c r="BN778" s="5">
        <v>174</v>
      </c>
      <c r="BO778" s="5">
        <f t="shared" si="12"/>
        <v>28.735632183908</v>
      </c>
      <c r="BP778" s="5" t="s">
        <v>323</v>
      </c>
      <c r="BQ778" s="5">
        <v>5</v>
      </c>
      <c r="BR778" s="5">
        <v>904</v>
      </c>
    </row>
    <row r="779" s="1" customFormat="1" spans="1:70">
      <c r="A779" s="1">
        <v>3258701</v>
      </c>
      <c r="B779" s="1" t="s">
        <v>1980</v>
      </c>
      <c r="D779" s="4">
        <v>44926</v>
      </c>
      <c r="E779" s="4">
        <v>44935</v>
      </c>
      <c r="F779" s="7">
        <v>19745</v>
      </c>
      <c r="G779" s="1">
        <v>41</v>
      </c>
      <c r="H779" s="1">
        <v>8</v>
      </c>
      <c r="I779" s="1">
        <v>40</v>
      </c>
      <c r="J779" s="1">
        <v>8</v>
      </c>
      <c r="K779" s="1">
        <v>63</v>
      </c>
      <c r="L779" s="1">
        <v>34</v>
      </c>
      <c r="O779" s="7">
        <v>19745</v>
      </c>
      <c r="P779" s="4">
        <v>44926</v>
      </c>
      <c r="Q779" s="4">
        <v>44935</v>
      </c>
      <c r="R779" s="1" t="s">
        <v>73</v>
      </c>
      <c r="AO779" s="7">
        <v>19745</v>
      </c>
      <c r="AP779" s="5">
        <v>6.1</v>
      </c>
      <c r="AQ779" s="5">
        <v>157</v>
      </c>
      <c r="AR779" s="5">
        <v>49.9</v>
      </c>
      <c r="AS779" s="5">
        <v>1.4</v>
      </c>
      <c r="AT779" s="5">
        <v>39</v>
      </c>
      <c r="AU779" s="5">
        <v>27</v>
      </c>
      <c r="AV779" s="5">
        <v>43</v>
      </c>
      <c r="AW779" s="5">
        <v>4.83</v>
      </c>
      <c r="AX779" s="5">
        <v>74</v>
      </c>
      <c r="AY779" s="5">
        <v>71.96</v>
      </c>
      <c r="AZ779" s="5" t="s">
        <v>75</v>
      </c>
      <c r="BA779" s="5">
        <v>4.42</v>
      </c>
      <c r="BB779" s="12" t="s">
        <v>76</v>
      </c>
      <c r="BC779" s="5">
        <v>3.26</v>
      </c>
      <c r="BD779" s="5">
        <v>157</v>
      </c>
      <c r="BE779" s="5">
        <v>0.87</v>
      </c>
      <c r="BF779" s="5">
        <v>3.01</v>
      </c>
      <c r="BG779" s="15">
        <v>36.7</v>
      </c>
      <c r="BH779" s="5">
        <v>96</v>
      </c>
      <c r="BI779" s="5" t="s">
        <v>76</v>
      </c>
      <c r="BJ779" s="5">
        <v>20</v>
      </c>
      <c r="BK779" s="5">
        <v>103</v>
      </c>
      <c r="BL779" s="5">
        <v>76</v>
      </c>
      <c r="BM779" s="5">
        <v>50</v>
      </c>
      <c r="BN779" s="5">
        <v>155</v>
      </c>
      <c r="BO779" s="5">
        <f t="shared" si="12"/>
        <v>20.8116545265349</v>
      </c>
      <c r="BP779" s="5" t="s">
        <v>457</v>
      </c>
      <c r="BQ779" s="5" t="s">
        <v>76</v>
      </c>
      <c r="BR779" s="5">
        <v>1345</v>
      </c>
    </row>
    <row r="780" s="1" customFormat="1" spans="1:70">
      <c r="A780" s="1" t="s">
        <v>1981</v>
      </c>
      <c r="B780" s="1" t="s">
        <v>1982</v>
      </c>
      <c r="D780" s="4">
        <v>45002</v>
      </c>
      <c r="E780" s="4">
        <v>45030</v>
      </c>
      <c r="F780" s="7">
        <v>19780</v>
      </c>
      <c r="G780" s="1">
        <v>25</v>
      </c>
      <c r="H780" s="1">
        <v>8</v>
      </c>
      <c r="I780" s="1">
        <v>42</v>
      </c>
      <c r="J780" s="1">
        <v>8</v>
      </c>
      <c r="K780" s="1">
        <v>66</v>
      </c>
      <c r="L780" s="1">
        <v>36</v>
      </c>
      <c r="M780" s="1">
        <v>0.66</v>
      </c>
      <c r="N780" s="10">
        <v>5</v>
      </c>
      <c r="O780" s="7">
        <v>19780</v>
      </c>
      <c r="P780" s="4">
        <v>45002</v>
      </c>
      <c r="Q780" s="4">
        <v>45030</v>
      </c>
      <c r="R780" s="1" t="s">
        <v>73</v>
      </c>
      <c r="AO780" s="7">
        <v>19780</v>
      </c>
      <c r="AP780" s="5" t="s">
        <v>179</v>
      </c>
      <c r="AQ780" s="5" t="s">
        <v>103</v>
      </c>
      <c r="AR780" s="5" t="s">
        <v>224</v>
      </c>
      <c r="AS780" s="5" t="s">
        <v>1983</v>
      </c>
      <c r="AT780" s="5" t="s">
        <v>613</v>
      </c>
      <c r="AU780" s="5" t="s">
        <v>225</v>
      </c>
      <c r="AV780" s="5" t="s">
        <v>1534</v>
      </c>
      <c r="AW780" s="5" t="s">
        <v>1984</v>
      </c>
      <c r="AX780" s="5" t="s">
        <v>248</v>
      </c>
      <c r="AY780" s="5" t="s">
        <v>125</v>
      </c>
      <c r="AZ780" s="5" t="s">
        <v>807</v>
      </c>
      <c r="BA780" s="5" t="s">
        <v>449</v>
      </c>
      <c r="BB780" s="12" t="s">
        <v>76</v>
      </c>
      <c r="BC780" s="5" t="s">
        <v>1985</v>
      </c>
      <c r="BD780" s="5" t="s">
        <v>103</v>
      </c>
      <c r="BE780" s="5" t="s">
        <v>210</v>
      </c>
      <c r="BF780" s="5" t="s">
        <v>1986</v>
      </c>
      <c r="BG780" s="15">
        <v>38.2</v>
      </c>
      <c r="BH780" s="5" t="s">
        <v>499</v>
      </c>
      <c r="BI780" s="5" t="s">
        <v>499</v>
      </c>
      <c r="BJ780" s="5" t="s">
        <v>499</v>
      </c>
      <c r="BK780" s="5" t="s">
        <v>222</v>
      </c>
      <c r="BL780" s="5" t="s">
        <v>215</v>
      </c>
      <c r="BM780" s="5" t="s">
        <v>894</v>
      </c>
      <c r="BN780" s="5">
        <v>160</v>
      </c>
      <c r="BO780" s="5">
        <f t="shared" si="12"/>
        <v>15.625</v>
      </c>
      <c r="BP780" s="5" t="s">
        <v>321</v>
      </c>
      <c r="BQ780" s="5" t="s">
        <v>1987</v>
      </c>
      <c r="BR780" s="5">
        <v>5825</v>
      </c>
    </row>
    <row r="781" s="1" customFormat="1" spans="1:70">
      <c r="A781" s="1">
        <v>3295303</v>
      </c>
      <c r="B781" s="1" t="s">
        <v>1988</v>
      </c>
      <c r="D781" s="4">
        <v>44984</v>
      </c>
      <c r="E781" s="4">
        <v>44992</v>
      </c>
      <c r="F781" s="7">
        <v>19784</v>
      </c>
      <c r="G781" s="1">
        <v>31</v>
      </c>
      <c r="H781" s="1">
        <v>9</v>
      </c>
      <c r="I781" s="1">
        <v>50</v>
      </c>
      <c r="J781" s="1">
        <v>9</v>
      </c>
      <c r="K781" s="1">
        <v>40</v>
      </c>
      <c r="M781" s="1">
        <v>0.42</v>
      </c>
      <c r="N781" s="1">
        <v>6.6</v>
      </c>
      <c r="O781" s="7">
        <v>19784</v>
      </c>
      <c r="P781" s="4">
        <v>44984</v>
      </c>
      <c r="Q781" s="4">
        <v>44992</v>
      </c>
      <c r="R781" s="1" t="s">
        <v>73</v>
      </c>
      <c r="AO781" s="7">
        <v>19784</v>
      </c>
      <c r="AP781" s="5">
        <v>8.8</v>
      </c>
      <c r="AQ781" s="5">
        <v>166</v>
      </c>
      <c r="AR781" s="5">
        <v>52.9</v>
      </c>
      <c r="AS781" s="5" t="s">
        <v>81</v>
      </c>
      <c r="AT781" s="5">
        <v>32</v>
      </c>
      <c r="AU781" s="5">
        <v>58</v>
      </c>
      <c r="AV781" s="5">
        <v>40.6</v>
      </c>
      <c r="AW781" s="5">
        <v>9.03</v>
      </c>
      <c r="AX781" s="5">
        <v>81</v>
      </c>
      <c r="AY781" s="5">
        <v>89.93</v>
      </c>
      <c r="AZ781" s="5" t="s">
        <v>75</v>
      </c>
      <c r="BA781" s="5">
        <v>4.5</v>
      </c>
      <c r="BB781" s="12" t="s">
        <v>76</v>
      </c>
      <c r="BC781" s="5">
        <v>4.22</v>
      </c>
      <c r="BD781" s="5">
        <v>166</v>
      </c>
      <c r="BE781" s="5">
        <v>0.66</v>
      </c>
      <c r="BF781" s="5">
        <v>3.14</v>
      </c>
      <c r="BG781" s="15">
        <v>36.6</v>
      </c>
      <c r="BH781" s="5" t="s">
        <v>76</v>
      </c>
      <c r="BI781" s="5">
        <v>96</v>
      </c>
      <c r="BJ781" s="5">
        <v>19</v>
      </c>
      <c r="BK781" s="5">
        <v>151</v>
      </c>
      <c r="BL781" s="5">
        <v>93</v>
      </c>
      <c r="BM781" s="5">
        <v>0</v>
      </c>
      <c r="BN781" s="5">
        <v>0</v>
      </c>
      <c r="BO781" s="5" t="e">
        <f t="shared" si="12"/>
        <v>#DIV/0!</v>
      </c>
      <c r="BP781" s="5" t="s">
        <v>323</v>
      </c>
      <c r="BQ781" s="5">
        <v>5.8</v>
      </c>
      <c r="BR781" s="5">
        <v>9660</v>
      </c>
    </row>
    <row r="782" s="1" customFormat="1" spans="1:70">
      <c r="A782" s="1">
        <v>3246235</v>
      </c>
      <c r="B782" s="1" t="s">
        <v>1989</v>
      </c>
      <c r="D782" s="4">
        <v>44893</v>
      </c>
      <c r="E782" s="4">
        <v>44900</v>
      </c>
      <c r="F782" s="7">
        <v>19784</v>
      </c>
      <c r="G782" s="1">
        <v>30</v>
      </c>
      <c r="H782" s="1">
        <v>9</v>
      </c>
      <c r="I782" s="1">
        <v>44</v>
      </c>
      <c r="J782" s="1">
        <v>9</v>
      </c>
      <c r="K782" s="1">
        <v>62</v>
      </c>
      <c r="L782" s="1">
        <v>33</v>
      </c>
      <c r="M782" s="1">
        <v>1.25</v>
      </c>
      <c r="N782" s="1">
        <v>11.8</v>
      </c>
      <c r="O782" s="7">
        <v>19784</v>
      </c>
      <c r="P782" s="4">
        <v>44893</v>
      </c>
      <c r="Q782" s="4">
        <v>44900</v>
      </c>
      <c r="R782" s="1" t="s">
        <v>73</v>
      </c>
      <c r="S782" s="1">
        <v>68</v>
      </c>
      <c r="T782" s="1" t="s">
        <v>1990</v>
      </c>
      <c r="AO782" s="7">
        <v>19784</v>
      </c>
      <c r="AP782" s="5">
        <v>9.7</v>
      </c>
      <c r="AQ782" s="5">
        <v>95</v>
      </c>
      <c r="AR782" s="5">
        <v>32.7</v>
      </c>
      <c r="AS782" s="5" t="s">
        <v>76</v>
      </c>
      <c r="AT782" s="5">
        <v>844</v>
      </c>
      <c r="AU782" s="5">
        <v>740</v>
      </c>
      <c r="AV782" s="5">
        <v>35.3</v>
      </c>
      <c r="AW782" s="5">
        <v>8.72</v>
      </c>
      <c r="AX782" s="5">
        <v>94</v>
      </c>
      <c r="AY782" s="5">
        <v>63.03</v>
      </c>
      <c r="AZ782" s="5" t="s">
        <v>75</v>
      </c>
      <c r="BA782" s="5">
        <v>3.83</v>
      </c>
      <c r="BB782" s="12" t="s">
        <v>76</v>
      </c>
      <c r="BC782" s="5">
        <v>4.05</v>
      </c>
      <c r="BD782" s="5">
        <v>95</v>
      </c>
      <c r="BE782" s="5">
        <v>0.29</v>
      </c>
      <c r="BF782" s="5">
        <v>0.64</v>
      </c>
      <c r="BG782" s="15">
        <v>38.2</v>
      </c>
      <c r="BH782" s="5" t="s">
        <v>76</v>
      </c>
      <c r="BI782" s="5">
        <v>93</v>
      </c>
      <c r="BJ782" s="5">
        <v>25</v>
      </c>
      <c r="BK782" s="5">
        <v>141</v>
      </c>
      <c r="BL782" s="5">
        <v>79</v>
      </c>
      <c r="BM782" s="5">
        <v>50</v>
      </c>
      <c r="BN782" s="5">
        <v>157</v>
      </c>
      <c r="BO782" s="5">
        <f t="shared" si="12"/>
        <v>20.2847985719502</v>
      </c>
      <c r="BP782" s="5" t="s">
        <v>85</v>
      </c>
      <c r="BQ782" s="5">
        <v>5</v>
      </c>
      <c r="BR782" s="5">
        <v>7870</v>
      </c>
    </row>
    <row r="783" s="1" customFormat="1" spans="1:70">
      <c r="A783" s="1" t="s">
        <v>1991</v>
      </c>
      <c r="B783" s="1" t="s">
        <v>1992</v>
      </c>
      <c r="D783" s="4">
        <v>44977</v>
      </c>
      <c r="E783" s="4">
        <v>44999</v>
      </c>
      <c r="F783" s="7">
        <v>19803</v>
      </c>
      <c r="G783" s="1">
        <v>38</v>
      </c>
      <c r="H783" s="1">
        <v>9</v>
      </c>
      <c r="I783" s="1">
        <v>44</v>
      </c>
      <c r="J783" s="1">
        <v>9</v>
      </c>
      <c r="K783" s="1">
        <v>58</v>
      </c>
      <c r="L783" s="1">
        <v>31</v>
      </c>
      <c r="M783" s="1">
        <v>0.68</v>
      </c>
      <c r="N783" s="1">
        <v>10.1</v>
      </c>
      <c r="O783" s="7">
        <v>19803</v>
      </c>
      <c r="P783" s="4">
        <v>44977</v>
      </c>
      <c r="Q783" s="4">
        <v>44999</v>
      </c>
      <c r="R783" s="1" t="s">
        <v>73</v>
      </c>
      <c r="AO783" s="7">
        <v>19803</v>
      </c>
      <c r="AP783" s="5" t="s">
        <v>442</v>
      </c>
      <c r="AQ783" s="5" t="s">
        <v>89</v>
      </c>
      <c r="AR783" s="5" t="s">
        <v>1993</v>
      </c>
      <c r="AS783" s="5" t="s">
        <v>1994</v>
      </c>
      <c r="AT783" s="5" t="s">
        <v>331</v>
      </c>
      <c r="AU783" s="5" t="s">
        <v>579</v>
      </c>
      <c r="AV783" s="5" t="s">
        <v>1019</v>
      </c>
      <c r="AW783" s="5" t="s">
        <v>1995</v>
      </c>
      <c r="AX783" s="5" t="s">
        <v>295</v>
      </c>
      <c r="AY783" s="5" t="s">
        <v>125</v>
      </c>
      <c r="AZ783" s="5" t="s">
        <v>75</v>
      </c>
      <c r="BA783" s="5" t="s">
        <v>1294</v>
      </c>
      <c r="BB783" s="12" t="s">
        <v>76</v>
      </c>
      <c r="BC783" s="5" t="s">
        <v>292</v>
      </c>
      <c r="BD783" s="5" t="s">
        <v>89</v>
      </c>
      <c r="BE783" s="5" t="s">
        <v>1996</v>
      </c>
      <c r="BF783" s="5" t="s">
        <v>1997</v>
      </c>
      <c r="BG783" s="15">
        <v>38.3</v>
      </c>
      <c r="BH783" s="5" t="s">
        <v>139</v>
      </c>
      <c r="BI783" s="5" t="s">
        <v>139</v>
      </c>
      <c r="BJ783" s="5" t="s">
        <v>293</v>
      </c>
      <c r="BK783" s="5" t="s">
        <v>548</v>
      </c>
      <c r="BL783" s="5" t="s">
        <v>207</v>
      </c>
      <c r="BM783" s="5" t="s">
        <v>215</v>
      </c>
      <c r="BN783" s="5">
        <v>160</v>
      </c>
      <c r="BO783" s="5">
        <f t="shared" si="12"/>
        <v>23.4375</v>
      </c>
      <c r="BP783" s="5" t="s">
        <v>953</v>
      </c>
      <c r="BQ783" s="5" t="s">
        <v>771</v>
      </c>
      <c r="BR783" s="5">
        <v>1876</v>
      </c>
    </row>
    <row r="784" s="1" customFormat="1" spans="1:70">
      <c r="A784" s="1">
        <v>3271152</v>
      </c>
      <c r="B784" s="1" t="s">
        <v>1998</v>
      </c>
      <c r="C784" s="1" t="s">
        <v>273</v>
      </c>
      <c r="D784" s="4">
        <v>44952</v>
      </c>
      <c r="E784" s="4">
        <v>44959</v>
      </c>
      <c r="F784" s="7">
        <v>19823</v>
      </c>
      <c r="G784" s="1">
        <v>54</v>
      </c>
      <c r="H784" s="1">
        <v>11</v>
      </c>
      <c r="I784" s="1">
        <v>54</v>
      </c>
      <c r="J784" s="1">
        <v>11</v>
      </c>
      <c r="K784" s="1">
        <v>60</v>
      </c>
      <c r="L784" s="1">
        <v>32</v>
      </c>
      <c r="M784" s="1">
        <v>0.5</v>
      </c>
      <c r="N784" s="1">
        <v>33</v>
      </c>
      <c r="O784" s="7">
        <v>19823</v>
      </c>
      <c r="P784" s="4">
        <v>44952</v>
      </c>
      <c r="Q784" s="4">
        <v>44959</v>
      </c>
      <c r="R784" s="1" t="s">
        <v>80</v>
      </c>
      <c r="S784" s="1">
        <v>68</v>
      </c>
      <c r="T784" s="1" t="s">
        <v>1999</v>
      </c>
      <c r="V784" s="1">
        <v>1</v>
      </c>
      <c r="AC784" s="1">
        <v>1</v>
      </c>
      <c r="AG784" s="1">
        <v>1</v>
      </c>
      <c r="AH784" s="1">
        <v>1</v>
      </c>
      <c r="AO784" s="7">
        <v>19823</v>
      </c>
      <c r="AP784" s="5">
        <v>8.3</v>
      </c>
      <c r="AQ784" s="5">
        <v>132</v>
      </c>
      <c r="AR784" s="5">
        <v>42.7</v>
      </c>
      <c r="AS784" s="5">
        <v>32.2</v>
      </c>
      <c r="AT784" s="5">
        <v>21</v>
      </c>
      <c r="AU784" s="5">
        <v>8</v>
      </c>
      <c r="AV784" s="5">
        <v>42.3</v>
      </c>
      <c r="AW784" s="5">
        <v>6.16</v>
      </c>
      <c r="AX784" s="5">
        <v>76</v>
      </c>
      <c r="AY784" s="5">
        <v>94.04</v>
      </c>
      <c r="AZ784" s="5">
        <v>5.01</v>
      </c>
      <c r="BA784" s="5">
        <v>4.72</v>
      </c>
      <c r="BB784" s="12" t="s">
        <v>76</v>
      </c>
      <c r="BC784" s="5">
        <v>4.5</v>
      </c>
      <c r="BD784" s="5">
        <v>132</v>
      </c>
      <c r="BE784" s="5">
        <v>1.17</v>
      </c>
      <c r="BF784" s="5">
        <v>3.04</v>
      </c>
      <c r="BG784" s="15">
        <v>36.4</v>
      </c>
      <c r="BH784" s="5" t="s">
        <v>76</v>
      </c>
      <c r="BI784" s="5">
        <v>84</v>
      </c>
      <c r="BJ784" s="5">
        <v>18</v>
      </c>
      <c r="BK784" s="5">
        <v>195</v>
      </c>
      <c r="BL784" s="5">
        <v>92</v>
      </c>
      <c r="BM784" s="5">
        <v>68</v>
      </c>
      <c r="BN784" s="5">
        <v>160</v>
      </c>
      <c r="BO784" s="5">
        <f t="shared" si="12"/>
        <v>26.5625</v>
      </c>
      <c r="BP784" s="5" t="s">
        <v>152</v>
      </c>
      <c r="BQ784" s="5">
        <v>5.5</v>
      </c>
      <c r="BR784" s="5">
        <v>2760</v>
      </c>
    </row>
    <row r="785" s="1" customFormat="1" spans="1:70">
      <c r="A785" s="1">
        <v>3267657</v>
      </c>
      <c r="B785" s="1" t="s">
        <v>2000</v>
      </c>
      <c r="D785" s="4">
        <v>44942</v>
      </c>
      <c r="E785" s="4">
        <v>44948</v>
      </c>
      <c r="F785" s="7">
        <v>19828</v>
      </c>
      <c r="G785" s="1">
        <v>39</v>
      </c>
      <c r="H785" s="1">
        <v>10</v>
      </c>
      <c r="I785" s="1">
        <v>47</v>
      </c>
      <c r="J785" s="1">
        <v>10</v>
      </c>
      <c r="K785" s="1">
        <v>46</v>
      </c>
      <c r="M785" s="1">
        <v>3.5</v>
      </c>
      <c r="N785" s="1">
        <v>22.3</v>
      </c>
      <c r="O785" s="7">
        <v>19828</v>
      </c>
      <c r="P785" s="4">
        <v>44942</v>
      </c>
      <c r="Q785" s="4">
        <v>44948</v>
      </c>
      <c r="R785" s="1" t="s">
        <v>80</v>
      </c>
      <c r="AO785" s="7">
        <v>19828</v>
      </c>
      <c r="AP785" s="5">
        <v>9.1</v>
      </c>
      <c r="AQ785" s="5">
        <v>116</v>
      </c>
      <c r="AR785" s="5">
        <v>48</v>
      </c>
      <c r="AS785" s="5">
        <v>60.2</v>
      </c>
      <c r="AT785" s="5">
        <v>59</v>
      </c>
      <c r="AU785" s="5">
        <v>74</v>
      </c>
      <c r="AV785" s="5">
        <v>35.5</v>
      </c>
      <c r="AW785" s="5">
        <v>19.37</v>
      </c>
      <c r="AX785" s="5">
        <v>251</v>
      </c>
      <c r="AY785" s="5">
        <v>41.01</v>
      </c>
      <c r="AZ785" s="5" t="s">
        <v>375</v>
      </c>
      <c r="BA785" s="5">
        <v>3.14</v>
      </c>
      <c r="BB785" s="12" t="s">
        <v>76</v>
      </c>
      <c r="BC785" s="5">
        <v>4.45</v>
      </c>
      <c r="BD785" s="5">
        <v>116</v>
      </c>
      <c r="BE785" s="5">
        <v>0.78</v>
      </c>
      <c r="BF785" s="5">
        <v>1.95</v>
      </c>
      <c r="BG785" s="15">
        <v>36.5</v>
      </c>
      <c r="BH785" s="5">
        <v>79</v>
      </c>
      <c r="BI785" s="5">
        <v>79</v>
      </c>
      <c r="BJ785" s="5">
        <v>20</v>
      </c>
      <c r="BK785" s="5">
        <v>160</v>
      </c>
      <c r="BL785" s="5">
        <v>74</v>
      </c>
      <c r="BM785" s="5">
        <v>65</v>
      </c>
      <c r="BN785" s="5">
        <v>173</v>
      </c>
      <c r="BO785" s="5">
        <f t="shared" si="12"/>
        <v>21.7180660897457</v>
      </c>
      <c r="BP785" s="5" t="s">
        <v>618</v>
      </c>
      <c r="BQ785" s="5">
        <v>8.3</v>
      </c>
      <c r="BR785" s="5">
        <v>33319</v>
      </c>
    </row>
    <row r="786" s="1" customFormat="1" spans="1:70">
      <c r="A786" s="1">
        <v>3327346</v>
      </c>
      <c r="B786" s="1" t="s">
        <v>2001</v>
      </c>
      <c r="D786" s="4">
        <v>45028</v>
      </c>
      <c r="E786" s="4">
        <v>45040</v>
      </c>
      <c r="F786" s="7">
        <v>19829</v>
      </c>
      <c r="G786" s="1">
        <v>40</v>
      </c>
      <c r="H786" s="1">
        <v>10</v>
      </c>
      <c r="I786" s="1">
        <v>55</v>
      </c>
      <c r="J786" s="1">
        <v>10</v>
      </c>
      <c r="K786" s="1">
        <v>51</v>
      </c>
      <c r="L786" s="1">
        <v>26</v>
      </c>
      <c r="M786" s="1">
        <v>0.66</v>
      </c>
      <c r="N786" s="1">
        <v>11.2</v>
      </c>
      <c r="O786" s="7">
        <v>19829</v>
      </c>
      <c r="P786" s="4">
        <v>45028</v>
      </c>
      <c r="Q786" s="4">
        <v>45040</v>
      </c>
      <c r="R786" s="1" t="s">
        <v>80</v>
      </c>
      <c r="AO786" s="7">
        <v>19829</v>
      </c>
      <c r="AP786" s="5">
        <v>9.6</v>
      </c>
      <c r="AQ786" s="5">
        <v>154</v>
      </c>
      <c r="AR786" s="5">
        <v>50.8</v>
      </c>
      <c r="AS786" s="5">
        <v>5.2</v>
      </c>
      <c r="AT786" s="5">
        <v>31</v>
      </c>
      <c r="AU786" s="5">
        <v>8</v>
      </c>
      <c r="AV786" s="5">
        <v>41.2</v>
      </c>
      <c r="AW786" s="5">
        <v>8.53</v>
      </c>
      <c r="AX786" s="5">
        <v>94</v>
      </c>
      <c r="AY786" s="5">
        <v>90.99</v>
      </c>
      <c r="AZ786" s="5">
        <v>9.4</v>
      </c>
      <c r="BA786" s="5" t="s">
        <v>76</v>
      </c>
      <c r="BB786" s="12" t="s">
        <v>76</v>
      </c>
      <c r="BC786" s="5">
        <v>4.69</v>
      </c>
      <c r="BD786" s="5">
        <v>154</v>
      </c>
      <c r="BE786" s="5" t="s">
        <v>76</v>
      </c>
      <c r="BF786" s="5" t="s">
        <v>76</v>
      </c>
      <c r="BG786" s="15">
        <v>35</v>
      </c>
      <c r="BH786" s="5" t="s">
        <v>76</v>
      </c>
      <c r="BI786" s="5">
        <v>109</v>
      </c>
      <c r="BJ786" s="5">
        <v>24</v>
      </c>
      <c r="BK786" s="5">
        <v>148</v>
      </c>
      <c r="BL786" s="5">
        <v>94</v>
      </c>
      <c r="BM786" s="5">
        <v>70</v>
      </c>
      <c r="BN786" s="5">
        <v>170</v>
      </c>
      <c r="BO786" s="5">
        <f t="shared" si="12"/>
        <v>24.2214532871972</v>
      </c>
      <c r="BP786" s="5" t="s">
        <v>78</v>
      </c>
      <c r="BQ786" s="5">
        <v>7.1</v>
      </c>
      <c r="BR786" s="5">
        <v>960</v>
      </c>
    </row>
    <row r="787" s="1" customFormat="1" spans="1:70">
      <c r="A787" s="1">
        <v>3257344</v>
      </c>
      <c r="B787" s="1" t="s">
        <v>2002</v>
      </c>
      <c r="D787" s="4">
        <v>44923</v>
      </c>
      <c r="E787" s="4">
        <v>44936</v>
      </c>
      <c r="F787" s="7">
        <v>19834</v>
      </c>
      <c r="G787" s="1">
        <v>32</v>
      </c>
      <c r="H787" s="1">
        <v>9</v>
      </c>
      <c r="I787" s="1">
        <v>44</v>
      </c>
      <c r="J787" s="1">
        <v>9</v>
      </c>
      <c r="K787" s="1">
        <v>66</v>
      </c>
      <c r="L787" s="1">
        <v>36</v>
      </c>
      <c r="M787" s="1">
        <v>0.58</v>
      </c>
      <c r="N787" s="1">
        <v>14.8</v>
      </c>
      <c r="O787" s="7">
        <v>19834</v>
      </c>
      <c r="P787" s="4">
        <v>44923</v>
      </c>
      <c r="Q787" s="4">
        <v>44936</v>
      </c>
      <c r="R787" s="1" t="s">
        <v>73</v>
      </c>
      <c r="AO787" s="7">
        <v>19834</v>
      </c>
      <c r="AP787" s="5">
        <v>6.9</v>
      </c>
      <c r="AQ787" s="5">
        <v>118</v>
      </c>
      <c r="AR787" s="5">
        <v>36.4</v>
      </c>
      <c r="AS787" s="5">
        <v>93.8</v>
      </c>
      <c r="AT787" s="5">
        <v>36</v>
      </c>
      <c r="AU787" s="5">
        <v>32</v>
      </c>
      <c r="AV787" s="5">
        <v>38.1</v>
      </c>
      <c r="AW787" s="5">
        <v>9.9</v>
      </c>
      <c r="AX787" s="5">
        <v>88</v>
      </c>
      <c r="AY787" s="5">
        <v>74.27</v>
      </c>
      <c r="AZ787" s="5">
        <v>9.35</v>
      </c>
      <c r="BA787" s="5" t="s">
        <v>76</v>
      </c>
      <c r="BB787" s="12" t="s">
        <v>76</v>
      </c>
      <c r="BC787" s="5">
        <v>4.11</v>
      </c>
      <c r="BD787" s="5">
        <v>118</v>
      </c>
      <c r="BE787" s="5" t="s">
        <v>76</v>
      </c>
      <c r="BF787" s="5" t="s">
        <v>76</v>
      </c>
      <c r="BG787" s="15">
        <v>36.5</v>
      </c>
      <c r="BH787" s="5">
        <v>80</v>
      </c>
      <c r="BI787" s="5" t="s">
        <v>76</v>
      </c>
      <c r="BJ787" s="5">
        <v>16</v>
      </c>
      <c r="BK787" s="5">
        <v>139</v>
      </c>
      <c r="BL787" s="5">
        <v>89</v>
      </c>
      <c r="BM787" s="5">
        <v>53</v>
      </c>
      <c r="BN787" s="5">
        <v>155</v>
      </c>
      <c r="BO787" s="5">
        <f t="shared" si="12"/>
        <v>22.0603537981269</v>
      </c>
      <c r="BP787" s="5" t="s">
        <v>149</v>
      </c>
      <c r="BQ787" s="5">
        <v>5.7</v>
      </c>
      <c r="BR787" s="5">
        <v>3747</v>
      </c>
    </row>
    <row r="788" s="1" customFormat="1" spans="1:70">
      <c r="A788" s="1">
        <v>3233314</v>
      </c>
      <c r="B788" s="1" t="s">
        <v>2003</v>
      </c>
      <c r="D788" s="4">
        <v>44872</v>
      </c>
      <c r="E788" s="4">
        <v>44891</v>
      </c>
      <c r="F788" s="7">
        <v>19838</v>
      </c>
      <c r="G788" s="1">
        <v>34</v>
      </c>
      <c r="H788" s="1">
        <v>9</v>
      </c>
      <c r="I788" s="1">
        <v>41</v>
      </c>
      <c r="J788" s="1">
        <v>9</v>
      </c>
      <c r="K788" s="1">
        <v>60</v>
      </c>
      <c r="L788" s="1">
        <v>32</v>
      </c>
      <c r="M788" s="1">
        <v>0.86</v>
      </c>
      <c r="N788" s="1">
        <v>12</v>
      </c>
      <c r="O788" s="7">
        <v>19838</v>
      </c>
      <c r="P788" s="4">
        <v>44872</v>
      </c>
      <c r="Q788" s="4">
        <v>44891</v>
      </c>
      <c r="R788" s="1" t="s">
        <v>73</v>
      </c>
      <c r="AO788" s="7">
        <v>19838</v>
      </c>
      <c r="AP788" s="5">
        <v>8.7</v>
      </c>
      <c r="AQ788" s="5">
        <v>89</v>
      </c>
      <c r="AR788" s="5">
        <v>45</v>
      </c>
      <c r="AS788" s="5">
        <v>72.2</v>
      </c>
      <c r="AT788" s="5">
        <v>84</v>
      </c>
      <c r="AU788" s="5">
        <v>94</v>
      </c>
      <c r="AV788" s="5">
        <v>48.1</v>
      </c>
      <c r="AW788" s="5">
        <v>9.49</v>
      </c>
      <c r="AX788" s="5">
        <v>63</v>
      </c>
      <c r="AY788" s="5" t="s">
        <v>125</v>
      </c>
      <c r="AZ788" s="5" t="s">
        <v>75</v>
      </c>
      <c r="BA788" s="5">
        <v>4.85</v>
      </c>
      <c r="BB788" s="12" t="s">
        <v>76</v>
      </c>
      <c r="BC788" s="5">
        <v>4.9</v>
      </c>
      <c r="BD788" s="5">
        <v>89</v>
      </c>
      <c r="BE788" s="5">
        <v>1.01</v>
      </c>
      <c r="BF788" s="5">
        <v>3.52</v>
      </c>
      <c r="BG788" s="15">
        <v>36.5</v>
      </c>
      <c r="BH788" s="5">
        <v>620</v>
      </c>
      <c r="BI788" s="5">
        <v>62</v>
      </c>
      <c r="BJ788" s="5">
        <v>20</v>
      </c>
      <c r="BK788" s="5">
        <v>133</v>
      </c>
      <c r="BL788" s="5">
        <v>78</v>
      </c>
      <c r="BM788" s="5">
        <v>72</v>
      </c>
      <c r="BN788" s="5">
        <v>155</v>
      </c>
      <c r="BO788" s="5">
        <f t="shared" si="12"/>
        <v>29.9687825182102</v>
      </c>
      <c r="BP788" s="5" t="s">
        <v>1450</v>
      </c>
      <c r="BQ788" s="5">
        <v>5.6</v>
      </c>
      <c r="BR788" s="5">
        <v>931</v>
      </c>
    </row>
    <row r="789" s="1" customFormat="1" spans="1:70">
      <c r="A789" s="1" t="s">
        <v>2004</v>
      </c>
      <c r="B789" s="1" t="s">
        <v>2005</v>
      </c>
      <c r="D789" s="4">
        <v>44906</v>
      </c>
      <c r="E789" s="4">
        <v>44922</v>
      </c>
      <c r="F789" s="7">
        <v>19849</v>
      </c>
      <c r="G789" s="1">
        <v>45</v>
      </c>
      <c r="H789" s="1">
        <v>9</v>
      </c>
      <c r="I789" s="1">
        <v>49</v>
      </c>
      <c r="J789" s="1">
        <v>9</v>
      </c>
      <c r="K789" s="1">
        <v>67</v>
      </c>
      <c r="L789" s="1">
        <v>37</v>
      </c>
      <c r="N789" s="1">
        <v>10.6</v>
      </c>
      <c r="O789" s="7">
        <v>19849</v>
      </c>
      <c r="P789" s="4">
        <v>44906</v>
      </c>
      <c r="Q789" s="4">
        <v>44922</v>
      </c>
      <c r="R789" s="1" t="s">
        <v>80</v>
      </c>
      <c r="AO789" s="7">
        <v>19849</v>
      </c>
      <c r="AP789" s="5" t="s">
        <v>2006</v>
      </c>
      <c r="AQ789" s="5" t="s">
        <v>335</v>
      </c>
      <c r="AR789" s="5" t="s">
        <v>2007</v>
      </c>
      <c r="AS789" s="5" t="s">
        <v>2008</v>
      </c>
      <c r="AT789" s="5" t="s">
        <v>1249</v>
      </c>
      <c r="AU789" s="5" t="s">
        <v>1766</v>
      </c>
      <c r="AV789" s="5" t="s">
        <v>2009</v>
      </c>
      <c r="AW789" s="5" t="s">
        <v>2010</v>
      </c>
      <c r="AX789" s="5" t="s">
        <v>89</v>
      </c>
      <c r="AY789" s="5" t="s">
        <v>2011</v>
      </c>
      <c r="AZ789" s="5" t="s">
        <v>2012</v>
      </c>
      <c r="BA789" s="5" t="s">
        <v>76</v>
      </c>
      <c r="BB789" s="12" t="s">
        <v>76</v>
      </c>
      <c r="BC789" s="5" t="s">
        <v>758</v>
      </c>
      <c r="BD789" s="5" t="s">
        <v>335</v>
      </c>
      <c r="BE789" s="5" t="s">
        <v>76</v>
      </c>
      <c r="BF789" s="5" t="s">
        <v>76</v>
      </c>
      <c r="BG789" s="15">
        <v>36.2</v>
      </c>
      <c r="BH789" s="5" t="s">
        <v>140</v>
      </c>
      <c r="BI789" s="5" t="s">
        <v>140</v>
      </c>
      <c r="BJ789" s="5" t="s">
        <v>101</v>
      </c>
      <c r="BK789" s="5" t="s">
        <v>238</v>
      </c>
      <c r="BL789" s="5" t="s">
        <v>140</v>
      </c>
      <c r="BM789" s="5" t="s">
        <v>658</v>
      </c>
      <c r="BN789" s="5">
        <v>170</v>
      </c>
      <c r="BO789" s="5">
        <f t="shared" si="12"/>
        <v>29.4117647058824</v>
      </c>
      <c r="BP789" s="5" t="s">
        <v>337</v>
      </c>
      <c r="BQ789" s="5" t="s">
        <v>76</v>
      </c>
      <c r="BR789" s="5">
        <v>1968</v>
      </c>
    </row>
    <row r="790" s="1" customFormat="1" spans="1:70">
      <c r="A790" s="1">
        <v>3239300</v>
      </c>
      <c r="B790" s="1" t="s">
        <v>2013</v>
      </c>
      <c r="D790" s="4">
        <v>44881</v>
      </c>
      <c r="E790" s="4">
        <v>44901</v>
      </c>
      <c r="F790" s="7">
        <v>19868</v>
      </c>
      <c r="G790" s="1">
        <v>37</v>
      </c>
      <c r="H790" s="1">
        <v>10</v>
      </c>
      <c r="I790" s="1">
        <v>46</v>
      </c>
      <c r="J790" s="1">
        <v>10</v>
      </c>
      <c r="K790" s="1">
        <v>58</v>
      </c>
      <c r="L790" s="1">
        <v>31</v>
      </c>
      <c r="M790" s="1">
        <v>0.75</v>
      </c>
      <c r="O790" s="7">
        <v>19868</v>
      </c>
      <c r="P790" s="4">
        <v>44881</v>
      </c>
      <c r="Q790" s="4">
        <v>44901</v>
      </c>
      <c r="R790" s="1" t="s">
        <v>73</v>
      </c>
      <c r="AO790" s="7">
        <v>19868</v>
      </c>
      <c r="AP790" s="5">
        <v>903.5</v>
      </c>
      <c r="AQ790" s="5">
        <v>98</v>
      </c>
      <c r="AR790" s="5">
        <v>37.2</v>
      </c>
      <c r="AS790" s="5">
        <v>99.9</v>
      </c>
      <c r="AT790" s="5">
        <v>93</v>
      </c>
      <c r="AU790" s="5">
        <v>94</v>
      </c>
      <c r="AV790" s="5">
        <v>7.5</v>
      </c>
      <c r="AW790" s="5">
        <v>9.53</v>
      </c>
      <c r="AX790" s="5">
        <v>98</v>
      </c>
      <c r="AY790" s="5">
        <v>80.7</v>
      </c>
      <c r="AZ790" s="5" t="s">
        <v>75</v>
      </c>
      <c r="BA790" s="5">
        <v>5.74</v>
      </c>
      <c r="BB790" s="12" t="s">
        <v>76</v>
      </c>
      <c r="BC790" s="5" t="s">
        <v>76</v>
      </c>
      <c r="BD790" s="5">
        <v>98</v>
      </c>
      <c r="BE790" s="5">
        <v>0.46</v>
      </c>
      <c r="BF790" s="5">
        <v>3.01</v>
      </c>
      <c r="BG790" s="15">
        <v>37.2</v>
      </c>
      <c r="BH790" s="5" t="s">
        <v>76</v>
      </c>
      <c r="BI790" s="5">
        <v>92</v>
      </c>
      <c r="BJ790" s="5">
        <v>41</v>
      </c>
      <c r="BK790" s="5">
        <v>157</v>
      </c>
      <c r="BL790" s="5">
        <v>79</v>
      </c>
      <c r="BM790" s="5" t="s">
        <v>77</v>
      </c>
      <c r="BN790" s="5" t="s">
        <v>77</v>
      </c>
      <c r="BO790" s="5" t="e">
        <f t="shared" si="12"/>
        <v>#VALUE!</v>
      </c>
      <c r="BP790" s="5" t="s">
        <v>117</v>
      </c>
      <c r="BQ790" s="5">
        <v>12.3</v>
      </c>
      <c r="BR790" s="5">
        <v>6819.72</v>
      </c>
    </row>
    <row r="791" s="1" customFormat="1" spans="1:70">
      <c r="A791" s="1">
        <v>3287210</v>
      </c>
      <c r="B791" s="1" t="s">
        <v>401</v>
      </c>
      <c r="D791" s="4">
        <v>44973</v>
      </c>
      <c r="E791" s="4">
        <v>44987</v>
      </c>
      <c r="F791" s="7">
        <v>19876</v>
      </c>
      <c r="G791" s="1">
        <v>36</v>
      </c>
      <c r="H791" s="1">
        <v>8</v>
      </c>
      <c r="I791" s="1">
        <v>48</v>
      </c>
      <c r="J791" s="1">
        <v>9</v>
      </c>
      <c r="K791" s="1">
        <v>64</v>
      </c>
      <c r="L791" s="1">
        <v>35</v>
      </c>
      <c r="M791" s="1">
        <v>0.86</v>
      </c>
      <c r="N791" s="1">
        <v>16.7</v>
      </c>
      <c r="O791" s="7">
        <v>19876</v>
      </c>
      <c r="P791" s="4">
        <v>44973</v>
      </c>
      <c r="Q791" s="4">
        <v>44987</v>
      </c>
      <c r="R791" s="1" t="s">
        <v>73</v>
      </c>
      <c r="AO791" s="7">
        <v>19876</v>
      </c>
      <c r="AP791" s="5">
        <v>23.8</v>
      </c>
      <c r="AQ791" s="5">
        <v>79</v>
      </c>
      <c r="AR791" s="5">
        <v>27.8</v>
      </c>
      <c r="AS791" s="5">
        <v>44.5</v>
      </c>
      <c r="AT791" s="5">
        <v>9</v>
      </c>
      <c r="AU791" s="5" t="s">
        <v>171</v>
      </c>
      <c r="AV791" s="5">
        <v>28.2</v>
      </c>
      <c r="AW791" s="5">
        <v>9</v>
      </c>
      <c r="AX791" s="5">
        <v>393</v>
      </c>
      <c r="AY791" s="5" t="s">
        <v>76</v>
      </c>
      <c r="AZ791" s="5">
        <v>2.82</v>
      </c>
      <c r="BA791" s="5">
        <v>4.32</v>
      </c>
      <c r="BB791" s="12" t="s">
        <v>76</v>
      </c>
      <c r="BC791" s="5">
        <v>4.39</v>
      </c>
      <c r="BD791" s="5">
        <v>79</v>
      </c>
      <c r="BE791" s="5">
        <v>1</v>
      </c>
      <c r="BF791" s="5">
        <v>2.34</v>
      </c>
      <c r="BG791" s="15">
        <v>36.6</v>
      </c>
      <c r="BH791" s="5">
        <v>78</v>
      </c>
      <c r="BI791" s="5" t="s">
        <v>76</v>
      </c>
      <c r="BJ791" s="5">
        <v>16</v>
      </c>
      <c r="BK791" s="5">
        <v>130</v>
      </c>
      <c r="BL791" s="5">
        <v>70</v>
      </c>
      <c r="BM791" s="5">
        <v>60</v>
      </c>
      <c r="BN791" s="5">
        <v>160</v>
      </c>
      <c r="BO791" s="5">
        <f t="shared" si="12"/>
        <v>23.4375</v>
      </c>
      <c r="BP791" s="5" t="s">
        <v>639</v>
      </c>
      <c r="BQ791" s="5" t="s">
        <v>76</v>
      </c>
      <c r="BR791" s="5" t="s">
        <v>118</v>
      </c>
    </row>
    <row r="792" s="1" customFormat="1" spans="1:70">
      <c r="A792" s="1">
        <v>3331952</v>
      </c>
      <c r="B792" s="1" t="s">
        <v>2014</v>
      </c>
      <c r="D792" s="4">
        <v>45035</v>
      </c>
      <c r="E792" s="4">
        <v>45043</v>
      </c>
      <c r="F792" s="7">
        <v>19883</v>
      </c>
      <c r="G792" s="1">
        <v>45</v>
      </c>
      <c r="H792" s="1">
        <v>9</v>
      </c>
      <c r="I792" s="1">
        <v>51</v>
      </c>
      <c r="J792" s="1">
        <v>9</v>
      </c>
      <c r="K792" s="1">
        <v>65</v>
      </c>
      <c r="L792" s="1">
        <v>35</v>
      </c>
      <c r="M792" s="1">
        <v>0.72</v>
      </c>
      <c r="N792" s="1">
        <v>13.9</v>
      </c>
      <c r="O792" s="7">
        <v>19883</v>
      </c>
      <c r="P792" s="4">
        <v>45035</v>
      </c>
      <c r="Q792" s="4">
        <v>45043</v>
      </c>
      <c r="R792" s="1" t="s">
        <v>80</v>
      </c>
      <c r="S792" s="1">
        <v>68</v>
      </c>
      <c r="T792" s="1" t="s">
        <v>2015</v>
      </c>
      <c r="AC792" s="1">
        <v>1</v>
      </c>
      <c r="AG792" s="1">
        <v>1</v>
      </c>
      <c r="AH792" s="1">
        <v>1</v>
      </c>
      <c r="AO792" s="7">
        <v>19883</v>
      </c>
      <c r="AP792" s="5">
        <v>5.5</v>
      </c>
      <c r="AQ792" s="5">
        <v>161</v>
      </c>
      <c r="AR792" s="5">
        <v>48.8</v>
      </c>
      <c r="AS792" s="5">
        <v>1</v>
      </c>
      <c r="AT792" s="5">
        <v>27</v>
      </c>
      <c r="AU792" s="5">
        <v>21</v>
      </c>
      <c r="AV792" s="5">
        <v>45.9</v>
      </c>
      <c r="AW792" s="5">
        <v>9.11</v>
      </c>
      <c r="AX792" s="5">
        <v>60</v>
      </c>
      <c r="AY792" s="5" t="s">
        <v>125</v>
      </c>
      <c r="AZ792" s="5" t="s">
        <v>75</v>
      </c>
      <c r="BA792" s="5">
        <v>4.51</v>
      </c>
      <c r="BB792" s="12" t="s">
        <v>76</v>
      </c>
      <c r="BC792" s="5">
        <v>3.93</v>
      </c>
      <c r="BD792" s="5">
        <v>161</v>
      </c>
      <c r="BE792" s="5">
        <v>1.43</v>
      </c>
      <c r="BF792" s="5">
        <v>2.5</v>
      </c>
      <c r="BG792" s="15">
        <v>36.6</v>
      </c>
      <c r="BH792" s="5">
        <v>76</v>
      </c>
      <c r="BI792" s="5">
        <v>76</v>
      </c>
      <c r="BJ792" s="5">
        <v>16</v>
      </c>
      <c r="BK792" s="5">
        <v>129</v>
      </c>
      <c r="BL792" s="5">
        <v>70</v>
      </c>
      <c r="BM792" s="5">
        <v>80</v>
      </c>
      <c r="BN792" s="5">
        <v>165</v>
      </c>
      <c r="BO792" s="5">
        <f t="shared" si="12"/>
        <v>29.3847566574839</v>
      </c>
      <c r="BP792" s="5" t="s">
        <v>152</v>
      </c>
      <c r="BQ792" s="5">
        <v>6.4</v>
      </c>
      <c r="BR792" s="5">
        <v>1047</v>
      </c>
    </row>
    <row r="793" s="1" customFormat="1" spans="1:70">
      <c r="A793" s="1">
        <v>3505746</v>
      </c>
      <c r="B793" s="1" t="s">
        <v>2016</v>
      </c>
      <c r="D793" s="4">
        <v>45274</v>
      </c>
      <c r="E793" s="4">
        <v>45287</v>
      </c>
      <c r="F793" s="7">
        <v>19885</v>
      </c>
      <c r="G793" s="1">
        <v>57</v>
      </c>
      <c r="H793" s="1">
        <v>10</v>
      </c>
      <c r="I793" s="1">
        <v>50</v>
      </c>
      <c r="J793" s="1">
        <v>9</v>
      </c>
      <c r="K793" s="1">
        <v>58</v>
      </c>
      <c r="L793" s="1">
        <v>31</v>
      </c>
      <c r="O793" s="7">
        <v>19885</v>
      </c>
      <c r="P793" s="4">
        <v>45274</v>
      </c>
      <c r="Q793" s="4">
        <v>45287</v>
      </c>
      <c r="R793" s="1" t="s">
        <v>73</v>
      </c>
      <c r="AO793" s="7">
        <v>19885</v>
      </c>
      <c r="AP793" s="5">
        <v>5.6</v>
      </c>
      <c r="AQ793" s="5">
        <v>132</v>
      </c>
      <c r="AR793" s="5">
        <v>37.9</v>
      </c>
      <c r="AS793" s="5">
        <v>5</v>
      </c>
      <c r="AT793" s="5">
        <v>22</v>
      </c>
      <c r="AU793" s="5">
        <v>17</v>
      </c>
      <c r="AV793" s="5">
        <v>37.4</v>
      </c>
      <c r="AW793" s="5">
        <v>8.03</v>
      </c>
      <c r="AX793" s="5">
        <v>55</v>
      </c>
      <c r="AY793" s="5" t="s">
        <v>125</v>
      </c>
      <c r="AZ793" s="5" t="s">
        <v>75</v>
      </c>
      <c r="BA793" s="5" t="s">
        <v>76</v>
      </c>
      <c r="BB793" s="12" t="s">
        <v>76</v>
      </c>
      <c r="BC793" s="5">
        <v>3.9</v>
      </c>
      <c r="BD793" s="5">
        <v>132</v>
      </c>
      <c r="BE793" s="5" t="s">
        <v>76</v>
      </c>
      <c r="BF793" s="5" t="s">
        <v>76</v>
      </c>
      <c r="BG793" s="15">
        <v>36.6</v>
      </c>
      <c r="BH793" s="5">
        <v>81</v>
      </c>
      <c r="BI793" s="5">
        <v>81</v>
      </c>
      <c r="BJ793" s="5">
        <v>20</v>
      </c>
      <c r="BK793" s="5">
        <v>108</v>
      </c>
      <c r="BL793" s="5">
        <v>76</v>
      </c>
      <c r="BM793" s="5">
        <v>76</v>
      </c>
      <c r="BN793" s="5">
        <v>162</v>
      </c>
      <c r="BO793" s="5">
        <f t="shared" si="12"/>
        <v>28.9590001524158</v>
      </c>
      <c r="BP793" s="5" t="s">
        <v>323</v>
      </c>
      <c r="BQ793" s="5" t="s">
        <v>76</v>
      </c>
      <c r="BR793" s="5">
        <v>993</v>
      </c>
    </row>
    <row r="794" s="1" customFormat="1" spans="1:70">
      <c r="A794" s="1">
        <v>3285911</v>
      </c>
      <c r="B794" s="1" t="s">
        <v>2017</v>
      </c>
      <c r="D794" s="4">
        <v>44971</v>
      </c>
      <c r="E794" s="4">
        <v>44977</v>
      </c>
      <c r="F794" s="7">
        <v>19901</v>
      </c>
      <c r="G794" s="1">
        <v>40</v>
      </c>
      <c r="H794" s="1">
        <v>9</v>
      </c>
      <c r="I794" s="1">
        <v>48</v>
      </c>
      <c r="J794" s="1">
        <v>9</v>
      </c>
      <c r="K794" s="1">
        <v>60</v>
      </c>
      <c r="L794" s="1">
        <v>32</v>
      </c>
      <c r="M794" s="1">
        <v>1.19</v>
      </c>
      <c r="N794" s="1">
        <v>17.3</v>
      </c>
      <c r="O794" s="7">
        <v>19901</v>
      </c>
      <c r="P794" s="4">
        <v>44971</v>
      </c>
      <c r="Q794" s="4">
        <v>44977</v>
      </c>
      <c r="R794" s="1" t="s">
        <v>80</v>
      </c>
      <c r="AO794" s="7">
        <v>19901</v>
      </c>
      <c r="AP794" s="5">
        <v>8.4</v>
      </c>
      <c r="AQ794" s="5">
        <v>146</v>
      </c>
      <c r="AR794" s="5">
        <v>44.7</v>
      </c>
      <c r="AS794" s="5" t="s">
        <v>81</v>
      </c>
      <c r="AT794" s="5">
        <v>66</v>
      </c>
      <c r="AU794" s="5">
        <v>53</v>
      </c>
      <c r="AV794" s="5">
        <v>37.2</v>
      </c>
      <c r="AW794" s="5">
        <v>5.46</v>
      </c>
      <c r="AX794" s="5">
        <v>52</v>
      </c>
      <c r="AY794" s="5" t="s">
        <v>125</v>
      </c>
      <c r="AZ794" s="5">
        <v>8.38</v>
      </c>
      <c r="BA794" s="5">
        <v>4.15</v>
      </c>
      <c r="BB794" s="12" t="s">
        <v>76</v>
      </c>
      <c r="BC794" s="5">
        <v>4.65</v>
      </c>
      <c r="BD794" s="5">
        <v>146</v>
      </c>
      <c r="BE794" s="5">
        <v>1.06</v>
      </c>
      <c r="BF794" s="5">
        <v>2.59</v>
      </c>
      <c r="BG794" s="15">
        <v>36.6</v>
      </c>
      <c r="BH794" s="5">
        <v>77</v>
      </c>
      <c r="BI794" s="5">
        <v>77</v>
      </c>
      <c r="BJ794" s="5">
        <v>20</v>
      </c>
      <c r="BK794" s="5">
        <v>143</v>
      </c>
      <c r="BL794" s="5">
        <v>80</v>
      </c>
      <c r="BM794" s="5">
        <v>67</v>
      </c>
      <c r="BN794" s="5">
        <v>167</v>
      </c>
      <c r="BO794" s="5">
        <f t="shared" si="12"/>
        <v>24.023808670085</v>
      </c>
      <c r="BP794" s="5" t="s">
        <v>323</v>
      </c>
      <c r="BQ794" s="5">
        <v>6.2</v>
      </c>
      <c r="BR794" s="5">
        <v>992</v>
      </c>
    </row>
    <row r="795" s="1" customFormat="1" spans="1:70">
      <c r="A795" s="1">
        <v>3236370</v>
      </c>
      <c r="B795" s="1" t="s">
        <v>2018</v>
      </c>
      <c r="D795" s="4">
        <v>44876</v>
      </c>
      <c r="E795" s="4">
        <v>44896</v>
      </c>
      <c r="F795" s="7">
        <v>19903</v>
      </c>
      <c r="G795" s="1">
        <v>45</v>
      </c>
      <c r="H795" s="1">
        <v>10</v>
      </c>
      <c r="I795" s="1">
        <v>55</v>
      </c>
      <c r="J795" s="1">
        <v>9</v>
      </c>
      <c r="K795" s="1">
        <v>57</v>
      </c>
      <c r="L795" s="1">
        <v>30</v>
      </c>
      <c r="M795" s="1">
        <v>0.73</v>
      </c>
      <c r="O795" s="7">
        <v>19903</v>
      </c>
      <c r="P795" s="4">
        <v>44876</v>
      </c>
      <c r="Q795" s="4">
        <v>44896</v>
      </c>
      <c r="R795" s="1" t="s">
        <v>80</v>
      </c>
      <c r="AO795" s="7">
        <v>19903</v>
      </c>
      <c r="AP795" s="5">
        <v>8.2</v>
      </c>
      <c r="AQ795" s="5">
        <v>95</v>
      </c>
      <c r="AR795" s="5">
        <v>36.2</v>
      </c>
      <c r="AS795" s="5">
        <v>92.6</v>
      </c>
      <c r="AT795" s="5">
        <v>95</v>
      </c>
      <c r="AU795" s="5">
        <v>89</v>
      </c>
      <c r="AV795" s="5">
        <v>31.4</v>
      </c>
      <c r="AW795" s="5">
        <v>79.09</v>
      </c>
      <c r="AX795" s="5">
        <v>353</v>
      </c>
      <c r="AY795" s="5">
        <v>56.6</v>
      </c>
      <c r="AZ795" s="5" t="s">
        <v>75</v>
      </c>
      <c r="BA795" s="5">
        <v>3.56</v>
      </c>
      <c r="BB795" s="12" t="s">
        <v>76</v>
      </c>
      <c r="BC795" s="5">
        <v>5.06</v>
      </c>
      <c r="BD795" s="5">
        <v>95</v>
      </c>
      <c r="BE795" s="5">
        <v>0.97</v>
      </c>
      <c r="BF795" s="5">
        <v>2.2</v>
      </c>
      <c r="BG795" s="15">
        <v>36.1</v>
      </c>
      <c r="BH795" s="5">
        <v>82</v>
      </c>
      <c r="BI795" s="5" t="s">
        <v>76</v>
      </c>
      <c r="BJ795" s="5">
        <v>14</v>
      </c>
      <c r="BK795" s="5">
        <v>119</v>
      </c>
      <c r="BL795" s="5">
        <v>74</v>
      </c>
      <c r="BM795" s="5">
        <v>73</v>
      </c>
      <c r="BN795" s="5">
        <v>166</v>
      </c>
      <c r="BO795" s="5">
        <f t="shared" si="12"/>
        <v>26.4915082014806</v>
      </c>
      <c r="BP795" s="5" t="s">
        <v>117</v>
      </c>
      <c r="BQ795" s="5">
        <v>6.3</v>
      </c>
      <c r="BR795" s="5">
        <v>982.82</v>
      </c>
    </row>
    <row r="796" s="1" customFormat="1" spans="1:70">
      <c r="A796" s="1">
        <v>3260668</v>
      </c>
      <c r="B796" s="1" t="s">
        <v>2019</v>
      </c>
      <c r="D796" s="4">
        <v>44929</v>
      </c>
      <c r="E796" s="4">
        <v>44946</v>
      </c>
      <c r="F796" s="7">
        <v>19909</v>
      </c>
      <c r="G796" s="1">
        <v>42</v>
      </c>
      <c r="H796" s="1">
        <v>9</v>
      </c>
      <c r="I796" s="1">
        <v>50</v>
      </c>
      <c r="J796" s="1">
        <v>9</v>
      </c>
      <c r="K796" s="1">
        <v>65</v>
      </c>
      <c r="L796" s="1">
        <v>36</v>
      </c>
      <c r="M796" s="1">
        <v>0.68</v>
      </c>
      <c r="N796" s="1">
        <v>11.9</v>
      </c>
      <c r="O796" s="7">
        <v>19909</v>
      </c>
      <c r="P796" s="4">
        <v>44929</v>
      </c>
      <c r="Q796" s="4">
        <v>44946</v>
      </c>
      <c r="R796" s="1" t="s">
        <v>73</v>
      </c>
      <c r="S796" s="1">
        <v>68</v>
      </c>
      <c r="T796" s="1" t="s">
        <v>2020</v>
      </c>
      <c r="Z796" s="1">
        <v>1</v>
      </c>
      <c r="AG796" s="1">
        <v>1</v>
      </c>
      <c r="AH796" s="1">
        <v>1</v>
      </c>
      <c r="AM796" s="1">
        <v>1</v>
      </c>
      <c r="AO796" s="7">
        <v>19909</v>
      </c>
      <c r="AP796" s="5">
        <v>9.3</v>
      </c>
      <c r="AQ796" s="5">
        <v>98</v>
      </c>
      <c r="AR796" s="5">
        <v>38</v>
      </c>
      <c r="AS796" s="5">
        <v>2.7</v>
      </c>
      <c r="AT796" s="5">
        <v>8</v>
      </c>
      <c r="AU796" s="5">
        <v>21</v>
      </c>
      <c r="AV796" s="5">
        <v>38.5</v>
      </c>
      <c r="AW796" s="5">
        <v>9.92</v>
      </c>
      <c r="AX796" s="5">
        <v>37</v>
      </c>
      <c r="AY796" s="5" t="s">
        <v>125</v>
      </c>
      <c r="AZ796" s="5" t="s">
        <v>75</v>
      </c>
      <c r="BA796" s="5">
        <v>3.6</v>
      </c>
      <c r="BB796" s="12" t="s">
        <v>76</v>
      </c>
      <c r="BC796" s="5">
        <v>4.34</v>
      </c>
      <c r="BD796" s="5">
        <v>98</v>
      </c>
      <c r="BE796" s="5">
        <v>0.84</v>
      </c>
      <c r="BF796" s="5">
        <v>2.28</v>
      </c>
      <c r="BG796" s="15">
        <v>36.5</v>
      </c>
      <c r="BH796" s="5">
        <v>80</v>
      </c>
      <c r="BI796" s="5" t="s">
        <v>76</v>
      </c>
      <c r="BJ796" s="5">
        <v>23</v>
      </c>
      <c r="BK796" s="5">
        <v>149</v>
      </c>
      <c r="BL796" s="5">
        <v>89</v>
      </c>
      <c r="BM796" s="5">
        <v>62.5</v>
      </c>
      <c r="BN796" s="5">
        <v>150</v>
      </c>
      <c r="BO796" s="5">
        <f t="shared" si="12"/>
        <v>27.7777777777778</v>
      </c>
      <c r="BP796" s="5" t="s">
        <v>168</v>
      </c>
      <c r="BQ796" s="5" t="s">
        <v>76</v>
      </c>
      <c r="BR796" s="5">
        <v>929.3</v>
      </c>
    </row>
    <row r="797" s="1" customFormat="1" spans="1:70">
      <c r="A797" s="1">
        <v>3242459</v>
      </c>
      <c r="B797" s="1" t="s">
        <v>2021</v>
      </c>
      <c r="D797" s="4">
        <v>44887</v>
      </c>
      <c r="E797" s="4">
        <v>44902</v>
      </c>
      <c r="F797" s="7">
        <v>19921</v>
      </c>
      <c r="G797" s="1">
        <v>37</v>
      </c>
      <c r="H797" s="1">
        <v>9</v>
      </c>
      <c r="I797" s="1">
        <v>47</v>
      </c>
      <c r="J797" s="1">
        <v>9</v>
      </c>
      <c r="K797" s="1">
        <v>56</v>
      </c>
      <c r="L797" s="1">
        <v>30</v>
      </c>
      <c r="M797" s="1">
        <v>0.67</v>
      </c>
      <c r="N797" s="1">
        <v>9.8</v>
      </c>
      <c r="O797" s="7">
        <v>19921</v>
      </c>
      <c r="P797" s="4">
        <v>44887</v>
      </c>
      <c r="Q797" s="4">
        <v>44902</v>
      </c>
      <c r="R797" s="1" t="s">
        <v>73</v>
      </c>
      <c r="AO797" s="7">
        <v>19921</v>
      </c>
      <c r="AP797" s="5">
        <v>9.4</v>
      </c>
      <c r="AQ797" s="5">
        <v>87</v>
      </c>
      <c r="AR797" s="5">
        <v>41.6</v>
      </c>
      <c r="AS797" s="5">
        <v>7.9</v>
      </c>
      <c r="AT797" s="5">
        <v>9</v>
      </c>
      <c r="AU797" s="5" t="s">
        <v>171</v>
      </c>
      <c r="AV797" s="5">
        <v>42.4</v>
      </c>
      <c r="AW797" s="5">
        <v>8.57</v>
      </c>
      <c r="AX797" s="5">
        <v>56</v>
      </c>
      <c r="AY797" s="5" t="s">
        <v>125</v>
      </c>
      <c r="AZ797" s="5" t="s">
        <v>75</v>
      </c>
      <c r="BA797" s="5" t="s">
        <v>76</v>
      </c>
      <c r="BB797" s="12" t="s">
        <v>76</v>
      </c>
      <c r="BC797" s="5">
        <v>4.81</v>
      </c>
      <c r="BD797" s="5">
        <v>87</v>
      </c>
      <c r="BE797" s="5" t="s">
        <v>76</v>
      </c>
      <c r="BF797" s="5" t="s">
        <v>76</v>
      </c>
      <c r="BG797" s="15">
        <v>36.1</v>
      </c>
      <c r="BH797" s="5">
        <v>72</v>
      </c>
      <c r="BI797" s="5">
        <v>72</v>
      </c>
      <c r="BJ797" s="5">
        <v>18</v>
      </c>
      <c r="BK797" s="5">
        <v>145</v>
      </c>
      <c r="BL797" s="5">
        <v>90</v>
      </c>
      <c r="BM797" s="5">
        <v>61</v>
      </c>
      <c r="BN797" s="5">
        <v>162</v>
      </c>
      <c r="BO797" s="5">
        <f t="shared" si="12"/>
        <v>23.2434080170706</v>
      </c>
      <c r="BP797" s="5" t="s">
        <v>1450</v>
      </c>
      <c r="BQ797" s="5" t="s">
        <v>76</v>
      </c>
      <c r="BR797" s="5">
        <v>972</v>
      </c>
    </row>
    <row r="798" s="1" customFormat="1" spans="1:70">
      <c r="A798" s="1">
        <v>3314136</v>
      </c>
      <c r="B798" s="1" t="s">
        <v>2022</v>
      </c>
      <c r="D798" s="4">
        <v>45009</v>
      </c>
      <c r="E798" s="4">
        <v>45015</v>
      </c>
      <c r="F798" s="7">
        <v>19928</v>
      </c>
      <c r="G798" s="1">
        <v>43</v>
      </c>
      <c r="I798" s="1">
        <v>54</v>
      </c>
      <c r="K798" s="1">
        <v>62</v>
      </c>
      <c r="L798" s="1">
        <v>34</v>
      </c>
      <c r="M798" s="1">
        <v>1.06</v>
      </c>
      <c r="N798" s="1">
        <v>18.4</v>
      </c>
      <c r="O798" s="7">
        <v>19928</v>
      </c>
      <c r="P798" s="4">
        <v>45009</v>
      </c>
      <c r="Q798" s="4">
        <v>45015</v>
      </c>
      <c r="R798" s="1" t="s">
        <v>80</v>
      </c>
      <c r="AO798" s="7">
        <v>19928</v>
      </c>
      <c r="AP798" s="5">
        <v>6.1</v>
      </c>
      <c r="AQ798" s="5">
        <v>99</v>
      </c>
      <c r="AR798" s="5">
        <v>29.6</v>
      </c>
      <c r="AS798" s="5">
        <v>2.1</v>
      </c>
      <c r="AT798" s="5">
        <v>24</v>
      </c>
      <c r="AU798" s="5">
        <v>31</v>
      </c>
      <c r="AV798" s="5">
        <v>34</v>
      </c>
      <c r="AW798" s="5">
        <v>15.24</v>
      </c>
      <c r="AX798" s="5">
        <v>271</v>
      </c>
      <c r="AY798" s="5">
        <v>21.68</v>
      </c>
      <c r="AZ798" s="5" t="s">
        <v>75</v>
      </c>
      <c r="BA798" s="5">
        <v>3.08</v>
      </c>
      <c r="BB798" s="12" t="s">
        <v>76</v>
      </c>
      <c r="BC798" s="5">
        <v>4.76</v>
      </c>
      <c r="BD798" s="5">
        <v>99</v>
      </c>
      <c r="BE798" s="5">
        <v>0.72</v>
      </c>
      <c r="BF798" s="5">
        <v>1.81</v>
      </c>
      <c r="BG798" s="15">
        <v>36</v>
      </c>
      <c r="BH798" s="5">
        <v>78</v>
      </c>
      <c r="BI798" s="5">
        <v>78</v>
      </c>
      <c r="BJ798" s="5">
        <v>18</v>
      </c>
      <c r="BK798" s="5">
        <v>186</v>
      </c>
      <c r="BL798" s="5">
        <v>109</v>
      </c>
      <c r="BM798" s="5">
        <v>70</v>
      </c>
      <c r="BN798" s="5">
        <v>176</v>
      </c>
      <c r="BO798" s="5">
        <f t="shared" si="12"/>
        <v>22.5981404958678</v>
      </c>
      <c r="BP798" s="5" t="s">
        <v>415</v>
      </c>
      <c r="BQ798" s="5" t="s">
        <v>76</v>
      </c>
      <c r="BR798" s="5">
        <v>999</v>
      </c>
    </row>
    <row r="799" s="1" customFormat="1" spans="1:70">
      <c r="A799" s="1">
        <v>3266796</v>
      </c>
      <c r="B799" s="1" t="s">
        <v>2023</v>
      </c>
      <c r="D799" s="4">
        <v>44940</v>
      </c>
      <c r="E799" s="4">
        <v>44946</v>
      </c>
      <c r="F799" s="7">
        <v>19941</v>
      </c>
      <c r="G799" s="1">
        <v>32</v>
      </c>
      <c r="H799" s="1">
        <v>11</v>
      </c>
      <c r="I799" s="1">
        <v>46</v>
      </c>
      <c r="J799" s="1">
        <v>11</v>
      </c>
      <c r="K799" s="1">
        <v>72</v>
      </c>
      <c r="L799" s="1">
        <v>41</v>
      </c>
      <c r="M799" s="1">
        <v>0.68</v>
      </c>
      <c r="N799" s="1">
        <v>7</v>
      </c>
      <c r="O799" s="7">
        <v>19941</v>
      </c>
      <c r="P799" s="4">
        <v>44940</v>
      </c>
      <c r="Q799" s="4">
        <v>44946</v>
      </c>
      <c r="R799" s="1" t="s">
        <v>73</v>
      </c>
      <c r="AO799" s="7">
        <v>19941</v>
      </c>
      <c r="AP799" s="5">
        <v>9.9</v>
      </c>
      <c r="AQ799" s="5">
        <v>98</v>
      </c>
      <c r="AR799" s="5">
        <v>36.7</v>
      </c>
      <c r="AS799" s="5">
        <v>6.5</v>
      </c>
      <c r="AT799" s="5">
        <v>42</v>
      </c>
      <c r="AU799" s="5">
        <v>26</v>
      </c>
      <c r="AV799" s="5">
        <v>34</v>
      </c>
      <c r="AW799" s="5">
        <v>9.63</v>
      </c>
      <c r="AX799" s="5">
        <v>47</v>
      </c>
      <c r="AY799" s="5" t="s">
        <v>125</v>
      </c>
      <c r="AZ799" s="5">
        <v>4.85</v>
      </c>
      <c r="BA799" s="5">
        <v>14.24</v>
      </c>
      <c r="BB799" s="12" t="s">
        <v>76</v>
      </c>
      <c r="BC799" s="5">
        <v>4.63</v>
      </c>
      <c r="BD799" s="5">
        <v>98</v>
      </c>
      <c r="BE799" s="5" t="s">
        <v>76</v>
      </c>
      <c r="BF799" s="5" t="s">
        <v>76</v>
      </c>
      <c r="BG799" s="15">
        <v>36.7</v>
      </c>
      <c r="BH799" s="5">
        <v>125</v>
      </c>
      <c r="BI799" s="5">
        <v>125</v>
      </c>
      <c r="BJ799" s="5">
        <v>28</v>
      </c>
      <c r="BK799" s="5">
        <v>203</v>
      </c>
      <c r="BL799" s="5">
        <v>111</v>
      </c>
      <c r="BM799" s="5" t="s">
        <v>77</v>
      </c>
      <c r="BN799" s="5" t="s">
        <v>77</v>
      </c>
      <c r="BO799" s="5" t="e">
        <f t="shared" si="12"/>
        <v>#VALUE!</v>
      </c>
      <c r="BP799" s="5" t="s">
        <v>618</v>
      </c>
      <c r="BQ799" s="5" t="s">
        <v>76</v>
      </c>
      <c r="BR799" s="5">
        <v>959</v>
      </c>
    </row>
    <row r="800" s="1" customFormat="1" spans="1:70">
      <c r="A800" s="1" t="s">
        <v>2024</v>
      </c>
      <c r="B800" s="1" t="s">
        <v>2025</v>
      </c>
      <c r="D800" s="4">
        <v>44959</v>
      </c>
      <c r="E800" s="4">
        <v>45002</v>
      </c>
      <c r="F800" s="7">
        <v>19942</v>
      </c>
      <c r="G800" s="1">
        <v>39</v>
      </c>
      <c r="H800" s="1">
        <v>10</v>
      </c>
      <c r="I800" s="1">
        <v>52</v>
      </c>
      <c r="J800" s="1">
        <v>10</v>
      </c>
      <c r="K800" s="1">
        <v>57</v>
      </c>
      <c r="L800" s="1">
        <v>30</v>
      </c>
      <c r="M800" s="1">
        <v>0.64</v>
      </c>
      <c r="N800" s="1">
        <v>11.8</v>
      </c>
      <c r="O800" s="7">
        <v>19942</v>
      </c>
      <c r="P800" s="4">
        <v>44959</v>
      </c>
      <c r="Q800" s="4">
        <v>45002</v>
      </c>
      <c r="R800" s="1" t="s">
        <v>80</v>
      </c>
      <c r="AO800" s="7">
        <v>19942</v>
      </c>
      <c r="AP800" s="5" t="s">
        <v>88</v>
      </c>
      <c r="AQ800" s="5" t="s">
        <v>89</v>
      </c>
      <c r="AR800" s="5" t="s">
        <v>104</v>
      </c>
      <c r="AS800" s="5" t="s">
        <v>463</v>
      </c>
      <c r="AT800" s="5" t="s">
        <v>658</v>
      </c>
      <c r="AU800" s="5" t="s">
        <v>93</v>
      </c>
      <c r="AV800" s="5" t="s">
        <v>1889</v>
      </c>
      <c r="AW800" s="5" t="s">
        <v>2026</v>
      </c>
      <c r="AX800" s="5" t="s">
        <v>232</v>
      </c>
      <c r="AY800" s="5" t="s">
        <v>125</v>
      </c>
      <c r="AZ800" s="5" t="s">
        <v>75</v>
      </c>
      <c r="BA800" s="5" t="s">
        <v>76</v>
      </c>
      <c r="BB800" s="12" t="s">
        <v>76</v>
      </c>
      <c r="BC800" s="5" t="s">
        <v>1635</v>
      </c>
      <c r="BD800" s="5" t="s">
        <v>89</v>
      </c>
      <c r="BE800" s="5" t="s">
        <v>76</v>
      </c>
      <c r="BF800" s="5" t="s">
        <v>76</v>
      </c>
      <c r="BG800" s="15">
        <v>37</v>
      </c>
      <c r="BH800" s="5" t="s">
        <v>222</v>
      </c>
      <c r="BI800" s="5" t="s">
        <v>222</v>
      </c>
      <c r="BJ800" s="5" t="s">
        <v>193</v>
      </c>
      <c r="BK800" s="5" t="s">
        <v>759</v>
      </c>
      <c r="BL800" s="5" t="s">
        <v>772</v>
      </c>
      <c r="BM800" s="5" t="s">
        <v>207</v>
      </c>
      <c r="BN800" s="5">
        <v>158</v>
      </c>
      <c r="BO800" s="5">
        <f t="shared" si="12"/>
        <v>27.2392244832559</v>
      </c>
      <c r="BP800" s="5" t="s">
        <v>542</v>
      </c>
      <c r="BQ800" s="5" t="s">
        <v>76</v>
      </c>
      <c r="BR800" s="5" t="s">
        <v>118</v>
      </c>
    </row>
    <row r="801" s="1" customFormat="1" spans="1:70">
      <c r="A801" s="1">
        <v>3312536</v>
      </c>
      <c r="B801" s="1" t="s">
        <v>2027</v>
      </c>
      <c r="D801" s="4">
        <v>45007</v>
      </c>
      <c r="E801" s="4">
        <v>45023</v>
      </c>
      <c r="F801" s="7">
        <v>19943</v>
      </c>
      <c r="G801" s="1">
        <v>42</v>
      </c>
      <c r="H801" s="1">
        <v>9</v>
      </c>
      <c r="I801" s="1">
        <v>59</v>
      </c>
      <c r="J801" s="1">
        <v>9</v>
      </c>
      <c r="K801" s="1">
        <v>45</v>
      </c>
      <c r="L801" s="1">
        <v>23</v>
      </c>
      <c r="M801" s="1">
        <v>0.65</v>
      </c>
      <c r="N801" s="1">
        <v>18.5</v>
      </c>
      <c r="O801" s="7">
        <v>19943</v>
      </c>
      <c r="P801" s="4">
        <v>45007</v>
      </c>
      <c r="Q801" s="4">
        <v>45023</v>
      </c>
      <c r="R801" s="1" t="s">
        <v>80</v>
      </c>
      <c r="AO801" s="7">
        <v>19943</v>
      </c>
      <c r="AP801" s="5">
        <v>9.1</v>
      </c>
      <c r="AQ801" s="5">
        <v>139</v>
      </c>
      <c r="AR801" s="5">
        <v>44.2</v>
      </c>
      <c r="AS801" s="5">
        <v>41.8</v>
      </c>
      <c r="AT801" s="5">
        <v>78</v>
      </c>
      <c r="AU801" s="5">
        <v>41</v>
      </c>
      <c r="AV801" s="5">
        <v>35.4</v>
      </c>
      <c r="AW801" s="5">
        <v>7.9</v>
      </c>
      <c r="AX801" s="5">
        <v>95</v>
      </c>
      <c r="AY801" s="5">
        <v>72.69</v>
      </c>
      <c r="AZ801" s="5" t="s">
        <v>375</v>
      </c>
      <c r="BA801" s="5">
        <v>5.37</v>
      </c>
      <c r="BB801" s="12" t="s">
        <v>76</v>
      </c>
      <c r="BC801" s="5">
        <v>5.78</v>
      </c>
      <c r="BD801" s="5">
        <v>139</v>
      </c>
      <c r="BE801" s="5">
        <v>0.84</v>
      </c>
      <c r="BF801" s="5">
        <v>3.53</v>
      </c>
      <c r="BG801" s="15">
        <v>36.5</v>
      </c>
      <c r="BH801" s="5">
        <v>93</v>
      </c>
      <c r="BI801" s="5">
        <v>93</v>
      </c>
      <c r="BJ801" s="5">
        <v>18</v>
      </c>
      <c r="BK801" s="5">
        <v>158</v>
      </c>
      <c r="BL801" s="5">
        <v>82</v>
      </c>
      <c r="BM801" s="5">
        <v>70</v>
      </c>
      <c r="BN801" s="5">
        <v>165</v>
      </c>
      <c r="BO801" s="5">
        <f t="shared" si="12"/>
        <v>25.7116620752984</v>
      </c>
      <c r="BP801" s="5" t="s">
        <v>963</v>
      </c>
      <c r="BQ801" s="5">
        <v>9.1</v>
      </c>
      <c r="BR801" s="5">
        <v>9225</v>
      </c>
    </row>
    <row r="802" s="1" customFormat="1" spans="1:70">
      <c r="A802" s="1">
        <v>3504260</v>
      </c>
      <c r="B802" s="1" t="s">
        <v>2028</v>
      </c>
      <c r="D802" s="4">
        <v>45272</v>
      </c>
      <c r="E802" s="4">
        <v>45278</v>
      </c>
      <c r="F802" s="7">
        <v>19952</v>
      </c>
      <c r="G802" s="1">
        <v>32</v>
      </c>
      <c r="H802" s="1">
        <v>9</v>
      </c>
      <c r="I802" s="1">
        <v>52</v>
      </c>
      <c r="J802" s="1">
        <v>9</v>
      </c>
      <c r="K802" s="1">
        <v>57</v>
      </c>
      <c r="L802" s="1">
        <v>30</v>
      </c>
      <c r="M802" s="1">
        <v>0.79</v>
      </c>
      <c r="N802" s="1">
        <v>9.9</v>
      </c>
      <c r="O802" s="7">
        <v>19952</v>
      </c>
      <c r="P802" s="4">
        <v>45272</v>
      </c>
      <c r="Q802" s="4">
        <v>45278</v>
      </c>
      <c r="R802" s="1" t="s">
        <v>80</v>
      </c>
      <c r="AO802" s="7">
        <v>19952</v>
      </c>
      <c r="AP802" s="5">
        <v>7.4</v>
      </c>
      <c r="AQ802" s="5">
        <v>137</v>
      </c>
      <c r="AR802" s="5">
        <v>40.1</v>
      </c>
      <c r="AS802" s="5" t="s">
        <v>81</v>
      </c>
      <c r="AT802" s="5">
        <v>15</v>
      </c>
      <c r="AU802" s="5">
        <v>16</v>
      </c>
      <c r="AV802" s="5">
        <v>46.9</v>
      </c>
      <c r="AW802" s="5">
        <v>4.79</v>
      </c>
      <c r="AX802" s="5">
        <v>56</v>
      </c>
      <c r="AY802" s="5" t="s">
        <v>125</v>
      </c>
      <c r="AZ802" s="5" t="s">
        <v>75</v>
      </c>
      <c r="BA802" s="5" t="s">
        <v>76</v>
      </c>
      <c r="BB802" s="12" t="s">
        <v>76</v>
      </c>
      <c r="BC802" s="5">
        <v>4.22</v>
      </c>
      <c r="BD802" s="5">
        <v>137</v>
      </c>
      <c r="BE802" s="5" t="s">
        <v>76</v>
      </c>
      <c r="BF802" s="5" t="s">
        <v>76</v>
      </c>
      <c r="BG802" s="15">
        <v>36</v>
      </c>
      <c r="BH802" s="5">
        <v>50</v>
      </c>
      <c r="BI802" s="5">
        <v>52</v>
      </c>
      <c r="BJ802" s="5">
        <v>18</v>
      </c>
      <c r="BK802" s="5">
        <v>126</v>
      </c>
      <c r="BL802" s="5">
        <v>74</v>
      </c>
      <c r="BM802" s="5">
        <v>66</v>
      </c>
      <c r="BN802" s="5">
        <v>164</v>
      </c>
      <c r="BO802" s="5">
        <f t="shared" si="12"/>
        <v>24.5389649018441</v>
      </c>
      <c r="BP802" s="5" t="s">
        <v>109</v>
      </c>
      <c r="BQ802" s="5" t="s">
        <v>76</v>
      </c>
      <c r="BR802" s="5">
        <v>1610</v>
      </c>
    </row>
    <row r="803" s="1" customFormat="1" spans="1:70">
      <c r="A803" s="1">
        <v>3293932</v>
      </c>
      <c r="B803" s="1" t="s">
        <v>2029</v>
      </c>
      <c r="D803" s="4">
        <v>44983</v>
      </c>
      <c r="E803" s="4">
        <v>44991</v>
      </c>
      <c r="F803" s="7">
        <v>19957</v>
      </c>
      <c r="G803" s="1">
        <v>40</v>
      </c>
      <c r="H803" s="1">
        <v>8</v>
      </c>
      <c r="I803" s="1">
        <v>55</v>
      </c>
      <c r="J803" s="1">
        <v>8</v>
      </c>
      <c r="K803" s="1">
        <v>35</v>
      </c>
      <c r="M803" s="1">
        <v>1.04</v>
      </c>
      <c r="N803" s="1">
        <v>16.2</v>
      </c>
      <c r="O803" s="7">
        <v>19957</v>
      </c>
      <c r="P803" s="4">
        <v>44983</v>
      </c>
      <c r="Q803" s="4">
        <v>44991</v>
      </c>
      <c r="R803" s="1" t="s">
        <v>73</v>
      </c>
      <c r="AO803" s="7">
        <v>19957</v>
      </c>
      <c r="AP803" s="5">
        <v>53.3</v>
      </c>
      <c r="AQ803" s="5">
        <v>120</v>
      </c>
      <c r="AR803" s="5">
        <v>39.3</v>
      </c>
      <c r="AS803" s="5">
        <v>59.9</v>
      </c>
      <c r="AT803" s="5">
        <v>36</v>
      </c>
      <c r="AU803" s="5">
        <v>23</v>
      </c>
      <c r="AV803" s="5">
        <v>35.2</v>
      </c>
      <c r="AW803" s="5">
        <v>7.9</v>
      </c>
      <c r="AX803" s="5">
        <v>89</v>
      </c>
      <c r="AY803" s="5">
        <v>66.73</v>
      </c>
      <c r="AZ803" s="5" t="s">
        <v>804</v>
      </c>
      <c r="BA803" s="5">
        <v>2.15</v>
      </c>
      <c r="BB803" s="12" t="s">
        <v>76</v>
      </c>
      <c r="BC803" s="5">
        <v>4.19</v>
      </c>
      <c r="BD803" s="5">
        <v>120</v>
      </c>
      <c r="BE803" s="5">
        <v>0.86</v>
      </c>
      <c r="BF803" s="5">
        <v>0.99</v>
      </c>
      <c r="BG803" s="15">
        <v>36.4</v>
      </c>
      <c r="BH803" s="5">
        <v>85</v>
      </c>
      <c r="BI803" s="5">
        <v>85</v>
      </c>
      <c r="BJ803" s="5">
        <v>18</v>
      </c>
      <c r="BK803" s="5">
        <v>136</v>
      </c>
      <c r="BL803" s="5">
        <v>86</v>
      </c>
      <c r="BM803" s="5">
        <v>55</v>
      </c>
      <c r="BN803" s="5">
        <v>150</v>
      </c>
      <c r="BO803" s="5">
        <f t="shared" si="12"/>
        <v>24.4444444444444</v>
      </c>
      <c r="BP803" s="5" t="s">
        <v>156</v>
      </c>
      <c r="BQ803" s="5" t="s">
        <v>76</v>
      </c>
      <c r="BR803" s="5" t="s">
        <v>118</v>
      </c>
    </row>
    <row r="804" s="1" customFormat="1" spans="1:70">
      <c r="A804" s="1">
        <v>3284529</v>
      </c>
      <c r="B804" s="1" t="s">
        <v>2030</v>
      </c>
      <c r="D804" s="4">
        <v>44970</v>
      </c>
      <c r="E804" s="4">
        <v>44973</v>
      </c>
      <c r="F804" s="7">
        <v>19963</v>
      </c>
      <c r="G804" s="1">
        <v>45</v>
      </c>
      <c r="H804" s="1">
        <v>8</v>
      </c>
      <c r="I804" s="1">
        <v>49</v>
      </c>
      <c r="J804" s="1">
        <v>8</v>
      </c>
      <c r="K804" s="1">
        <v>65</v>
      </c>
      <c r="L804" s="1">
        <v>36</v>
      </c>
      <c r="N804" s="1">
        <v>15</v>
      </c>
      <c r="O804" s="7">
        <v>19963</v>
      </c>
      <c r="P804" s="4">
        <v>44970</v>
      </c>
      <c r="Q804" s="4">
        <v>44973</v>
      </c>
      <c r="R804" s="1" t="s">
        <v>80</v>
      </c>
      <c r="AO804" s="7">
        <v>19963</v>
      </c>
      <c r="AP804" s="5">
        <v>6.3</v>
      </c>
      <c r="AQ804" s="5">
        <v>159</v>
      </c>
      <c r="AR804" s="5">
        <v>46.7</v>
      </c>
      <c r="AS804" s="5" t="s">
        <v>81</v>
      </c>
      <c r="AT804" s="5">
        <v>19</v>
      </c>
      <c r="AU804" s="5">
        <v>21</v>
      </c>
      <c r="AV804" s="5">
        <v>44.5</v>
      </c>
      <c r="AW804" s="5">
        <v>4.23</v>
      </c>
      <c r="AX804" s="5">
        <v>64</v>
      </c>
      <c r="AY804" s="5">
        <v>114.67</v>
      </c>
      <c r="AZ804" s="5">
        <v>4.98</v>
      </c>
      <c r="BA804" s="5" t="s">
        <v>76</v>
      </c>
      <c r="BB804" s="12" t="s">
        <v>76</v>
      </c>
      <c r="BC804" s="5">
        <v>4.11</v>
      </c>
      <c r="BD804" s="5">
        <v>159</v>
      </c>
      <c r="BE804" s="5" t="s">
        <v>76</v>
      </c>
      <c r="BF804" s="5" t="s">
        <v>76</v>
      </c>
      <c r="BG804" s="15">
        <v>36.6</v>
      </c>
      <c r="BH804" s="5">
        <v>70</v>
      </c>
      <c r="BI804" s="5">
        <v>80</v>
      </c>
      <c r="BJ804" s="5">
        <v>17</v>
      </c>
      <c r="BK804" s="5">
        <v>155</v>
      </c>
      <c r="BL804" s="5">
        <v>111</v>
      </c>
      <c r="BM804" s="5">
        <v>85</v>
      </c>
      <c r="BN804" s="5">
        <v>172</v>
      </c>
      <c r="BO804" s="5">
        <f t="shared" si="12"/>
        <v>28.7317468902109</v>
      </c>
      <c r="BP804" s="5" t="s">
        <v>78</v>
      </c>
      <c r="BQ804" s="5">
        <v>6.5</v>
      </c>
      <c r="BR804" s="5">
        <v>925</v>
      </c>
    </row>
    <row r="805" s="1" customFormat="1" spans="1:70">
      <c r="A805" s="1">
        <v>3306544</v>
      </c>
      <c r="B805" s="1" t="s">
        <v>2031</v>
      </c>
      <c r="D805" s="4">
        <v>44999</v>
      </c>
      <c r="E805" s="4">
        <v>45009</v>
      </c>
      <c r="F805" s="7">
        <v>19966</v>
      </c>
      <c r="G805" s="1">
        <v>42</v>
      </c>
      <c r="H805" s="1">
        <v>10</v>
      </c>
      <c r="I805" s="1">
        <v>47</v>
      </c>
      <c r="J805" s="1">
        <v>9</v>
      </c>
      <c r="K805" s="1">
        <v>57</v>
      </c>
      <c r="L805" s="1">
        <v>30</v>
      </c>
      <c r="N805" s="1">
        <v>18.2</v>
      </c>
      <c r="O805" s="7">
        <v>19966</v>
      </c>
      <c r="P805" s="4">
        <v>44999</v>
      </c>
      <c r="Q805" s="4">
        <v>45009</v>
      </c>
      <c r="R805" s="1" t="s">
        <v>73</v>
      </c>
      <c r="AO805" s="7">
        <v>19966</v>
      </c>
      <c r="AP805" s="5">
        <v>4</v>
      </c>
      <c r="AQ805" s="5">
        <v>162</v>
      </c>
      <c r="AR805" s="5">
        <v>49.3</v>
      </c>
      <c r="AS805" s="5">
        <v>42.7</v>
      </c>
      <c r="AT805" s="5">
        <v>27</v>
      </c>
      <c r="AU805" s="5">
        <v>26</v>
      </c>
      <c r="AV805" s="5">
        <v>38.3</v>
      </c>
      <c r="AW805" s="5">
        <v>7.77</v>
      </c>
      <c r="AX805" s="5">
        <v>54</v>
      </c>
      <c r="AY805" s="5">
        <v>103.51</v>
      </c>
      <c r="AZ805" s="5" t="s">
        <v>375</v>
      </c>
      <c r="BA805" s="5">
        <v>5.81</v>
      </c>
      <c r="BB805" s="12" t="s">
        <v>76</v>
      </c>
      <c r="BC805" s="5">
        <v>4.89</v>
      </c>
      <c r="BD805" s="5">
        <v>162</v>
      </c>
      <c r="BE805" s="5">
        <v>1.15</v>
      </c>
      <c r="BF805" s="5">
        <v>4.15</v>
      </c>
      <c r="BG805" s="15">
        <v>36.5</v>
      </c>
      <c r="BH805" s="5">
        <v>104</v>
      </c>
      <c r="BI805" s="5">
        <v>122</v>
      </c>
      <c r="BJ805" s="5">
        <v>20</v>
      </c>
      <c r="BK805" s="5">
        <v>133</v>
      </c>
      <c r="BL805" s="5">
        <v>99</v>
      </c>
      <c r="BM805" s="5">
        <v>59</v>
      </c>
      <c r="BN805" s="5">
        <v>156</v>
      </c>
      <c r="BO805" s="5">
        <f t="shared" si="12"/>
        <v>24.2439184746877</v>
      </c>
      <c r="BP805" s="5" t="s">
        <v>78</v>
      </c>
      <c r="BQ805" s="5">
        <v>9.6</v>
      </c>
      <c r="BR805" s="5">
        <v>2343</v>
      </c>
    </row>
    <row r="806" s="1" customFormat="1" spans="1:70">
      <c r="A806" s="1">
        <v>3264984</v>
      </c>
      <c r="B806" s="1" t="s">
        <v>2032</v>
      </c>
      <c r="D806" s="4">
        <v>44936</v>
      </c>
      <c r="E806" s="4">
        <v>44946</v>
      </c>
      <c r="F806" s="7">
        <v>19969</v>
      </c>
      <c r="G806" s="1">
        <v>37</v>
      </c>
      <c r="H806" s="1">
        <v>10</v>
      </c>
      <c r="I806" s="1">
        <v>47</v>
      </c>
      <c r="J806" s="1">
        <v>9</v>
      </c>
      <c r="K806" s="1">
        <v>65</v>
      </c>
      <c r="L806" s="1">
        <v>36</v>
      </c>
      <c r="M806" s="1">
        <v>0.79</v>
      </c>
      <c r="N806" s="1">
        <v>8.9</v>
      </c>
      <c r="O806" s="7">
        <v>19969</v>
      </c>
      <c r="P806" s="4">
        <v>44936</v>
      </c>
      <c r="Q806" s="4">
        <v>44946</v>
      </c>
      <c r="R806" s="1" t="s">
        <v>80</v>
      </c>
      <c r="AO806" s="7">
        <v>19969</v>
      </c>
      <c r="AP806" s="5">
        <v>6.2</v>
      </c>
      <c r="AQ806" s="5">
        <v>99</v>
      </c>
      <c r="AR806" s="5">
        <v>36.2</v>
      </c>
      <c r="AS806" s="5">
        <v>6.9</v>
      </c>
      <c r="AT806" s="5">
        <v>13</v>
      </c>
      <c r="AU806" s="5">
        <v>7</v>
      </c>
      <c r="AV806" s="5">
        <v>31.5</v>
      </c>
      <c r="AW806" s="5">
        <v>5.99</v>
      </c>
      <c r="AX806" s="5">
        <v>49</v>
      </c>
      <c r="AY806" s="5" t="s">
        <v>125</v>
      </c>
      <c r="AZ806" s="5" t="s">
        <v>75</v>
      </c>
      <c r="BA806" s="5" t="s">
        <v>76</v>
      </c>
      <c r="BB806" s="12" t="s">
        <v>76</v>
      </c>
      <c r="BC806" s="5">
        <v>3.8</v>
      </c>
      <c r="BD806" s="5">
        <v>99</v>
      </c>
      <c r="BE806" s="5" t="s">
        <v>76</v>
      </c>
      <c r="BF806" s="5" t="s">
        <v>76</v>
      </c>
      <c r="BG806" s="15">
        <v>36.5</v>
      </c>
      <c r="BH806" s="5" t="s">
        <v>76</v>
      </c>
      <c r="BI806" s="5">
        <v>60</v>
      </c>
      <c r="BJ806" s="5">
        <v>18</v>
      </c>
      <c r="BK806" s="5">
        <v>106</v>
      </c>
      <c r="BL806" s="5">
        <v>64</v>
      </c>
      <c r="BM806" s="5">
        <v>60</v>
      </c>
      <c r="BN806" s="5">
        <v>170</v>
      </c>
      <c r="BO806" s="5">
        <f t="shared" si="12"/>
        <v>20.7612456747405</v>
      </c>
      <c r="BP806" s="5" t="s">
        <v>168</v>
      </c>
      <c r="BQ806" s="5">
        <v>5.5</v>
      </c>
      <c r="BR806" s="5">
        <v>1792</v>
      </c>
    </row>
    <row r="807" s="1" customFormat="1" spans="1:70">
      <c r="A807" s="1">
        <v>3308404</v>
      </c>
      <c r="B807" s="1" t="s">
        <v>2033</v>
      </c>
      <c r="D807" s="4">
        <v>45001</v>
      </c>
      <c r="E807" s="4">
        <v>45006</v>
      </c>
      <c r="F807" s="7">
        <v>19975</v>
      </c>
      <c r="G807" s="1">
        <v>39</v>
      </c>
      <c r="H807" s="1">
        <v>8</v>
      </c>
      <c r="I807" s="1">
        <v>48</v>
      </c>
      <c r="J807" s="1">
        <v>8</v>
      </c>
      <c r="K807" s="1">
        <v>61</v>
      </c>
      <c r="L807" s="1">
        <v>33</v>
      </c>
      <c r="M807" s="1">
        <v>0.53</v>
      </c>
      <c r="N807" s="1">
        <v>9.7</v>
      </c>
      <c r="O807" s="7">
        <v>19975</v>
      </c>
      <c r="P807" s="4">
        <v>45001</v>
      </c>
      <c r="Q807" s="4">
        <v>45006</v>
      </c>
      <c r="R807" s="1" t="s">
        <v>73</v>
      </c>
      <c r="AO807" s="7">
        <v>19975</v>
      </c>
      <c r="AP807" s="5">
        <v>6.7</v>
      </c>
      <c r="AQ807" s="5">
        <v>118</v>
      </c>
      <c r="AR807" s="5">
        <v>38.2</v>
      </c>
      <c r="AS807" s="5" t="s">
        <v>81</v>
      </c>
      <c r="AT807" s="5">
        <v>29</v>
      </c>
      <c r="AU807" s="5">
        <v>22</v>
      </c>
      <c r="AV807" s="5">
        <v>39.8</v>
      </c>
      <c r="AW807" s="5">
        <v>6.36</v>
      </c>
      <c r="AX807" s="5">
        <v>49</v>
      </c>
      <c r="AY807" s="5" t="s">
        <v>125</v>
      </c>
      <c r="AZ807" s="5">
        <v>5.2</v>
      </c>
      <c r="BA807" s="5">
        <v>5.93</v>
      </c>
      <c r="BB807" s="12" t="s">
        <v>76</v>
      </c>
      <c r="BC807" s="5">
        <v>4.3</v>
      </c>
      <c r="BD807" s="5">
        <v>118</v>
      </c>
      <c r="BE807" s="5">
        <v>1.43</v>
      </c>
      <c r="BF807" s="5">
        <v>3.61</v>
      </c>
      <c r="BG807" s="15">
        <v>36.5</v>
      </c>
      <c r="BH807" s="5">
        <v>55</v>
      </c>
      <c r="BI807" s="5">
        <v>55</v>
      </c>
      <c r="BJ807" s="5">
        <v>16</v>
      </c>
      <c r="BK807" s="5">
        <v>124</v>
      </c>
      <c r="BL807" s="5">
        <v>49</v>
      </c>
      <c r="BM807" s="5">
        <v>50</v>
      </c>
      <c r="BN807" s="5">
        <v>157</v>
      </c>
      <c r="BO807" s="5">
        <f t="shared" si="12"/>
        <v>20.2847985719502</v>
      </c>
      <c r="BP807" s="5" t="s">
        <v>323</v>
      </c>
      <c r="BQ807" s="5">
        <v>5.5</v>
      </c>
      <c r="BR807" s="5">
        <v>964</v>
      </c>
    </row>
    <row r="808" s="1" customFormat="1" spans="1:70">
      <c r="A808" s="1" t="s">
        <v>2034</v>
      </c>
      <c r="B808" s="1" t="s">
        <v>2035</v>
      </c>
      <c r="D808" s="4">
        <v>45013</v>
      </c>
      <c r="E808" s="4">
        <v>45036</v>
      </c>
      <c r="F808" s="7">
        <v>19977</v>
      </c>
      <c r="G808" s="1">
        <v>35</v>
      </c>
      <c r="I808" s="1">
        <v>36</v>
      </c>
      <c r="K808" s="1">
        <v>56</v>
      </c>
      <c r="L808" s="1">
        <v>29</v>
      </c>
      <c r="M808" s="1">
        <v>1.33</v>
      </c>
      <c r="N808" s="1">
        <v>11.6</v>
      </c>
      <c r="O808" s="7">
        <v>19977</v>
      </c>
      <c r="P808" s="4">
        <v>45013</v>
      </c>
      <c r="Q808" s="4">
        <v>45036</v>
      </c>
      <c r="R808" s="1" t="s">
        <v>80</v>
      </c>
      <c r="AO808" s="7">
        <v>19977</v>
      </c>
      <c r="AP808" s="5" t="s">
        <v>1353</v>
      </c>
      <c r="AQ808" s="5" t="s">
        <v>138</v>
      </c>
      <c r="AR808" s="5" t="s">
        <v>1044</v>
      </c>
      <c r="AS808" s="5" t="s">
        <v>2036</v>
      </c>
      <c r="AT808" s="5" t="s">
        <v>101</v>
      </c>
      <c r="AU808" s="5" t="s">
        <v>319</v>
      </c>
      <c r="AV808" s="5" t="s">
        <v>446</v>
      </c>
      <c r="AW808" s="5" t="s">
        <v>2037</v>
      </c>
      <c r="AX808" s="5" t="s">
        <v>2038</v>
      </c>
      <c r="AY808" s="5" t="s">
        <v>2039</v>
      </c>
      <c r="AZ808" s="5" t="s">
        <v>198</v>
      </c>
      <c r="BA808" s="5" t="s">
        <v>1984</v>
      </c>
      <c r="BB808" s="12" t="s">
        <v>76</v>
      </c>
      <c r="BC808" s="5" t="s">
        <v>4</v>
      </c>
      <c r="BD808" s="5" t="s">
        <v>138</v>
      </c>
      <c r="BE808" s="5" t="s">
        <v>1789</v>
      </c>
      <c r="BF808" s="5" t="s">
        <v>2040</v>
      </c>
      <c r="BG808" s="15">
        <v>36.5</v>
      </c>
      <c r="BH808" s="5" t="s">
        <v>483</v>
      </c>
      <c r="BI808" s="5" t="s">
        <v>483</v>
      </c>
      <c r="BJ808" s="5" t="s">
        <v>193</v>
      </c>
      <c r="BK808" s="5" t="s">
        <v>1377</v>
      </c>
      <c r="BL808" s="5" t="s">
        <v>137</v>
      </c>
      <c r="BM808" s="5" t="s">
        <v>422</v>
      </c>
      <c r="BN808" s="5">
        <v>165</v>
      </c>
      <c r="BO808" s="5">
        <f t="shared" si="12"/>
        <v>16.5289256198347</v>
      </c>
      <c r="BP808" s="5" t="s">
        <v>2041</v>
      </c>
      <c r="BQ808" s="5" t="s">
        <v>76</v>
      </c>
      <c r="BR808" s="5">
        <v>28004</v>
      </c>
    </row>
    <row r="809" s="1" customFormat="1" spans="1:70">
      <c r="A809" s="1">
        <v>3313263</v>
      </c>
      <c r="B809" s="1" t="s">
        <v>2042</v>
      </c>
      <c r="D809" s="4">
        <v>45012</v>
      </c>
      <c r="E809" s="4">
        <v>45019</v>
      </c>
      <c r="F809" s="7">
        <v>19983</v>
      </c>
      <c r="G809" s="1">
        <v>38</v>
      </c>
      <c r="H809" s="1">
        <v>9</v>
      </c>
      <c r="I809" s="1">
        <v>51</v>
      </c>
      <c r="J809" s="1">
        <v>9</v>
      </c>
      <c r="K809" s="1">
        <v>63</v>
      </c>
      <c r="L809" s="1">
        <v>34</v>
      </c>
      <c r="M809" s="1">
        <v>0.66</v>
      </c>
      <c r="N809" s="1">
        <v>17.2</v>
      </c>
      <c r="O809" s="7">
        <v>19983</v>
      </c>
      <c r="P809" s="4">
        <v>45012</v>
      </c>
      <c r="Q809" s="4">
        <v>45019</v>
      </c>
      <c r="R809" s="1" t="s">
        <v>73</v>
      </c>
      <c r="AO809" s="7">
        <v>19983</v>
      </c>
      <c r="AP809" s="5">
        <v>11.8</v>
      </c>
      <c r="AQ809" s="5">
        <v>65</v>
      </c>
      <c r="AR809" s="5">
        <v>20.1</v>
      </c>
      <c r="AS809" s="5">
        <v>105.4</v>
      </c>
      <c r="AT809" s="5">
        <v>7</v>
      </c>
      <c r="AU809" s="5" t="s">
        <v>171</v>
      </c>
      <c r="AV809" s="5">
        <v>29</v>
      </c>
      <c r="AW809" s="5">
        <v>18.17</v>
      </c>
      <c r="AX809" s="5">
        <v>187</v>
      </c>
      <c r="AY809" s="5">
        <v>24.69</v>
      </c>
      <c r="AZ809" s="5">
        <v>13.64</v>
      </c>
      <c r="BA809" s="5">
        <v>2.97</v>
      </c>
      <c r="BB809" s="12" t="s">
        <v>76</v>
      </c>
      <c r="BC809" s="5">
        <v>4.5</v>
      </c>
      <c r="BD809" s="5">
        <v>65</v>
      </c>
      <c r="BE809" s="5">
        <v>1.35</v>
      </c>
      <c r="BF809" s="5">
        <v>1.2</v>
      </c>
      <c r="BG809" s="15">
        <v>36.6</v>
      </c>
      <c r="BH809" s="5">
        <v>94</v>
      </c>
      <c r="BI809" s="5">
        <v>94</v>
      </c>
      <c r="BJ809" s="5">
        <v>18</v>
      </c>
      <c r="BK809" s="5">
        <v>173</v>
      </c>
      <c r="BL809" s="5">
        <v>84</v>
      </c>
      <c r="BM809" s="5">
        <v>55</v>
      </c>
      <c r="BN809" s="5">
        <v>170</v>
      </c>
      <c r="BO809" s="5">
        <f t="shared" si="12"/>
        <v>19.0311418685121</v>
      </c>
      <c r="BP809" s="5" t="s">
        <v>415</v>
      </c>
      <c r="BQ809" s="5">
        <v>8</v>
      </c>
      <c r="BR809" s="5">
        <v>9787</v>
      </c>
    </row>
    <row r="810" s="1" customFormat="1" spans="1:70">
      <c r="A810" s="1">
        <v>3500649</v>
      </c>
      <c r="B810" s="1" t="s">
        <v>2043</v>
      </c>
      <c r="D810" s="4">
        <v>45267</v>
      </c>
      <c r="E810" s="4">
        <v>45273</v>
      </c>
      <c r="F810" s="7">
        <v>19998</v>
      </c>
      <c r="G810" s="1">
        <v>39</v>
      </c>
      <c r="H810" s="1">
        <v>10</v>
      </c>
      <c r="I810" s="1">
        <v>51</v>
      </c>
      <c r="J810" s="1">
        <v>10</v>
      </c>
      <c r="K810" s="1">
        <v>58</v>
      </c>
      <c r="L810" s="1">
        <v>31</v>
      </c>
      <c r="M810" s="1">
        <v>0.74</v>
      </c>
      <c r="N810" s="1">
        <v>11.3</v>
      </c>
      <c r="O810" s="7">
        <v>19998</v>
      </c>
      <c r="P810" s="4">
        <v>45267</v>
      </c>
      <c r="Q810" s="4">
        <v>45273</v>
      </c>
      <c r="R810" s="1" t="s">
        <v>80</v>
      </c>
      <c r="AO810" s="7">
        <v>19998</v>
      </c>
      <c r="AP810" s="5">
        <v>8.5</v>
      </c>
      <c r="AQ810" s="5">
        <v>125</v>
      </c>
      <c r="AR810" s="5">
        <v>40</v>
      </c>
      <c r="AS810" s="5">
        <v>129.2</v>
      </c>
      <c r="AT810" s="5">
        <v>23</v>
      </c>
      <c r="AU810" s="5">
        <v>14</v>
      </c>
      <c r="AV810" s="5">
        <v>40</v>
      </c>
      <c r="AW810" s="5">
        <v>7.34</v>
      </c>
      <c r="AX810" s="5">
        <v>56</v>
      </c>
      <c r="AY810" s="5" t="s">
        <v>125</v>
      </c>
      <c r="AZ810" s="5">
        <v>13.6</v>
      </c>
      <c r="BA810" s="5" t="s">
        <v>76</v>
      </c>
      <c r="BB810" s="12" t="s">
        <v>76</v>
      </c>
      <c r="BC810" s="5">
        <v>3.73</v>
      </c>
      <c r="BD810" s="5">
        <v>125</v>
      </c>
      <c r="BE810" s="5" t="s">
        <v>76</v>
      </c>
      <c r="BF810" s="5" t="s">
        <v>76</v>
      </c>
      <c r="BG810" s="15">
        <v>36.2</v>
      </c>
      <c r="BH810" s="5">
        <v>103</v>
      </c>
      <c r="BI810" s="5">
        <v>103</v>
      </c>
      <c r="BJ810" s="5">
        <v>18</v>
      </c>
      <c r="BK810" s="5">
        <v>164</v>
      </c>
      <c r="BL810" s="5">
        <v>92</v>
      </c>
      <c r="BM810" s="5" t="s">
        <v>274</v>
      </c>
      <c r="BN810" s="5" t="s">
        <v>274</v>
      </c>
      <c r="BO810" s="5" t="e">
        <f t="shared" si="12"/>
        <v>#VALUE!</v>
      </c>
      <c r="BP810" s="5" t="s">
        <v>109</v>
      </c>
      <c r="BQ810" s="5" t="s">
        <v>76</v>
      </c>
      <c r="BR810" s="5">
        <v>2445</v>
      </c>
    </row>
    <row r="811" s="1" customFormat="1" spans="1:70">
      <c r="A811" s="1">
        <v>3299029</v>
      </c>
      <c r="B811" s="1" t="s">
        <v>2044</v>
      </c>
      <c r="D811" s="4">
        <v>44989</v>
      </c>
      <c r="E811" s="4">
        <v>44999</v>
      </c>
      <c r="F811" s="7">
        <v>20011</v>
      </c>
      <c r="G811" s="1">
        <v>53</v>
      </c>
      <c r="H811" s="1">
        <v>10</v>
      </c>
      <c r="I811" s="1">
        <v>60</v>
      </c>
      <c r="J811" s="1">
        <v>9</v>
      </c>
      <c r="K811" s="1">
        <v>40</v>
      </c>
      <c r="L811" s="1">
        <v>20</v>
      </c>
      <c r="M811" s="1">
        <v>1.85</v>
      </c>
      <c r="N811" s="1">
        <v>5.7</v>
      </c>
      <c r="O811" s="7">
        <v>20011</v>
      </c>
      <c r="P811" s="4">
        <v>44989</v>
      </c>
      <c r="Q811" s="4">
        <v>44999</v>
      </c>
      <c r="R811" s="1" t="s">
        <v>80</v>
      </c>
      <c r="AO811" s="7">
        <v>20011</v>
      </c>
      <c r="AP811" s="5">
        <v>9.4</v>
      </c>
      <c r="AQ811" s="5">
        <v>173</v>
      </c>
      <c r="AR811" s="5">
        <v>53</v>
      </c>
      <c r="AS811" s="5" t="s">
        <v>81</v>
      </c>
      <c r="AT811" s="5">
        <v>47</v>
      </c>
      <c r="AU811" s="5">
        <v>40</v>
      </c>
      <c r="AV811" s="5">
        <v>42.6</v>
      </c>
      <c r="AW811" s="5">
        <v>9.98</v>
      </c>
      <c r="AX811" s="5">
        <v>96</v>
      </c>
      <c r="AY811" s="5">
        <v>80.46</v>
      </c>
      <c r="AZ811" s="5" t="s">
        <v>75</v>
      </c>
      <c r="BA811" s="5">
        <v>5.45</v>
      </c>
      <c r="BB811" s="12" t="s">
        <v>76</v>
      </c>
      <c r="BC811" s="5">
        <v>4.35</v>
      </c>
      <c r="BD811" s="5">
        <v>173</v>
      </c>
      <c r="BE811" s="5">
        <v>1.15</v>
      </c>
      <c r="BF811" s="5">
        <v>3.93</v>
      </c>
      <c r="BG811" s="15">
        <v>36.2</v>
      </c>
      <c r="BH811" s="5">
        <v>89</v>
      </c>
      <c r="BI811" s="5">
        <v>105</v>
      </c>
      <c r="BJ811" s="5">
        <v>19</v>
      </c>
      <c r="BK811" s="5">
        <v>117</v>
      </c>
      <c r="BL811" s="5">
        <v>88</v>
      </c>
      <c r="BM811" s="5">
        <v>65</v>
      </c>
      <c r="BN811" s="5">
        <v>168</v>
      </c>
      <c r="BO811" s="5">
        <f t="shared" si="12"/>
        <v>23.0300453514739</v>
      </c>
      <c r="BP811" s="5" t="s">
        <v>323</v>
      </c>
      <c r="BQ811" s="5">
        <v>6</v>
      </c>
      <c r="BR811" s="5">
        <v>942</v>
      </c>
    </row>
    <row r="812" s="1" customFormat="1" spans="1:70">
      <c r="A812" s="1">
        <v>3296162</v>
      </c>
      <c r="B812" s="1" t="s">
        <v>2045</v>
      </c>
      <c r="D812" s="4">
        <v>44985</v>
      </c>
      <c r="E812" s="4">
        <v>45005</v>
      </c>
      <c r="F812" s="7">
        <v>20022</v>
      </c>
      <c r="G812" s="1">
        <v>37</v>
      </c>
      <c r="H812" s="1">
        <v>13</v>
      </c>
      <c r="I812" s="1">
        <v>47</v>
      </c>
      <c r="J812" s="1">
        <v>13</v>
      </c>
      <c r="K812" s="1">
        <v>48</v>
      </c>
      <c r="L812" s="1">
        <v>24</v>
      </c>
      <c r="M812" s="1">
        <v>0.81</v>
      </c>
      <c r="N812" s="1">
        <v>20.4</v>
      </c>
      <c r="O812" s="7">
        <v>20022</v>
      </c>
      <c r="P812" s="4">
        <v>44985</v>
      </c>
      <c r="Q812" s="4">
        <v>45005</v>
      </c>
      <c r="R812" s="1" t="s">
        <v>80</v>
      </c>
      <c r="AO812" s="7">
        <v>20022</v>
      </c>
      <c r="AP812" s="5">
        <v>9.8</v>
      </c>
      <c r="AQ812" s="5">
        <v>96</v>
      </c>
      <c r="AR812" s="5">
        <v>47.4</v>
      </c>
      <c r="AS812" s="5">
        <v>98.5</v>
      </c>
      <c r="AT812" s="5">
        <v>54</v>
      </c>
      <c r="AU812" s="5">
        <v>60</v>
      </c>
      <c r="AV812" s="5">
        <v>44</v>
      </c>
      <c r="AW812" s="5">
        <v>9.85</v>
      </c>
      <c r="AX812" s="5">
        <v>68</v>
      </c>
      <c r="AY812" s="5" t="s">
        <v>125</v>
      </c>
      <c r="AZ812" s="5" t="s">
        <v>75</v>
      </c>
      <c r="BA812" s="5" t="s">
        <v>76</v>
      </c>
      <c r="BB812" s="12" t="s">
        <v>76</v>
      </c>
      <c r="BC812" s="5">
        <v>4.71</v>
      </c>
      <c r="BD812" s="5">
        <v>96</v>
      </c>
      <c r="BE812" s="5" t="s">
        <v>76</v>
      </c>
      <c r="BF812" s="5" t="s">
        <v>76</v>
      </c>
      <c r="BG812" s="15">
        <v>36.5</v>
      </c>
      <c r="BH812" s="5">
        <v>68</v>
      </c>
      <c r="BI812" s="5">
        <v>68</v>
      </c>
      <c r="BJ812" s="5">
        <v>16</v>
      </c>
      <c r="BK812" s="5">
        <v>112</v>
      </c>
      <c r="BL812" s="5">
        <v>75</v>
      </c>
      <c r="BM812" s="5">
        <v>50</v>
      </c>
      <c r="BN812" s="5">
        <v>158</v>
      </c>
      <c r="BO812" s="5">
        <f t="shared" si="12"/>
        <v>20.0288415318058</v>
      </c>
      <c r="BP812" s="5" t="s">
        <v>1450</v>
      </c>
      <c r="BQ812" s="5">
        <v>5.2</v>
      </c>
      <c r="BR812" s="5">
        <v>4037</v>
      </c>
    </row>
    <row r="813" s="1" customFormat="1" spans="1:70">
      <c r="A813" s="1" t="s">
        <v>2046</v>
      </c>
      <c r="B813" s="1" t="s">
        <v>2047</v>
      </c>
      <c r="D813" s="4">
        <v>44904</v>
      </c>
      <c r="E813" s="4">
        <v>44921</v>
      </c>
      <c r="F813" s="7">
        <v>20024</v>
      </c>
      <c r="G813" s="1">
        <v>41</v>
      </c>
      <c r="H813" s="1">
        <v>8</v>
      </c>
      <c r="I813" s="1">
        <v>53</v>
      </c>
      <c r="J813" s="1">
        <v>8</v>
      </c>
      <c r="K813" s="1">
        <v>66</v>
      </c>
      <c r="L813" s="1">
        <v>37</v>
      </c>
      <c r="M813" s="1">
        <v>0.87</v>
      </c>
      <c r="N813" s="1">
        <v>7.5</v>
      </c>
      <c r="O813" s="7">
        <v>20024</v>
      </c>
      <c r="P813" s="4">
        <v>44904</v>
      </c>
      <c r="Q813" s="4">
        <v>44921</v>
      </c>
      <c r="R813" s="1" t="s">
        <v>80</v>
      </c>
      <c r="S813" s="1">
        <v>68</v>
      </c>
      <c r="T813" s="1">
        <v>15996971711</v>
      </c>
      <c r="AO813" s="7">
        <v>20024</v>
      </c>
      <c r="AP813" s="5" t="s">
        <v>1129</v>
      </c>
      <c r="AQ813" s="5" t="s">
        <v>384</v>
      </c>
      <c r="AR813" s="5" t="s">
        <v>2048</v>
      </c>
      <c r="AS813" s="5" t="s">
        <v>76</v>
      </c>
      <c r="AT813" s="5" t="s">
        <v>225</v>
      </c>
      <c r="AU813" s="5" t="s">
        <v>93</v>
      </c>
      <c r="AV813" s="5" t="s">
        <v>2049</v>
      </c>
      <c r="AW813" s="5" t="s">
        <v>2050</v>
      </c>
      <c r="AX813" s="5" t="s">
        <v>336</v>
      </c>
      <c r="AY813" s="5" t="s">
        <v>2051</v>
      </c>
      <c r="AZ813" s="5" t="s">
        <v>75</v>
      </c>
      <c r="BA813" s="5" t="s">
        <v>76</v>
      </c>
      <c r="BB813" s="12" t="s">
        <v>76</v>
      </c>
      <c r="BC813" s="5" t="s">
        <v>971</v>
      </c>
      <c r="BD813" s="5" t="s">
        <v>384</v>
      </c>
      <c r="BE813" s="5" t="s">
        <v>76</v>
      </c>
      <c r="BF813" s="5" t="s">
        <v>76</v>
      </c>
      <c r="BG813" s="15">
        <v>36.5</v>
      </c>
      <c r="BH813" s="5" t="s">
        <v>140</v>
      </c>
      <c r="BI813" s="5" t="s">
        <v>76</v>
      </c>
      <c r="BJ813" s="5" t="s">
        <v>293</v>
      </c>
      <c r="BK813" s="5" t="s">
        <v>327</v>
      </c>
      <c r="BL813" s="5" t="s">
        <v>614</v>
      </c>
      <c r="BM813" s="5" t="s">
        <v>658</v>
      </c>
      <c r="BN813" s="5">
        <v>170</v>
      </c>
      <c r="BO813" s="5">
        <f t="shared" si="12"/>
        <v>29.4117647058824</v>
      </c>
      <c r="BP813" s="5" t="s">
        <v>412</v>
      </c>
      <c r="BQ813" s="5" t="s">
        <v>76</v>
      </c>
      <c r="BR813" s="5">
        <v>1857</v>
      </c>
    </row>
    <row r="814" s="1" customFormat="1" spans="1:70">
      <c r="A814" s="1">
        <v>3290810</v>
      </c>
      <c r="B814" s="1" t="s">
        <v>2052</v>
      </c>
      <c r="D814" s="4">
        <v>44978</v>
      </c>
      <c r="E814" s="4">
        <v>44984</v>
      </c>
      <c r="F814" s="7">
        <v>20030</v>
      </c>
      <c r="G814" s="1">
        <v>35</v>
      </c>
      <c r="H814" s="1">
        <v>7</v>
      </c>
      <c r="I814" s="1">
        <v>40</v>
      </c>
      <c r="J814" s="1">
        <v>7</v>
      </c>
      <c r="K814" s="1">
        <v>53</v>
      </c>
      <c r="L814" s="1">
        <v>26</v>
      </c>
      <c r="M814" s="1">
        <v>3.17</v>
      </c>
      <c r="N814" s="1">
        <v>9.3</v>
      </c>
      <c r="O814" s="7">
        <v>20030</v>
      </c>
      <c r="P814" s="4">
        <v>44978</v>
      </c>
      <c r="Q814" s="4">
        <v>44984</v>
      </c>
      <c r="R814" s="1" t="s">
        <v>73</v>
      </c>
      <c r="AO814" s="7">
        <v>20030</v>
      </c>
      <c r="AP814" s="5">
        <v>4.5</v>
      </c>
      <c r="AQ814" s="5">
        <v>124</v>
      </c>
      <c r="AR814" s="5">
        <v>40</v>
      </c>
      <c r="AS814" s="5">
        <v>2.4</v>
      </c>
      <c r="AT814" s="5">
        <v>31</v>
      </c>
      <c r="AU814" s="5">
        <v>37</v>
      </c>
      <c r="AV814" s="5">
        <v>33.7</v>
      </c>
      <c r="AW814" s="5">
        <v>4.17</v>
      </c>
      <c r="AX814" s="5">
        <v>55</v>
      </c>
      <c r="AY814" s="5">
        <v>101.34</v>
      </c>
      <c r="AZ814" s="5">
        <v>5.12</v>
      </c>
      <c r="BA814" s="5">
        <v>3.03</v>
      </c>
      <c r="BB814" s="12" t="s">
        <v>76</v>
      </c>
      <c r="BC814" s="5">
        <v>3.61</v>
      </c>
      <c r="BD814" s="5">
        <v>124</v>
      </c>
      <c r="BE814" s="5">
        <v>1.09</v>
      </c>
      <c r="BF814" s="5">
        <v>1.4</v>
      </c>
      <c r="BG814" s="15">
        <v>36.6</v>
      </c>
      <c r="BH814" s="5">
        <v>63</v>
      </c>
      <c r="BI814" s="5" t="s">
        <v>76</v>
      </c>
      <c r="BJ814" s="5">
        <v>17</v>
      </c>
      <c r="BK814" s="5">
        <v>119</v>
      </c>
      <c r="BL814" s="5">
        <v>64</v>
      </c>
      <c r="BM814" s="5">
        <v>56</v>
      </c>
      <c r="BN814" s="5">
        <v>153</v>
      </c>
      <c r="BO814" s="5">
        <f t="shared" si="12"/>
        <v>23.922422999701</v>
      </c>
      <c r="BP814" s="5" t="s">
        <v>78</v>
      </c>
      <c r="BQ814" s="5">
        <v>5.9</v>
      </c>
      <c r="BR814" s="5">
        <v>1483</v>
      </c>
    </row>
    <row r="815" s="1" customFormat="1" spans="1:70">
      <c r="A815" s="1">
        <v>3284057</v>
      </c>
      <c r="B815" s="1" t="s">
        <v>2053</v>
      </c>
      <c r="D815" s="4">
        <v>44969</v>
      </c>
      <c r="E815" s="4">
        <v>44971</v>
      </c>
      <c r="F815" s="7">
        <v>20033</v>
      </c>
      <c r="G815" s="1">
        <v>41</v>
      </c>
      <c r="H815" s="1">
        <v>10</v>
      </c>
      <c r="I815" s="1">
        <v>49</v>
      </c>
      <c r="J815" s="1">
        <v>10</v>
      </c>
      <c r="K815" s="1">
        <v>54</v>
      </c>
      <c r="L815" s="1">
        <v>28</v>
      </c>
      <c r="N815" s="1">
        <v>6.5</v>
      </c>
      <c r="O815" s="7">
        <v>20033</v>
      </c>
      <c r="P815" s="4">
        <v>44969</v>
      </c>
      <c r="Q815" s="4">
        <v>44971</v>
      </c>
      <c r="R815" s="1" t="s">
        <v>80</v>
      </c>
      <c r="AO815" s="7">
        <v>20033</v>
      </c>
      <c r="AP815" s="5">
        <v>9.2</v>
      </c>
      <c r="AQ815" s="5">
        <v>141</v>
      </c>
      <c r="AR815" s="5">
        <v>45.9</v>
      </c>
      <c r="AS815" s="5" t="s">
        <v>76</v>
      </c>
      <c r="AT815" s="5">
        <v>32</v>
      </c>
      <c r="AU815" s="5">
        <v>18</v>
      </c>
      <c r="AV815" s="5">
        <v>40.4</v>
      </c>
      <c r="AW815" s="5">
        <v>7.61</v>
      </c>
      <c r="AX815" s="5">
        <v>77</v>
      </c>
      <c r="AY815" s="5">
        <v>92.63</v>
      </c>
      <c r="AZ815" s="5" t="s">
        <v>75</v>
      </c>
      <c r="BA815" s="5" t="s">
        <v>76</v>
      </c>
      <c r="BB815" s="12" t="s">
        <v>76</v>
      </c>
      <c r="BC815" s="5">
        <v>3.82</v>
      </c>
      <c r="BD815" s="5">
        <v>141</v>
      </c>
      <c r="BE815" s="5" t="s">
        <v>76</v>
      </c>
      <c r="BF815" s="5" t="s">
        <v>76</v>
      </c>
      <c r="BG815" s="15">
        <v>37</v>
      </c>
      <c r="BH815" s="5" t="s">
        <v>76</v>
      </c>
      <c r="BI815" s="5">
        <v>100</v>
      </c>
      <c r="BJ815" s="5">
        <v>20</v>
      </c>
      <c r="BK815" s="5">
        <v>188</v>
      </c>
      <c r="BL815" s="5">
        <v>129</v>
      </c>
      <c r="BM815" s="5">
        <v>82</v>
      </c>
      <c r="BN815" s="5">
        <v>170</v>
      </c>
      <c r="BO815" s="5">
        <f t="shared" si="12"/>
        <v>28.3737024221453</v>
      </c>
      <c r="BP815" s="5" t="s">
        <v>85</v>
      </c>
      <c r="BQ815" s="5" t="s">
        <v>76</v>
      </c>
      <c r="BR815" s="5">
        <v>2520</v>
      </c>
    </row>
    <row r="816" s="1" customFormat="1" spans="1:70">
      <c r="A816" s="1">
        <v>3262629</v>
      </c>
      <c r="B816" s="1" t="s">
        <v>2054</v>
      </c>
      <c r="D816" s="4">
        <v>44932</v>
      </c>
      <c r="E816" s="4">
        <v>44945</v>
      </c>
      <c r="F816" s="7">
        <v>20043</v>
      </c>
      <c r="G816" s="1">
        <v>41</v>
      </c>
      <c r="H816" s="1">
        <v>9</v>
      </c>
      <c r="I816" s="1">
        <v>52</v>
      </c>
      <c r="J816" s="1">
        <v>9</v>
      </c>
      <c r="K816" s="1">
        <v>34</v>
      </c>
      <c r="L816" s="1">
        <v>16</v>
      </c>
      <c r="M816" s="1">
        <v>1.92</v>
      </c>
      <c r="N816" s="1">
        <v>18</v>
      </c>
      <c r="O816" s="7">
        <v>20043</v>
      </c>
      <c r="P816" s="4">
        <v>44932</v>
      </c>
      <c r="Q816" s="4">
        <v>44945</v>
      </c>
      <c r="R816" s="1" t="s">
        <v>73</v>
      </c>
      <c r="AO816" s="7">
        <v>20043</v>
      </c>
      <c r="AP816" s="5">
        <v>6.5</v>
      </c>
      <c r="AQ816" s="5">
        <v>90</v>
      </c>
      <c r="AR816" s="5">
        <v>35.9</v>
      </c>
      <c r="AS816" s="5">
        <v>7.5</v>
      </c>
      <c r="AT816" s="5">
        <v>97</v>
      </c>
      <c r="AU816" s="5">
        <v>143</v>
      </c>
      <c r="AV816" s="5">
        <v>40.7</v>
      </c>
      <c r="AW816" s="5">
        <v>6.36</v>
      </c>
      <c r="AX816" s="5">
        <v>64</v>
      </c>
      <c r="AY816" s="5">
        <v>85.08</v>
      </c>
      <c r="AZ816" s="5" t="s">
        <v>75</v>
      </c>
      <c r="BA816" s="5">
        <v>2.06</v>
      </c>
      <c r="BB816" s="12" t="s">
        <v>76</v>
      </c>
      <c r="BC816" s="5">
        <v>3.37</v>
      </c>
      <c r="BD816" s="5">
        <v>90</v>
      </c>
      <c r="BE816" s="5">
        <v>0.79</v>
      </c>
      <c r="BF816" s="5">
        <v>1</v>
      </c>
      <c r="BG816" s="15">
        <v>36.5</v>
      </c>
      <c r="BH816" s="5">
        <v>77</v>
      </c>
      <c r="BI816" s="5">
        <v>77</v>
      </c>
      <c r="BJ816" s="5">
        <v>17</v>
      </c>
      <c r="BK816" s="5">
        <v>140</v>
      </c>
      <c r="BL816" s="5">
        <v>71</v>
      </c>
      <c r="BM816" s="5">
        <v>58</v>
      </c>
      <c r="BN816" s="5">
        <v>150</v>
      </c>
      <c r="BO816" s="5">
        <f t="shared" si="12"/>
        <v>25.7777777777778</v>
      </c>
      <c r="BP816" s="5" t="s">
        <v>121</v>
      </c>
      <c r="BQ816" s="5" t="s">
        <v>76</v>
      </c>
      <c r="BR816" s="5">
        <v>3233</v>
      </c>
    </row>
    <row r="817" s="1" customFormat="1" spans="1:70">
      <c r="A817" s="1">
        <v>3275429</v>
      </c>
      <c r="B817" s="1" t="s">
        <v>2055</v>
      </c>
      <c r="D817" s="4">
        <v>44957</v>
      </c>
      <c r="E817" s="4">
        <v>44968</v>
      </c>
      <c r="F817" s="7">
        <v>20043</v>
      </c>
      <c r="G817" s="1">
        <v>38</v>
      </c>
      <c r="H817" s="1">
        <v>10</v>
      </c>
      <c r="I817" s="1">
        <v>46</v>
      </c>
      <c r="J817" s="1">
        <v>10</v>
      </c>
      <c r="K817" s="1">
        <v>64</v>
      </c>
      <c r="L817" s="1">
        <v>34</v>
      </c>
      <c r="M817" s="1">
        <v>0.64</v>
      </c>
      <c r="N817" s="1">
        <v>8.9</v>
      </c>
      <c r="O817" s="7">
        <v>20043</v>
      </c>
      <c r="P817" s="4">
        <v>44957</v>
      </c>
      <c r="Q817" s="4">
        <v>44968</v>
      </c>
      <c r="R817" s="1" t="s">
        <v>80</v>
      </c>
      <c r="AO817" s="7">
        <v>20043</v>
      </c>
      <c r="AP817" s="5">
        <v>9.4</v>
      </c>
      <c r="AQ817" s="5">
        <v>122</v>
      </c>
      <c r="AR817" s="5">
        <v>38.1</v>
      </c>
      <c r="AS817" s="5">
        <v>48.8</v>
      </c>
      <c r="AT817" s="5">
        <v>19</v>
      </c>
      <c r="AU817" s="5" t="s">
        <v>171</v>
      </c>
      <c r="AV817" s="5">
        <v>36.6</v>
      </c>
      <c r="AW817" s="5">
        <v>9.5</v>
      </c>
      <c r="AX817" s="5">
        <v>71</v>
      </c>
      <c r="AY817" s="5" t="s">
        <v>76</v>
      </c>
      <c r="AZ817" s="5" t="s">
        <v>75</v>
      </c>
      <c r="BA817" s="5">
        <v>3.91</v>
      </c>
      <c r="BB817" s="12" t="s">
        <v>76</v>
      </c>
      <c r="BC817" s="5">
        <v>5.05</v>
      </c>
      <c r="BD817" s="5">
        <v>122</v>
      </c>
      <c r="BE817" s="5" t="s">
        <v>76</v>
      </c>
      <c r="BF817" s="5" t="s">
        <v>76</v>
      </c>
      <c r="BG817" s="15">
        <v>36.4</v>
      </c>
      <c r="BH817" s="5">
        <v>97</v>
      </c>
      <c r="BI817" s="5" t="s">
        <v>76</v>
      </c>
      <c r="BJ817" s="5">
        <v>23</v>
      </c>
      <c r="BK817" s="5">
        <v>151</v>
      </c>
      <c r="BL817" s="5">
        <v>97</v>
      </c>
      <c r="BM817" s="5">
        <v>70</v>
      </c>
      <c r="BN817" s="5">
        <v>173</v>
      </c>
      <c r="BO817" s="5">
        <f t="shared" si="12"/>
        <v>23.3886865581877</v>
      </c>
      <c r="BP817" s="5" t="s">
        <v>622</v>
      </c>
      <c r="BQ817" s="5" t="s">
        <v>76</v>
      </c>
      <c r="BR817" s="5">
        <v>4507</v>
      </c>
    </row>
    <row r="818" s="1" customFormat="1" spans="1:70">
      <c r="A818" s="1">
        <v>3248004</v>
      </c>
      <c r="B818" s="1" t="s">
        <v>2056</v>
      </c>
      <c r="D818" s="4">
        <v>44896</v>
      </c>
      <c r="E818" s="4">
        <v>44902</v>
      </c>
      <c r="F818" s="7">
        <v>20048</v>
      </c>
      <c r="G818" s="1">
        <v>46</v>
      </c>
      <c r="H818" s="1">
        <v>10</v>
      </c>
      <c r="I818" s="1">
        <v>59</v>
      </c>
      <c r="J818" s="1">
        <v>9</v>
      </c>
      <c r="K818" s="1">
        <v>44</v>
      </c>
      <c r="L818" s="1">
        <v>22</v>
      </c>
      <c r="O818" s="7">
        <v>20048</v>
      </c>
      <c r="P818" s="4">
        <v>44896</v>
      </c>
      <c r="Q818" s="4">
        <v>44902</v>
      </c>
      <c r="R818" s="1" t="s">
        <v>80</v>
      </c>
      <c r="AO818" s="7">
        <v>20048</v>
      </c>
      <c r="AP818" s="5">
        <v>6.3</v>
      </c>
      <c r="AQ818" s="5">
        <v>182</v>
      </c>
      <c r="AR818" s="5">
        <v>62</v>
      </c>
      <c r="AS818" s="5" t="s">
        <v>76</v>
      </c>
      <c r="AT818" s="5">
        <v>44</v>
      </c>
      <c r="AU818" s="5">
        <v>32</v>
      </c>
      <c r="AV818" s="5">
        <v>36.9</v>
      </c>
      <c r="AW818" s="5">
        <v>6.02</v>
      </c>
      <c r="AX818" s="5">
        <v>93</v>
      </c>
      <c r="AY818" s="5">
        <v>74.5</v>
      </c>
      <c r="AZ818" s="5">
        <v>7.01</v>
      </c>
      <c r="BA818" s="5">
        <v>4.17</v>
      </c>
      <c r="BB818" s="12" t="s">
        <v>76</v>
      </c>
      <c r="BC818" s="5">
        <v>4.19</v>
      </c>
      <c r="BD818" s="5">
        <v>182</v>
      </c>
      <c r="BE818" s="5">
        <v>1.32</v>
      </c>
      <c r="BF818" s="5">
        <v>2.42</v>
      </c>
      <c r="BG818" s="15">
        <v>36.4</v>
      </c>
      <c r="BH818" s="5">
        <v>70</v>
      </c>
      <c r="BI818" s="5">
        <v>70</v>
      </c>
      <c r="BJ818" s="5">
        <v>16</v>
      </c>
      <c r="BK818" s="5">
        <v>140</v>
      </c>
      <c r="BL818" s="5">
        <v>85</v>
      </c>
      <c r="BM818" s="5">
        <v>80</v>
      </c>
      <c r="BN818" s="5">
        <v>182</v>
      </c>
      <c r="BO818" s="5">
        <f t="shared" si="12"/>
        <v>24.1516725033209</v>
      </c>
      <c r="BP818" s="5" t="s">
        <v>121</v>
      </c>
      <c r="BQ818" s="5">
        <v>5.7</v>
      </c>
      <c r="BR818" s="5">
        <v>3581</v>
      </c>
    </row>
    <row r="819" s="1" customFormat="1" spans="1:70">
      <c r="A819" s="1">
        <v>3500805</v>
      </c>
      <c r="B819" s="1" t="s">
        <v>2057</v>
      </c>
      <c r="D819" s="4">
        <v>45267</v>
      </c>
      <c r="E819" s="4">
        <v>45278</v>
      </c>
      <c r="F819" s="7">
        <v>20048</v>
      </c>
      <c r="G819" s="1">
        <v>40</v>
      </c>
      <c r="H819" s="1">
        <v>14</v>
      </c>
      <c r="I819" s="1">
        <v>42</v>
      </c>
      <c r="J819" s="1">
        <v>14</v>
      </c>
      <c r="K819" s="1">
        <v>47</v>
      </c>
      <c r="M819" s="1">
        <v>1.51</v>
      </c>
      <c r="N819" s="1">
        <v>13.8</v>
      </c>
      <c r="O819" s="7">
        <v>20048</v>
      </c>
      <c r="P819" s="4">
        <v>45267</v>
      </c>
      <c r="Q819" s="4">
        <v>45278</v>
      </c>
      <c r="R819" s="1" t="s">
        <v>80</v>
      </c>
      <c r="AO819" s="7">
        <v>20048</v>
      </c>
      <c r="AP819" s="5">
        <v>8.3</v>
      </c>
      <c r="AQ819" s="5">
        <v>124</v>
      </c>
      <c r="AR819" s="5">
        <v>37.1</v>
      </c>
      <c r="AS819" s="5">
        <v>8.4</v>
      </c>
      <c r="AT819" s="5">
        <v>70</v>
      </c>
      <c r="AU819" s="5">
        <v>60</v>
      </c>
      <c r="AV819" s="5">
        <v>32.3</v>
      </c>
      <c r="AW819" s="5">
        <v>6.27</v>
      </c>
      <c r="AX819" s="5">
        <v>50</v>
      </c>
      <c r="AY819" s="5" t="s">
        <v>125</v>
      </c>
      <c r="AZ819" s="5" t="s">
        <v>75</v>
      </c>
      <c r="BA819" s="5">
        <v>4.6</v>
      </c>
      <c r="BB819" s="12" t="s">
        <v>76</v>
      </c>
      <c r="BC819" s="5">
        <v>4.61</v>
      </c>
      <c r="BD819" s="5">
        <v>124</v>
      </c>
      <c r="BE819" s="5">
        <v>0.99</v>
      </c>
      <c r="BF819" s="5">
        <v>1.72</v>
      </c>
      <c r="BG819" s="15">
        <v>36.5</v>
      </c>
      <c r="BH819" s="5">
        <v>93</v>
      </c>
      <c r="BI819" s="5">
        <v>93</v>
      </c>
      <c r="BJ819" s="5">
        <v>18</v>
      </c>
      <c r="BK819" s="5">
        <v>108</v>
      </c>
      <c r="BL819" s="5">
        <v>72</v>
      </c>
      <c r="BM819" s="5">
        <v>60</v>
      </c>
      <c r="BN819" s="5">
        <v>160</v>
      </c>
      <c r="BO819" s="5">
        <f t="shared" si="12"/>
        <v>23.4375</v>
      </c>
      <c r="BP819" s="5" t="s">
        <v>271</v>
      </c>
      <c r="BQ819" s="5" t="s">
        <v>76</v>
      </c>
      <c r="BR819" s="5">
        <v>7566</v>
      </c>
    </row>
    <row r="820" s="1" customFormat="1" spans="1:70">
      <c r="A820" s="1">
        <v>3331905</v>
      </c>
      <c r="B820" s="1" t="s">
        <v>2058</v>
      </c>
      <c r="C820" s="1">
        <v>1</v>
      </c>
      <c r="D820" s="4">
        <v>45034</v>
      </c>
      <c r="E820" s="4">
        <v>45044</v>
      </c>
      <c r="F820" s="7">
        <v>20051</v>
      </c>
      <c r="G820" s="1">
        <v>28</v>
      </c>
      <c r="H820" s="1">
        <v>9</v>
      </c>
      <c r="I820" s="1">
        <v>39</v>
      </c>
      <c r="J820" s="1">
        <v>9</v>
      </c>
      <c r="K820" s="1">
        <v>59</v>
      </c>
      <c r="L820" s="1">
        <v>31</v>
      </c>
      <c r="M820" s="1">
        <v>0.89</v>
      </c>
      <c r="O820" s="7">
        <v>20051</v>
      </c>
      <c r="P820" s="4">
        <v>45034</v>
      </c>
      <c r="Q820" s="4">
        <v>45044</v>
      </c>
      <c r="R820" s="1" t="s">
        <v>73</v>
      </c>
      <c r="AO820" s="7">
        <v>20051</v>
      </c>
      <c r="AP820" s="5">
        <v>73.5</v>
      </c>
      <c r="AQ820" s="5">
        <v>152</v>
      </c>
      <c r="AR820" s="5">
        <v>48</v>
      </c>
      <c r="AS820" s="5">
        <v>6.7</v>
      </c>
      <c r="AT820" s="5">
        <v>9</v>
      </c>
      <c r="AU820" s="5">
        <v>33</v>
      </c>
      <c r="AV820" s="5">
        <v>32.5</v>
      </c>
      <c r="AW820" s="5">
        <v>9.81</v>
      </c>
      <c r="AX820" s="5">
        <v>40</v>
      </c>
      <c r="AY820" s="5" t="s">
        <v>125</v>
      </c>
      <c r="AZ820" s="5" t="s">
        <v>75</v>
      </c>
      <c r="BA820" s="5">
        <v>3.67</v>
      </c>
      <c r="BB820" s="12" t="s">
        <v>76</v>
      </c>
      <c r="BC820" s="5">
        <v>3.94</v>
      </c>
      <c r="BD820" s="5">
        <v>152</v>
      </c>
      <c r="BE820" s="5">
        <v>0.68</v>
      </c>
      <c r="BF820" s="5">
        <v>2.33</v>
      </c>
      <c r="BG820" s="15">
        <v>36.5</v>
      </c>
      <c r="BH820" s="5">
        <v>121</v>
      </c>
      <c r="BI820" s="5">
        <v>121</v>
      </c>
      <c r="BJ820" s="5">
        <v>28</v>
      </c>
      <c r="BK820" s="5">
        <v>133</v>
      </c>
      <c r="BL820" s="5">
        <v>71</v>
      </c>
      <c r="BM820" s="5" t="s">
        <v>77</v>
      </c>
      <c r="BN820" s="5" t="s">
        <v>77</v>
      </c>
      <c r="BO820" s="5" t="e">
        <f t="shared" si="12"/>
        <v>#VALUE!</v>
      </c>
      <c r="BP820" s="5" t="s">
        <v>262</v>
      </c>
      <c r="BQ820" s="5" t="s">
        <v>76</v>
      </c>
      <c r="BR820" s="5">
        <v>7140</v>
      </c>
    </row>
    <row r="821" s="1" customFormat="1" spans="1:70">
      <c r="A821" s="1">
        <v>3258537</v>
      </c>
      <c r="B821" s="1" t="s">
        <v>2059</v>
      </c>
      <c r="D821" s="4">
        <v>44925</v>
      </c>
      <c r="E821" s="4">
        <v>44930</v>
      </c>
      <c r="F821" s="7">
        <v>20101</v>
      </c>
      <c r="G821" s="1">
        <v>26</v>
      </c>
      <c r="H821" s="1">
        <v>8</v>
      </c>
      <c r="I821" s="1">
        <v>42</v>
      </c>
      <c r="J821" s="1">
        <v>8</v>
      </c>
      <c r="K821" s="1">
        <v>57</v>
      </c>
      <c r="L821" s="1">
        <v>30</v>
      </c>
      <c r="M821" s="1">
        <v>0.58</v>
      </c>
      <c r="N821" s="1">
        <v>7.8</v>
      </c>
      <c r="O821" s="7">
        <v>20101</v>
      </c>
      <c r="P821" s="4">
        <v>44925</v>
      </c>
      <c r="Q821" s="4">
        <v>44930</v>
      </c>
      <c r="R821" s="1" t="s">
        <v>73</v>
      </c>
      <c r="AO821" s="7">
        <v>20101</v>
      </c>
      <c r="AP821" s="5">
        <v>5.8</v>
      </c>
      <c r="AQ821" s="5">
        <v>171</v>
      </c>
      <c r="AR821" s="5">
        <v>57.4</v>
      </c>
      <c r="AS821" s="5">
        <v>3.5</v>
      </c>
      <c r="AT821" s="5">
        <v>9</v>
      </c>
      <c r="AU821" s="5">
        <v>7</v>
      </c>
      <c r="AV821" s="5">
        <v>35.3</v>
      </c>
      <c r="AW821" s="5">
        <v>8.84</v>
      </c>
      <c r="AX821" s="5">
        <v>37</v>
      </c>
      <c r="AY821" s="5" t="s">
        <v>76</v>
      </c>
      <c r="AZ821" s="5" t="s">
        <v>75</v>
      </c>
      <c r="BA821" s="5">
        <v>3.33</v>
      </c>
      <c r="BB821" s="12" t="s">
        <v>76</v>
      </c>
      <c r="BC821" s="5">
        <v>4.31</v>
      </c>
      <c r="BD821" s="5">
        <v>171</v>
      </c>
      <c r="BE821" s="5">
        <v>1.1</v>
      </c>
      <c r="BF821" s="5">
        <v>2.02</v>
      </c>
      <c r="BG821" s="15">
        <v>36.8</v>
      </c>
      <c r="BH821" s="5" t="s">
        <v>76</v>
      </c>
      <c r="BI821" s="5">
        <v>99</v>
      </c>
      <c r="BJ821" s="5">
        <v>24</v>
      </c>
      <c r="BK821" s="5">
        <v>117</v>
      </c>
      <c r="BL821" s="5">
        <v>58</v>
      </c>
      <c r="BM821" s="5">
        <v>43</v>
      </c>
      <c r="BN821" s="5">
        <v>160</v>
      </c>
      <c r="BO821" s="5">
        <f t="shared" si="12"/>
        <v>16.796875</v>
      </c>
      <c r="BP821" s="5" t="s">
        <v>174</v>
      </c>
      <c r="BQ821" s="5" t="s">
        <v>76</v>
      </c>
      <c r="BR821" s="5">
        <v>6067</v>
      </c>
    </row>
    <row r="822" s="1" customFormat="1" spans="1:70">
      <c r="A822" s="1">
        <v>3286821</v>
      </c>
      <c r="B822" s="1" t="s">
        <v>2060</v>
      </c>
      <c r="D822" s="4">
        <v>44976</v>
      </c>
      <c r="E822" s="4">
        <v>44987</v>
      </c>
      <c r="F822" s="7">
        <v>20104</v>
      </c>
      <c r="G822" s="1">
        <v>40</v>
      </c>
      <c r="H822" s="1">
        <v>8</v>
      </c>
      <c r="I822" s="1">
        <v>45</v>
      </c>
      <c r="J822" s="1">
        <v>8</v>
      </c>
      <c r="K822" s="1">
        <v>52</v>
      </c>
      <c r="L822" s="1">
        <v>27</v>
      </c>
      <c r="M822" s="1">
        <v>1.87</v>
      </c>
      <c r="N822" s="1">
        <v>17.2</v>
      </c>
      <c r="O822" s="7">
        <v>20104</v>
      </c>
      <c r="P822" s="4">
        <v>44976</v>
      </c>
      <c r="Q822" s="4">
        <v>44987</v>
      </c>
      <c r="R822" s="1" t="s">
        <v>73</v>
      </c>
      <c r="AO822" s="7">
        <v>20104</v>
      </c>
      <c r="AP822" s="5">
        <v>4.7</v>
      </c>
      <c r="AQ822" s="5">
        <v>119</v>
      </c>
      <c r="AR822" s="5">
        <v>37.2</v>
      </c>
      <c r="AS822" s="5" t="s">
        <v>81</v>
      </c>
      <c r="AT822" s="5">
        <v>32</v>
      </c>
      <c r="AU822" s="5">
        <v>8</v>
      </c>
      <c r="AV822" s="5">
        <v>31.2</v>
      </c>
      <c r="AW822" s="5">
        <v>8.98</v>
      </c>
      <c r="AX822" s="5">
        <v>64</v>
      </c>
      <c r="AY822" s="5">
        <v>95.32</v>
      </c>
      <c r="AZ822" s="5">
        <v>19.23</v>
      </c>
      <c r="BA822" s="5" t="s">
        <v>76</v>
      </c>
      <c r="BB822" s="12" t="s">
        <v>76</v>
      </c>
      <c r="BC822" s="5">
        <v>4.29</v>
      </c>
      <c r="BD822" s="5">
        <v>119</v>
      </c>
      <c r="BE822" s="5" t="s">
        <v>76</v>
      </c>
      <c r="BF822" s="5" t="s">
        <v>76</v>
      </c>
      <c r="BG822" s="15">
        <v>35.5</v>
      </c>
      <c r="BH822" s="5" t="s">
        <v>76</v>
      </c>
      <c r="BI822" s="5">
        <v>72</v>
      </c>
      <c r="BJ822" s="5">
        <v>17</v>
      </c>
      <c r="BK822" s="5">
        <v>158</v>
      </c>
      <c r="BL822" s="5">
        <v>73</v>
      </c>
      <c r="BM822" s="5">
        <v>60</v>
      </c>
      <c r="BN822" s="5">
        <v>165</v>
      </c>
      <c r="BO822" s="5">
        <f t="shared" si="12"/>
        <v>22.038567493113</v>
      </c>
      <c r="BP822" s="5" t="s">
        <v>963</v>
      </c>
      <c r="BQ822" s="5" t="s">
        <v>76</v>
      </c>
      <c r="BR822" s="5">
        <v>27907</v>
      </c>
    </row>
    <row r="823" s="1" customFormat="1" spans="1:70">
      <c r="A823" s="1">
        <v>3293471</v>
      </c>
      <c r="B823" s="1" t="s">
        <v>2061</v>
      </c>
      <c r="D823" s="4">
        <v>44981</v>
      </c>
      <c r="E823" s="4">
        <v>44993</v>
      </c>
      <c r="F823" s="7">
        <v>20125</v>
      </c>
      <c r="G823" s="1">
        <v>46</v>
      </c>
      <c r="H823" s="1">
        <v>8</v>
      </c>
      <c r="I823" s="1">
        <v>65</v>
      </c>
      <c r="J823" s="1">
        <v>8</v>
      </c>
      <c r="K823" s="1">
        <v>42</v>
      </c>
      <c r="L823" s="1">
        <v>21</v>
      </c>
      <c r="M823" s="1">
        <v>1.22</v>
      </c>
      <c r="N823" s="1">
        <v>21.5</v>
      </c>
      <c r="O823" s="7">
        <v>20125</v>
      </c>
      <c r="P823" s="4">
        <v>44981</v>
      </c>
      <c r="Q823" s="4">
        <v>44993</v>
      </c>
      <c r="R823" s="1" t="s">
        <v>80</v>
      </c>
      <c r="AO823" s="7">
        <v>20125</v>
      </c>
      <c r="AP823" s="5">
        <v>6.3</v>
      </c>
      <c r="AQ823" s="5">
        <v>150</v>
      </c>
      <c r="AR823" s="5">
        <v>46.4</v>
      </c>
      <c r="AS823" s="5" t="s">
        <v>76</v>
      </c>
      <c r="AT823" s="5">
        <v>23</v>
      </c>
      <c r="AU823" s="5">
        <v>8</v>
      </c>
      <c r="AV823" s="5">
        <v>36</v>
      </c>
      <c r="AW823" s="5">
        <v>9.41</v>
      </c>
      <c r="AX823" s="5">
        <v>90</v>
      </c>
      <c r="AY823" s="5" t="s">
        <v>125</v>
      </c>
      <c r="AZ823" s="5" t="s">
        <v>75</v>
      </c>
      <c r="BA823" s="5" t="s">
        <v>76</v>
      </c>
      <c r="BB823" s="12" t="s">
        <v>76</v>
      </c>
      <c r="BC823" s="5">
        <v>4.17</v>
      </c>
      <c r="BD823" s="5">
        <v>150</v>
      </c>
      <c r="BE823" s="5" t="s">
        <v>76</v>
      </c>
      <c r="BF823" s="5" t="s">
        <v>76</v>
      </c>
      <c r="BG823" s="15">
        <v>36.4</v>
      </c>
      <c r="BH823" s="5" t="s">
        <v>76</v>
      </c>
      <c r="BI823" s="5">
        <v>104</v>
      </c>
      <c r="BJ823" s="5">
        <v>20</v>
      </c>
      <c r="BK823" s="5">
        <v>121</v>
      </c>
      <c r="BL823" s="5">
        <v>79</v>
      </c>
      <c r="BM823" s="5">
        <v>60</v>
      </c>
      <c r="BN823" s="5">
        <v>176</v>
      </c>
      <c r="BO823" s="5">
        <f t="shared" si="12"/>
        <v>19.3698347107438</v>
      </c>
      <c r="BP823" s="5" t="s">
        <v>164</v>
      </c>
      <c r="BQ823" s="5" t="s">
        <v>76</v>
      </c>
      <c r="BR823" s="5">
        <v>6388</v>
      </c>
    </row>
    <row r="824" s="1" customFormat="1" spans="1:70">
      <c r="A824" s="1">
        <v>3268833</v>
      </c>
      <c r="B824" s="1" t="s">
        <v>2062</v>
      </c>
      <c r="D824" s="4">
        <v>44945</v>
      </c>
      <c r="E824" s="4">
        <v>44948</v>
      </c>
      <c r="F824" s="7">
        <v>20126</v>
      </c>
      <c r="G824" s="1">
        <v>37</v>
      </c>
      <c r="H824" s="1">
        <v>9</v>
      </c>
      <c r="I824" s="1">
        <v>47</v>
      </c>
      <c r="J824" s="1">
        <v>9</v>
      </c>
      <c r="K824" s="1">
        <v>62</v>
      </c>
      <c r="L824" s="1">
        <v>34</v>
      </c>
      <c r="M824" s="1">
        <v>0.76</v>
      </c>
      <c r="N824" s="1">
        <v>11.1</v>
      </c>
      <c r="O824" s="7">
        <v>20126</v>
      </c>
      <c r="P824" s="4">
        <v>44945</v>
      </c>
      <c r="Q824" s="4">
        <v>44948</v>
      </c>
      <c r="R824" s="1" t="s">
        <v>80</v>
      </c>
      <c r="AO824" s="7">
        <v>20126</v>
      </c>
      <c r="AP824" s="5">
        <v>8.1</v>
      </c>
      <c r="AQ824" s="5">
        <v>120</v>
      </c>
      <c r="AR824" s="5">
        <v>38.8</v>
      </c>
      <c r="AS824" s="5" t="s">
        <v>81</v>
      </c>
      <c r="AT824" s="5">
        <v>20</v>
      </c>
      <c r="AU824" s="5">
        <v>19</v>
      </c>
      <c r="AV824" s="5">
        <v>40.1</v>
      </c>
      <c r="AW824" s="5">
        <v>6.89</v>
      </c>
      <c r="AX824" s="5">
        <v>52</v>
      </c>
      <c r="AY824" s="5" t="s">
        <v>125</v>
      </c>
      <c r="AZ824" s="5">
        <v>5.43</v>
      </c>
      <c r="BA824" s="5">
        <v>3.4</v>
      </c>
      <c r="BB824" s="12" t="s">
        <v>76</v>
      </c>
      <c r="BC824" s="5">
        <v>4.02</v>
      </c>
      <c r="BD824" s="5">
        <v>120</v>
      </c>
      <c r="BE824" s="5">
        <v>0.81</v>
      </c>
      <c r="BF824" s="5">
        <v>2.18</v>
      </c>
      <c r="BG824" s="15">
        <v>36.8</v>
      </c>
      <c r="BH824" s="5">
        <v>80</v>
      </c>
      <c r="BI824" s="5">
        <v>80</v>
      </c>
      <c r="BJ824" s="5">
        <v>20</v>
      </c>
      <c r="BK824" s="5">
        <v>127</v>
      </c>
      <c r="BL824" s="5">
        <v>63</v>
      </c>
      <c r="BM824" s="5">
        <v>53</v>
      </c>
      <c r="BN824" s="5">
        <v>155</v>
      </c>
      <c r="BO824" s="5">
        <f t="shared" si="12"/>
        <v>22.0603537981269</v>
      </c>
      <c r="BP824" s="5" t="s">
        <v>323</v>
      </c>
      <c r="BQ824" s="5">
        <v>5.8</v>
      </c>
      <c r="BR824" s="5">
        <v>951</v>
      </c>
    </row>
    <row r="825" s="1" customFormat="1" spans="1:70">
      <c r="A825" s="1">
        <v>3317859</v>
      </c>
      <c r="B825" s="1" t="s">
        <v>2063</v>
      </c>
      <c r="D825" s="4">
        <v>45014</v>
      </c>
      <c r="E825" s="4">
        <v>45026</v>
      </c>
      <c r="F825" s="7">
        <v>20149</v>
      </c>
      <c r="G825" s="1">
        <v>35</v>
      </c>
      <c r="H825" s="1">
        <v>7</v>
      </c>
      <c r="I825" s="1">
        <v>54</v>
      </c>
      <c r="J825" s="1">
        <v>7</v>
      </c>
      <c r="K825" s="1">
        <v>65</v>
      </c>
      <c r="L825" s="1">
        <v>36</v>
      </c>
      <c r="M825" s="1">
        <v>0.73</v>
      </c>
      <c r="N825" s="1">
        <v>6.4</v>
      </c>
      <c r="O825" s="7">
        <v>20149</v>
      </c>
      <c r="P825" s="4">
        <v>45014</v>
      </c>
      <c r="Q825" s="4">
        <v>45026</v>
      </c>
      <c r="R825" s="1" t="s">
        <v>80</v>
      </c>
      <c r="AO825" s="7">
        <v>20149</v>
      </c>
      <c r="AP825" s="5">
        <v>7.1</v>
      </c>
      <c r="AQ825" s="5">
        <v>185</v>
      </c>
      <c r="AR825" s="5">
        <v>60.4</v>
      </c>
      <c r="AS825" s="5">
        <v>8.2</v>
      </c>
      <c r="AT825" s="5">
        <v>56</v>
      </c>
      <c r="AU825" s="5">
        <v>924</v>
      </c>
      <c r="AV825" s="5">
        <v>41.7</v>
      </c>
      <c r="AW825" s="5">
        <v>18.08</v>
      </c>
      <c r="AX825" s="5">
        <v>76</v>
      </c>
      <c r="AY825" s="5" t="s">
        <v>125</v>
      </c>
      <c r="AZ825" s="5" t="s">
        <v>75</v>
      </c>
      <c r="BA825" s="5" t="s">
        <v>76</v>
      </c>
      <c r="BB825" s="12" t="s">
        <v>76</v>
      </c>
      <c r="BC825" s="5">
        <v>5.74</v>
      </c>
      <c r="BD825" s="5">
        <v>185</v>
      </c>
      <c r="BE825" s="5" t="s">
        <v>76</v>
      </c>
      <c r="BF825" s="5" t="s">
        <v>76</v>
      </c>
      <c r="BG825" s="15">
        <v>36.8</v>
      </c>
      <c r="BH825" s="5" t="s">
        <v>76</v>
      </c>
      <c r="BI825" s="5">
        <v>80</v>
      </c>
      <c r="BJ825" s="5">
        <v>12</v>
      </c>
      <c r="BK825" s="5">
        <v>102</v>
      </c>
      <c r="BL825" s="5">
        <v>72</v>
      </c>
      <c r="BM825" s="5" t="s">
        <v>77</v>
      </c>
      <c r="BN825" s="5" t="s">
        <v>77</v>
      </c>
      <c r="BO825" s="5" t="e">
        <f t="shared" si="12"/>
        <v>#VALUE!</v>
      </c>
      <c r="BP825" s="5" t="s">
        <v>164</v>
      </c>
      <c r="BQ825" s="5">
        <v>5.4</v>
      </c>
      <c r="BR825" s="5">
        <v>8108</v>
      </c>
    </row>
    <row r="826" s="1" customFormat="1" spans="1:70">
      <c r="A826" s="1">
        <v>3238678</v>
      </c>
      <c r="B826" s="1" t="s">
        <v>2064</v>
      </c>
      <c r="D826" s="4">
        <v>44880</v>
      </c>
      <c r="E826" s="4">
        <v>44904</v>
      </c>
      <c r="F826" s="7">
        <v>20160</v>
      </c>
      <c r="G826" s="1">
        <v>37</v>
      </c>
      <c r="H826" s="1">
        <v>10</v>
      </c>
      <c r="I826" s="1">
        <v>53</v>
      </c>
      <c r="J826" s="1">
        <v>10</v>
      </c>
      <c r="K826" s="1">
        <v>53</v>
      </c>
      <c r="L826" s="1">
        <v>28</v>
      </c>
      <c r="M826" s="1">
        <v>1.34</v>
      </c>
      <c r="N826" s="1">
        <v>14.9</v>
      </c>
      <c r="O826" s="7">
        <v>20160</v>
      </c>
      <c r="P826" s="4">
        <v>44880</v>
      </c>
      <c r="Q826" s="4">
        <v>44904</v>
      </c>
      <c r="R826" s="1" t="s">
        <v>80</v>
      </c>
      <c r="S826" s="1">
        <v>67</v>
      </c>
      <c r="T826" s="1">
        <v>18055383896</v>
      </c>
      <c r="Z826" s="1">
        <v>1</v>
      </c>
      <c r="AF826" s="1">
        <v>1</v>
      </c>
      <c r="AG826" s="1">
        <v>1</v>
      </c>
      <c r="AH826" s="1">
        <v>1</v>
      </c>
      <c r="AI826" s="1">
        <v>1</v>
      </c>
      <c r="AM826" s="1">
        <v>1</v>
      </c>
      <c r="AO826" s="7">
        <v>20160</v>
      </c>
      <c r="AP826" s="5">
        <v>9.5</v>
      </c>
      <c r="AQ826" s="5">
        <v>99</v>
      </c>
      <c r="AR826" s="5">
        <v>57</v>
      </c>
      <c r="AS826" s="5">
        <v>62.6</v>
      </c>
      <c r="AT826" s="5">
        <v>85</v>
      </c>
      <c r="AU826" s="5">
        <v>89</v>
      </c>
      <c r="AV826" s="5">
        <v>50.3</v>
      </c>
      <c r="AW826" s="5">
        <v>9.97</v>
      </c>
      <c r="AX826" s="5">
        <v>99</v>
      </c>
      <c r="AY826" s="5">
        <v>97.27</v>
      </c>
      <c r="AZ826" s="5" t="s">
        <v>75</v>
      </c>
      <c r="BA826" s="5">
        <v>4.29</v>
      </c>
      <c r="BB826" s="12" t="s">
        <v>76</v>
      </c>
      <c r="BC826" s="5">
        <v>5.17</v>
      </c>
      <c r="BD826" s="5">
        <v>99</v>
      </c>
      <c r="BE826" s="5">
        <v>0.81</v>
      </c>
      <c r="BF826" s="5">
        <v>3.05</v>
      </c>
      <c r="BG826" s="15">
        <v>36.5</v>
      </c>
      <c r="BH826" s="5">
        <v>103</v>
      </c>
      <c r="BI826" s="5">
        <v>103</v>
      </c>
      <c r="BJ826" s="5">
        <v>22</v>
      </c>
      <c r="BK826" s="5">
        <v>117</v>
      </c>
      <c r="BL826" s="5">
        <v>77</v>
      </c>
      <c r="BM826" s="5">
        <v>75</v>
      </c>
      <c r="BN826" s="5">
        <v>160</v>
      </c>
      <c r="BO826" s="5">
        <f t="shared" si="12"/>
        <v>29.296875</v>
      </c>
      <c r="BP826" s="5" t="s">
        <v>1450</v>
      </c>
      <c r="BQ826" s="5">
        <v>6.6</v>
      </c>
      <c r="BR826" s="5">
        <v>8890</v>
      </c>
    </row>
    <row r="827" s="1" customFormat="1" spans="1:70">
      <c r="A827" s="1">
        <v>3262950</v>
      </c>
      <c r="B827" s="1" t="s">
        <v>2065</v>
      </c>
      <c r="D827" s="4">
        <v>44932</v>
      </c>
      <c r="E827" s="4">
        <v>44943</v>
      </c>
      <c r="F827" s="7">
        <v>20167</v>
      </c>
      <c r="G827" s="1">
        <v>43</v>
      </c>
      <c r="H827" s="1">
        <v>9</v>
      </c>
      <c r="I827" s="1">
        <v>44</v>
      </c>
      <c r="J827" s="1">
        <v>9</v>
      </c>
      <c r="K827" s="1">
        <v>63</v>
      </c>
      <c r="L827" s="1">
        <v>34</v>
      </c>
      <c r="N827" s="1">
        <v>9.1</v>
      </c>
      <c r="O827" s="7">
        <v>20167</v>
      </c>
      <c r="P827" s="4">
        <v>44932</v>
      </c>
      <c r="Q827" s="4">
        <v>44943</v>
      </c>
      <c r="R827" s="1" t="s">
        <v>73</v>
      </c>
      <c r="AO827" s="7">
        <v>20167</v>
      </c>
      <c r="AP827" s="5">
        <v>8.4</v>
      </c>
      <c r="AQ827" s="5">
        <v>117</v>
      </c>
      <c r="AR827" s="5">
        <v>38.1</v>
      </c>
      <c r="AS827" s="5">
        <v>22.4</v>
      </c>
      <c r="AT827" s="5">
        <v>17</v>
      </c>
      <c r="AU827" s="5">
        <v>31</v>
      </c>
      <c r="AV827" s="5">
        <v>35.9</v>
      </c>
      <c r="AW827" s="5">
        <v>7.86</v>
      </c>
      <c r="AX827" s="5">
        <v>58</v>
      </c>
      <c r="AY827" s="5">
        <v>95.61</v>
      </c>
      <c r="AZ827" s="5" t="s">
        <v>804</v>
      </c>
      <c r="BA827" s="5">
        <v>2.17</v>
      </c>
      <c r="BB827" s="12" t="s">
        <v>76</v>
      </c>
      <c r="BC827" s="5">
        <v>4.11</v>
      </c>
      <c r="BD827" s="5">
        <v>117</v>
      </c>
      <c r="BE827" s="5">
        <v>0.64</v>
      </c>
      <c r="BF827" s="5">
        <v>0.92</v>
      </c>
      <c r="BG827" s="15">
        <v>36.4</v>
      </c>
      <c r="BH827" s="5">
        <v>95</v>
      </c>
      <c r="BI827" s="5" t="s">
        <v>76</v>
      </c>
      <c r="BJ827" s="5">
        <v>20</v>
      </c>
      <c r="BK827" s="5">
        <v>142</v>
      </c>
      <c r="BL827" s="5">
        <v>108</v>
      </c>
      <c r="BM827" s="5">
        <v>65</v>
      </c>
      <c r="BN827" s="5">
        <v>155</v>
      </c>
      <c r="BO827" s="5">
        <f t="shared" si="12"/>
        <v>27.0551508844953</v>
      </c>
      <c r="BP827" s="5" t="s">
        <v>144</v>
      </c>
      <c r="BQ827" s="5">
        <v>10.4</v>
      </c>
      <c r="BR827" s="5">
        <v>1322</v>
      </c>
    </row>
    <row r="828" s="1" customFormat="1" spans="1:70">
      <c r="A828" s="1">
        <v>3331513</v>
      </c>
      <c r="B828" s="1" t="s">
        <v>2066</v>
      </c>
      <c r="D828" s="4">
        <v>45034</v>
      </c>
      <c r="E828" s="4">
        <v>45042</v>
      </c>
      <c r="F828" s="7">
        <v>20183</v>
      </c>
      <c r="G828" s="1">
        <v>47</v>
      </c>
      <c r="H828" s="1">
        <v>9</v>
      </c>
      <c r="I828" s="1">
        <v>65</v>
      </c>
      <c r="J828" s="1">
        <v>9</v>
      </c>
      <c r="K828" s="1">
        <v>24</v>
      </c>
      <c r="L828" s="1">
        <v>11</v>
      </c>
      <c r="M828" s="9">
        <v>2.6</v>
      </c>
      <c r="N828" s="1">
        <v>39.3</v>
      </c>
      <c r="O828" s="7">
        <v>20183</v>
      </c>
      <c r="P828" s="4">
        <v>45034</v>
      </c>
      <c r="Q828" s="4">
        <v>45042</v>
      </c>
      <c r="R828" s="1" t="s">
        <v>80</v>
      </c>
      <c r="AO828" s="7">
        <v>20183</v>
      </c>
      <c r="AP828" s="5">
        <v>8.2</v>
      </c>
      <c r="AQ828" s="5">
        <v>98</v>
      </c>
      <c r="AR828" s="5">
        <v>34.6</v>
      </c>
      <c r="AS828" s="5" t="s">
        <v>76</v>
      </c>
      <c r="AT828" s="5">
        <v>11</v>
      </c>
      <c r="AU828" s="5">
        <v>7</v>
      </c>
      <c r="AV828" s="5">
        <v>36.7</v>
      </c>
      <c r="AW828" s="5">
        <v>3.73</v>
      </c>
      <c r="AX828" s="5">
        <v>64</v>
      </c>
      <c r="AY828" s="5">
        <v>114.67</v>
      </c>
      <c r="AZ828" s="5">
        <v>5.03</v>
      </c>
      <c r="BA828" s="5">
        <v>3.72</v>
      </c>
      <c r="BB828" s="12" t="s">
        <v>76</v>
      </c>
      <c r="BC828" s="5">
        <v>4.44</v>
      </c>
      <c r="BD828" s="5">
        <v>98</v>
      </c>
      <c r="BE828" s="5">
        <v>0.99</v>
      </c>
      <c r="BF828" s="5">
        <v>2.15</v>
      </c>
      <c r="BG828" s="15">
        <v>36.3</v>
      </c>
      <c r="BH828" s="5">
        <v>96</v>
      </c>
      <c r="BI828" s="5">
        <v>96</v>
      </c>
      <c r="BJ828" s="5">
        <v>18</v>
      </c>
      <c r="BK828" s="5">
        <v>98</v>
      </c>
      <c r="BL828" s="5">
        <v>76</v>
      </c>
      <c r="BM828" s="5">
        <v>85</v>
      </c>
      <c r="BN828" s="5">
        <v>170</v>
      </c>
      <c r="BO828" s="5">
        <f t="shared" si="12"/>
        <v>29.4117647058824</v>
      </c>
      <c r="BP828" s="5" t="s">
        <v>121</v>
      </c>
      <c r="BQ828" s="5" t="s">
        <v>76</v>
      </c>
      <c r="BR828" s="5">
        <v>7545</v>
      </c>
    </row>
    <row r="829" s="1" customFormat="1" spans="1:70">
      <c r="A829" s="1">
        <v>3275916</v>
      </c>
      <c r="B829" s="1" t="s">
        <v>2067</v>
      </c>
      <c r="D829" s="4">
        <v>44957</v>
      </c>
      <c r="E829" s="4">
        <v>44964</v>
      </c>
      <c r="F829" s="7">
        <v>20184</v>
      </c>
      <c r="G829" s="1">
        <v>32</v>
      </c>
      <c r="H829" s="1">
        <v>9</v>
      </c>
      <c r="I829" s="1">
        <v>44</v>
      </c>
      <c r="J829" s="1">
        <v>9</v>
      </c>
      <c r="K829" s="1">
        <v>60</v>
      </c>
      <c r="L829" s="1">
        <v>32</v>
      </c>
      <c r="M829" s="1">
        <v>0.72</v>
      </c>
      <c r="O829" s="7">
        <v>20184</v>
      </c>
      <c r="P829" s="4">
        <v>44957</v>
      </c>
      <c r="Q829" s="4">
        <v>44964</v>
      </c>
      <c r="R829" s="1" t="s">
        <v>73</v>
      </c>
      <c r="AO829" s="7">
        <v>20184</v>
      </c>
      <c r="AP829" s="5">
        <v>9.7</v>
      </c>
      <c r="AQ829" s="5">
        <v>89</v>
      </c>
      <c r="AR829" s="5">
        <v>29.3</v>
      </c>
      <c r="AS829" s="5">
        <v>91.8</v>
      </c>
      <c r="AT829" s="5">
        <v>45</v>
      </c>
      <c r="AU829" s="5">
        <v>9</v>
      </c>
      <c r="AV829" s="5">
        <v>4.7</v>
      </c>
      <c r="AW829" s="5">
        <v>8.97</v>
      </c>
      <c r="AX829" s="5">
        <v>50</v>
      </c>
      <c r="AY829" s="5" t="s">
        <v>125</v>
      </c>
      <c r="AZ829" s="5" t="s">
        <v>75</v>
      </c>
      <c r="BA829" s="5" t="s">
        <v>76</v>
      </c>
      <c r="BB829" s="12" t="s">
        <v>76</v>
      </c>
      <c r="BC829" s="5">
        <v>4.06</v>
      </c>
      <c r="BD829" s="5">
        <v>89</v>
      </c>
      <c r="BE829" s="5" t="s">
        <v>76</v>
      </c>
      <c r="BF829" s="5" t="s">
        <v>76</v>
      </c>
      <c r="BG829" s="15">
        <v>37.6</v>
      </c>
      <c r="BH829" s="5" t="s">
        <v>76</v>
      </c>
      <c r="BI829" s="5">
        <v>100</v>
      </c>
      <c r="BJ829" s="5">
        <v>32</v>
      </c>
      <c r="BK829" s="5">
        <v>112</v>
      </c>
      <c r="BL829" s="5">
        <v>60</v>
      </c>
      <c r="BM829" s="5" t="s">
        <v>77</v>
      </c>
      <c r="BN829" s="5" t="s">
        <v>77</v>
      </c>
      <c r="BO829" s="5" t="e">
        <f t="shared" si="12"/>
        <v>#VALUE!</v>
      </c>
      <c r="BP829" s="5" t="s">
        <v>117</v>
      </c>
      <c r="BQ829" s="5" t="s">
        <v>76</v>
      </c>
      <c r="BR829" s="5">
        <v>4330.61</v>
      </c>
    </row>
    <row r="830" s="1" customFormat="1" spans="1:70">
      <c r="A830" s="1">
        <v>3264310</v>
      </c>
      <c r="B830" s="1" t="s">
        <v>2068</v>
      </c>
      <c r="D830" s="4">
        <v>44935</v>
      </c>
      <c r="E830" s="4">
        <v>44940</v>
      </c>
      <c r="F830" s="7">
        <v>20185</v>
      </c>
      <c r="G830" s="1">
        <v>33</v>
      </c>
      <c r="H830" s="1">
        <v>10</v>
      </c>
      <c r="I830" s="1">
        <v>44</v>
      </c>
      <c r="J830" s="1">
        <v>10</v>
      </c>
      <c r="K830" s="1">
        <v>58</v>
      </c>
      <c r="L830" s="1">
        <v>31</v>
      </c>
      <c r="M830" s="1">
        <v>0.71</v>
      </c>
      <c r="O830" s="7">
        <v>20185</v>
      </c>
      <c r="P830" s="4">
        <v>44935</v>
      </c>
      <c r="Q830" s="4">
        <v>44940</v>
      </c>
      <c r="R830" s="1" t="s">
        <v>73</v>
      </c>
      <c r="AO830" s="7">
        <v>20185</v>
      </c>
      <c r="AP830" s="5">
        <v>7.7</v>
      </c>
      <c r="AQ830" s="5">
        <v>90</v>
      </c>
      <c r="AR830" s="5">
        <v>33</v>
      </c>
      <c r="AS830" s="5">
        <v>246</v>
      </c>
      <c r="AT830" s="5">
        <v>45</v>
      </c>
      <c r="AU830" s="5">
        <v>48</v>
      </c>
      <c r="AV830" s="5">
        <v>32.8</v>
      </c>
      <c r="AW830" s="5">
        <v>7.87</v>
      </c>
      <c r="AX830" s="5">
        <v>210</v>
      </c>
      <c r="AY830" s="5">
        <v>30.52</v>
      </c>
      <c r="AZ830" s="5">
        <v>9.9</v>
      </c>
      <c r="BA830" s="5" t="s">
        <v>76</v>
      </c>
      <c r="BB830" s="12" t="s">
        <v>76</v>
      </c>
      <c r="BC830" s="5">
        <v>5.18</v>
      </c>
      <c r="BD830" s="5">
        <v>90</v>
      </c>
      <c r="BE830" s="5" t="s">
        <v>76</v>
      </c>
      <c r="BF830" s="5" t="s">
        <v>76</v>
      </c>
      <c r="BG830" s="15">
        <v>38</v>
      </c>
      <c r="BH830" s="5">
        <v>100</v>
      </c>
      <c r="BI830" s="5">
        <v>100</v>
      </c>
      <c r="BJ830" s="5">
        <v>24</v>
      </c>
      <c r="BK830" s="5">
        <v>108</v>
      </c>
      <c r="BL830" s="5">
        <v>64</v>
      </c>
      <c r="BM830" s="5">
        <v>52</v>
      </c>
      <c r="BN830" s="5">
        <v>159</v>
      </c>
      <c r="BO830" s="5">
        <f t="shared" si="12"/>
        <v>20.5688066136624</v>
      </c>
      <c r="BP830" s="5" t="s">
        <v>117</v>
      </c>
      <c r="BQ830" s="5" t="s">
        <v>76</v>
      </c>
      <c r="BR830" s="5">
        <v>9820</v>
      </c>
    </row>
    <row r="831" s="1" customFormat="1" spans="1:70">
      <c r="A831" s="1" t="s">
        <v>2069</v>
      </c>
      <c r="B831" s="1" t="s">
        <v>2070</v>
      </c>
      <c r="D831" s="4">
        <v>44986</v>
      </c>
      <c r="E831" s="4">
        <v>45008</v>
      </c>
      <c r="F831" s="7">
        <v>20186</v>
      </c>
      <c r="G831" s="1">
        <v>34</v>
      </c>
      <c r="H831" s="1">
        <v>9</v>
      </c>
      <c r="I831" s="1">
        <v>50</v>
      </c>
      <c r="J831" s="1">
        <v>9</v>
      </c>
      <c r="K831" s="1">
        <v>66</v>
      </c>
      <c r="L831" s="1">
        <v>36</v>
      </c>
      <c r="M831" s="1">
        <v>0.71</v>
      </c>
      <c r="N831" s="1">
        <v>8.4</v>
      </c>
      <c r="O831" s="7">
        <v>20186</v>
      </c>
      <c r="P831" s="4">
        <v>44986</v>
      </c>
      <c r="Q831" s="4">
        <v>45008</v>
      </c>
      <c r="R831" s="1" t="s">
        <v>80</v>
      </c>
      <c r="AO831" s="7">
        <v>20186</v>
      </c>
      <c r="AP831" s="5" t="s">
        <v>179</v>
      </c>
      <c r="AQ831" s="5" t="s">
        <v>89</v>
      </c>
      <c r="AR831" s="5" t="s">
        <v>689</v>
      </c>
      <c r="AS831" s="5" t="s">
        <v>2071</v>
      </c>
      <c r="AT831" s="5" t="s">
        <v>1047</v>
      </c>
      <c r="AU831" s="5" t="s">
        <v>93</v>
      </c>
      <c r="AV831" s="5" t="s">
        <v>730</v>
      </c>
      <c r="AW831" s="5" t="s">
        <v>2072</v>
      </c>
      <c r="AX831" s="5" t="s">
        <v>482</v>
      </c>
      <c r="AY831" s="5" t="s">
        <v>2073</v>
      </c>
      <c r="AZ831" s="5" t="s">
        <v>381</v>
      </c>
      <c r="BA831" s="5" t="s">
        <v>1291</v>
      </c>
      <c r="BB831" s="12" t="s">
        <v>76</v>
      </c>
      <c r="BC831" s="5" t="s">
        <v>1473</v>
      </c>
      <c r="BD831" s="5" t="s">
        <v>89</v>
      </c>
      <c r="BE831" s="5" t="s">
        <v>2074</v>
      </c>
      <c r="BF831" s="5" t="s">
        <v>1986</v>
      </c>
      <c r="BG831" s="15">
        <v>36.5</v>
      </c>
      <c r="BH831" s="5" t="s">
        <v>772</v>
      </c>
      <c r="BI831" s="5" t="s">
        <v>772</v>
      </c>
      <c r="BJ831" s="5" t="s">
        <v>293</v>
      </c>
      <c r="BK831" s="5" t="s">
        <v>1222</v>
      </c>
      <c r="BL831" s="5" t="s">
        <v>598</v>
      </c>
      <c r="BM831" s="5" t="s">
        <v>468</v>
      </c>
      <c r="BN831" s="5">
        <v>167</v>
      </c>
      <c r="BO831" s="5">
        <f t="shared" si="12"/>
        <v>23.3066800530675</v>
      </c>
      <c r="BP831" s="5" t="s">
        <v>1121</v>
      </c>
      <c r="BQ831" s="5" t="s">
        <v>76</v>
      </c>
      <c r="BR831" s="5">
        <v>2865</v>
      </c>
    </row>
    <row r="832" s="1" customFormat="1" spans="1:70">
      <c r="A832" s="1">
        <v>3305651</v>
      </c>
      <c r="B832" s="1" t="s">
        <v>2075</v>
      </c>
      <c r="D832" s="4">
        <v>44999</v>
      </c>
      <c r="E832" s="4">
        <v>45005</v>
      </c>
      <c r="F832" s="7">
        <v>20189</v>
      </c>
      <c r="G832" s="1">
        <v>43</v>
      </c>
      <c r="H832" s="1">
        <v>10</v>
      </c>
      <c r="I832" s="1">
        <v>53</v>
      </c>
      <c r="J832" s="1">
        <v>10</v>
      </c>
      <c r="K832" s="1">
        <v>53</v>
      </c>
      <c r="L832" s="1">
        <v>28</v>
      </c>
      <c r="N832" s="1">
        <v>9</v>
      </c>
      <c r="O832" s="7">
        <v>20189</v>
      </c>
      <c r="P832" s="4">
        <v>44999</v>
      </c>
      <c r="Q832" s="4">
        <v>45005</v>
      </c>
      <c r="R832" s="1" t="s">
        <v>80</v>
      </c>
      <c r="AO832" s="7">
        <v>20189</v>
      </c>
      <c r="AP832" s="5">
        <v>3.1</v>
      </c>
      <c r="AQ832" s="5">
        <v>127</v>
      </c>
      <c r="AR832" s="5">
        <v>39.6</v>
      </c>
      <c r="AS832" s="5" t="s">
        <v>76</v>
      </c>
      <c r="AT832" s="5">
        <v>21</v>
      </c>
      <c r="AU832" s="5">
        <v>13</v>
      </c>
      <c r="AV832" s="5">
        <v>32.8</v>
      </c>
      <c r="AW832" s="5">
        <v>4.27</v>
      </c>
      <c r="AX832" s="5">
        <v>37</v>
      </c>
      <c r="AY832" s="5" t="s">
        <v>125</v>
      </c>
      <c r="AZ832" s="5">
        <v>4.6</v>
      </c>
      <c r="BA832" s="5">
        <v>2.69</v>
      </c>
      <c r="BB832" s="12" t="s">
        <v>76</v>
      </c>
      <c r="BC832" s="5">
        <v>3.52</v>
      </c>
      <c r="BD832" s="5">
        <v>127</v>
      </c>
      <c r="BE832" s="5">
        <v>1.11</v>
      </c>
      <c r="BF832" s="5">
        <v>1.22</v>
      </c>
      <c r="BG832" s="15">
        <v>36.3</v>
      </c>
      <c r="BH832" s="5">
        <v>64</v>
      </c>
      <c r="BI832" s="5">
        <v>64</v>
      </c>
      <c r="BJ832" s="5">
        <v>17</v>
      </c>
      <c r="BK832" s="5">
        <v>132</v>
      </c>
      <c r="BL832" s="5">
        <v>70</v>
      </c>
      <c r="BM832" s="5">
        <v>53</v>
      </c>
      <c r="BN832" s="5">
        <v>160</v>
      </c>
      <c r="BO832" s="5">
        <f t="shared" si="12"/>
        <v>20.703125</v>
      </c>
      <c r="BP832" s="5" t="s">
        <v>121</v>
      </c>
      <c r="BQ832" s="5" t="s">
        <v>76</v>
      </c>
      <c r="BR832" s="5">
        <v>1101</v>
      </c>
    </row>
    <row r="833" s="1" customFormat="1" spans="1:70">
      <c r="A833" s="1">
        <v>3309636</v>
      </c>
      <c r="B833" s="1" t="s">
        <v>2076</v>
      </c>
      <c r="D833" s="4">
        <v>45004</v>
      </c>
      <c r="E833" s="4">
        <v>45012</v>
      </c>
      <c r="F833" s="7">
        <v>20192</v>
      </c>
      <c r="G833" s="1">
        <v>38</v>
      </c>
      <c r="H833" s="1">
        <v>10</v>
      </c>
      <c r="I833" s="1">
        <v>51</v>
      </c>
      <c r="J833" s="1">
        <v>10</v>
      </c>
      <c r="K833" s="1">
        <v>53</v>
      </c>
      <c r="L833" s="1">
        <v>28</v>
      </c>
      <c r="M833" s="1">
        <v>0.71</v>
      </c>
      <c r="N833" s="1">
        <v>12.1</v>
      </c>
      <c r="O833" s="7">
        <v>20192</v>
      </c>
      <c r="P833" s="4">
        <v>45004</v>
      </c>
      <c r="Q833" s="4">
        <v>45012</v>
      </c>
      <c r="R833" s="1" t="s">
        <v>73</v>
      </c>
      <c r="AO833" s="7">
        <v>20192</v>
      </c>
      <c r="AP833" s="5">
        <v>5.1</v>
      </c>
      <c r="AQ833" s="5">
        <v>111</v>
      </c>
      <c r="AR833" s="5">
        <v>35.1</v>
      </c>
      <c r="AS833" s="5" t="s">
        <v>76</v>
      </c>
      <c r="AT833" s="5">
        <v>32</v>
      </c>
      <c r="AU833" s="5">
        <v>25</v>
      </c>
      <c r="AV833" s="5">
        <v>38.2</v>
      </c>
      <c r="AW833" s="5">
        <v>5.77</v>
      </c>
      <c r="AX833" s="5">
        <v>85</v>
      </c>
      <c r="AY833" s="5">
        <v>61.51</v>
      </c>
      <c r="AZ833" s="5">
        <v>6.2</v>
      </c>
      <c r="BA833" s="5">
        <v>6.56</v>
      </c>
      <c r="BB833" s="12" t="s">
        <v>76</v>
      </c>
      <c r="BC833" s="5">
        <v>3.75</v>
      </c>
      <c r="BD833" s="5">
        <v>111</v>
      </c>
      <c r="BE833" s="5">
        <v>1.49</v>
      </c>
      <c r="BF833" s="5">
        <v>4.1</v>
      </c>
      <c r="BG833" s="15">
        <v>36.5</v>
      </c>
      <c r="BH833" s="5">
        <v>72</v>
      </c>
      <c r="BI833" s="5">
        <v>72</v>
      </c>
      <c r="BJ833" s="5">
        <v>18</v>
      </c>
      <c r="BK833" s="5">
        <v>125</v>
      </c>
      <c r="BL833" s="5">
        <v>75</v>
      </c>
      <c r="BM833" s="5">
        <v>57</v>
      </c>
      <c r="BN833" s="5">
        <v>160</v>
      </c>
      <c r="BO833" s="5">
        <f t="shared" si="12"/>
        <v>22.265625</v>
      </c>
      <c r="BP833" s="5" t="s">
        <v>121</v>
      </c>
      <c r="BQ833" s="5" t="s">
        <v>76</v>
      </c>
      <c r="BR833" s="5">
        <v>1782</v>
      </c>
    </row>
    <row r="834" s="1" customFormat="1" spans="1:70">
      <c r="A834" s="1">
        <v>3512908</v>
      </c>
      <c r="B834" s="1" t="s">
        <v>2077</v>
      </c>
      <c r="D834" s="4">
        <v>45285</v>
      </c>
      <c r="E834" s="4">
        <v>45290</v>
      </c>
      <c r="F834" s="7">
        <v>20199</v>
      </c>
      <c r="G834" s="1">
        <v>40</v>
      </c>
      <c r="H834" s="1">
        <v>8</v>
      </c>
      <c r="I834" s="1">
        <v>46</v>
      </c>
      <c r="J834" s="1">
        <v>8</v>
      </c>
      <c r="K834" s="1">
        <v>63</v>
      </c>
      <c r="L834" s="1">
        <v>34</v>
      </c>
      <c r="N834" s="1">
        <v>10.7</v>
      </c>
      <c r="O834" s="7">
        <v>20199</v>
      </c>
      <c r="P834" s="4">
        <v>45285</v>
      </c>
      <c r="Q834" s="4">
        <v>45290</v>
      </c>
      <c r="R834" s="1" t="s">
        <v>73</v>
      </c>
      <c r="AO834" s="7">
        <v>20199</v>
      </c>
      <c r="AP834" s="5">
        <v>11.8</v>
      </c>
      <c r="AQ834" s="5">
        <v>149</v>
      </c>
      <c r="AR834" s="5">
        <v>46.2</v>
      </c>
      <c r="AS834" s="5" t="s">
        <v>374</v>
      </c>
      <c r="AT834" s="5">
        <v>20</v>
      </c>
      <c r="AU834" s="5">
        <v>18</v>
      </c>
      <c r="AV834" s="5">
        <v>42.8</v>
      </c>
      <c r="AW834" s="5">
        <v>5.98</v>
      </c>
      <c r="AX834" s="5">
        <v>50</v>
      </c>
      <c r="AY834" s="5">
        <v>113.13</v>
      </c>
      <c r="AZ834" s="5" t="s">
        <v>75</v>
      </c>
      <c r="BA834" s="5">
        <v>3.89</v>
      </c>
      <c r="BB834" s="12" t="s">
        <v>76</v>
      </c>
      <c r="BC834" s="5">
        <v>4.33</v>
      </c>
      <c r="BD834" s="5">
        <v>149</v>
      </c>
      <c r="BE834" s="5">
        <v>0.96</v>
      </c>
      <c r="BF834" s="5">
        <v>1.41</v>
      </c>
      <c r="BG834" s="15">
        <v>36.5</v>
      </c>
      <c r="BH834" s="5">
        <v>69</v>
      </c>
      <c r="BI834" s="5">
        <v>69</v>
      </c>
      <c r="BJ834" s="5">
        <v>20</v>
      </c>
      <c r="BK834" s="5">
        <v>143</v>
      </c>
      <c r="BL834" s="5">
        <v>67</v>
      </c>
      <c r="BM834" s="5">
        <v>68</v>
      </c>
      <c r="BN834" s="5">
        <v>155</v>
      </c>
      <c r="BO834" s="5">
        <f t="shared" si="12"/>
        <v>28.3038501560874</v>
      </c>
      <c r="BP834" s="5" t="s">
        <v>78</v>
      </c>
      <c r="BQ834" s="5">
        <v>6.4</v>
      </c>
      <c r="BR834" s="5">
        <v>2036</v>
      </c>
    </row>
    <row r="835" s="1" customFormat="1" spans="1:70">
      <c r="A835" s="1">
        <v>3316057</v>
      </c>
      <c r="B835" s="1" t="s">
        <v>2078</v>
      </c>
      <c r="C835" s="1">
        <v>1</v>
      </c>
      <c r="D835" s="4">
        <v>45012</v>
      </c>
      <c r="E835" s="4">
        <v>45028</v>
      </c>
      <c r="F835" s="7">
        <v>20207</v>
      </c>
      <c r="G835" s="1">
        <v>30</v>
      </c>
      <c r="H835" s="1">
        <v>9</v>
      </c>
      <c r="I835" s="1">
        <v>43</v>
      </c>
      <c r="J835" s="1">
        <v>9</v>
      </c>
      <c r="K835" s="1">
        <v>51</v>
      </c>
      <c r="L835" s="1">
        <v>26</v>
      </c>
      <c r="M835" s="1">
        <v>0.44</v>
      </c>
      <c r="N835" s="1">
        <v>6.5</v>
      </c>
      <c r="O835" s="7">
        <v>20207</v>
      </c>
      <c r="P835" s="4">
        <v>45012</v>
      </c>
      <c r="Q835" s="4">
        <v>45028</v>
      </c>
      <c r="R835" s="1" t="s">
        <v>73</v>
      </c>
      <c r="AO835" s="7">
        <v>20207</v>
      </c>
      <c r="AP835" s="5">
        <v>9.9</v>
      </c>
      <c r="AQ835" s="5">
        <v>97</v>
      </c>
      <c r="AR835" s="5">
        <v>28.2</v>
      </c>
      <c r="AS835" s="5">
        <v>8.9</v>
      </c>
      <c r="AT835" s="5">
        <v>79</v>
      </c>
      <c r="AU835" s="5">
        <v>9</v>
      </c>
      <c r="AV835" s="5">
        <v>37.1</v>
      </c>
      <c r="AW835" s="5">
        <v>31.77</v>
      </c>
      <c r="AX835" s="5">
        <v>292</v>
      </c>
      <c r="AY835" s="5">
        <v>24.92</v>
      </c>
      <c r="AZ835" s="5" t="s">
        <v>75</v>
      </c>
      <c r="BA835" s="5" t="s">
        <v>76</v>
      </c>
      <c r="BB835" s="12" t="s">
        <v>76</v>
      </c>
      <c r="BC835" s="5" t="s">
        <v>4</v>
      </c>
      <c r="BD835" s="5">
        <v>97</v>
      </c>
      <c r="BE835" s="5" t="s">
        <v>76</v>
      </c>
      <c r="BF835" s="5" t="s">
        <v>76</v>
      </c>
      <c r="BG835" s="15">
        <v>36.7</v>
      </c>
      <c r="BH835" s="5">
        <v>97</v>
      </c>
      <c r="BI835" s="5" t="s">
        <v>76</v>
      </c>
      <c r="BJ835" s="5">
        <v>20</v>
      </c>
      <c r="BK835" s="5">
        <v>151</v>
      </c>
      <c r="BL835" s="5">
        <v>98</v>
      </c>
      <c r="BM835" s="5" t="s">
        <v>274</v>
      </c>
      <c r="BN835" s="5" t="s">
        <v>274</v>
      </c>
      <c r="BO835" s="5" t="e">
        <f t="shared" ref="BO835:BO898" si="13">BM835/(BN835/100)^2</f>
        <v>#VALUE!</v>
      </c>
      <c r="BP835" s="5" t="s">
        <v>117</v>
      </c>
      <c r="BQ835" s="5">
        <v>5.1</v>
      </c>
      <c r="BR835" s="5" t="s">
        <v>1155</v>
      </c>
    </row>
    <row r="836" s="1" customFormat="1" spans="1:70">
      <c r="A836" s="1">
        <v>3290798</v>
      </c>
      <c r="B836" s="1" t="s">
        <v>2079</v>
      </c>
      <c r="D836" s="4">
        <v>44978</v>
      </c>
      <c r="E836" s="4">
        <v>44984</v>
      </c>
      <c r="F836" s="7">
        <v>20213</v>
      </c>
      <c r="G836" s="1">
        <v>43</v>
      </c>
      <c r="H836" s="1">
        <v>10</v>
      </c>
      <c r="I836" s="1">
        <v>55</v>
      </c>
      <c r="J836" s="1">
        <v>10</v>
      </c>
      <c r="K836" s="1">
        <v>68</v>
      </c>
      <c r="L836" s="1">
        <v>39</v>
      </c>
      <c r="M836" s="1">
        <v>0.79</v>
      </c>
      <c r="N836" s="1">
        <v>12.8</v>
      </c>
      <c r="O836" s="7">
        <v>20213</v>
      </c>
      <c r="P836" s="4">
        <v>44978</v>
      </c>
      <c r="Q836" s="4">
        <v>44984</v>
      </c>
      <c r="R836" s="1" t="s">
        <v>80</v>
      </c>
      <c r="AO836" s="7">
        <v>20213</v>
      </c>
      <c r="AP836" s="5">
        <v>5.3</v>
      </c>
      <c r="AQ836" s="5">
        <v>95</v>
      </c>
      <c r="AR836" s="5">
        <v>29</v>
      </c>
      <c r="AS836" s="5" t="s">
        <v>76</v>
      </c>
      <c r="AT836" s="5">
        <v>34</v>
      </c>
      <c r="AU836" s="5" t="s">
        <v>76</v>
      </c>
      <c r="AV836" s="5" t="s">
        <v>76</v>
      </c>
      <c r="AW836" s="5">
        <v>11.72</v>
      </c>
      <c r="AX836" s="5">
        <v>210</v>
      </c>
      <c r="AY836" s="5">
        <v>30.18</v>
      </c>
      <c r="AZ836" s="5" t="s">
        <v>75</v>
      </c>
      <c r="BA836" s="5" t="s">
        <v>76</v>
      </c>
      <c r="BB836" s="12" t="s">
        <v>76</v>
      </c>
      <c r="BC836" s="5">
        <v>6</v>
      </c>
      <c r="BD836" s="5">
        <v>95</v>
      </c>
      <c r="BE836" s="5" t="s">
        <v>76</v>
      </c>
      <c r="BF836" s="5" t="s">
        <v>76</v>
      </c>
      <c r="BG836" s="15">
        <v>36.5</v>
      </c>
      <c r="BH836" s="5">
        <v>74</v>
      </c>
      <c r="BI836" s="5" t="s">
        <v>76</v>
      </c>
      <c r="BJ836" s="5">
        <v>16</v>
      </c>
      <c r="BK836" s="5">
        <v>153</v>
      </c>
      <c r="BL836" s="5">
        <v>71</v>
      </c>
      <c r="BM836" s="5">
        <v>88</v>
      </c>
      <c r="BN836" s="5">
        <v>165</v>
      </c>
      <c r="BO836" s="5">
        <f t="shared" si="13"/>
        <v>32.3232323232323</v>
      </c>
      <c r="BP836" s="5" t="s">
        <v>415</v>
      </c>
      <c r="BQ836" s="5">
        <v>5.6</v>
      </c>
      <c r="BR836" s="5">
        <v>1554</v>
      </c>
    </row>
    <row r="837" s="1" customFormat="1" spans="1:70">
      <c r="A837" s="1" t="s">
        <v>2080</v>
      </c>
      <c r="B837" s="1" t="s">
        <v>2081</v>
      </c>
      <c r="D837" s="4">
        <v>44954</v>
      </c>
      <c r="E837" s="4">
        <v>44980</v>
      </c>
      <c r="F837" s="7">
        <v>20214</v>
      </c>
      <c r="G837" s="1">
        <v>33</v>
      </c>
      <c r="H837" s="1">
        <v>9</v>
      </c>
      <c r="I837" s="1">
        <v>44</v>
      </c>
      <c r="J837" s="1">
        <v>9</v>
      </c>
      <c r="K837" s="1">
        <v>59</v>
      </c>
      <c r="L837" s="1">
        <v>31</v>
      </c>
      <c r="M837" s="1">
        <v>0.72</v>
      </c>
      <c r="N837" s="1">
        <v>7.9</v>
      </c>
      <c r="O837" s="7">
        <v>20214</v>
      </c>
      <c r="P837" s="4">
        <v>44954</v>
      </c>
      <c r="Q837" s="4">
        <v>44980</v>
      </c>
      <c r="R837" s="1" t="s">
        <v>73</v>
      </c>
      <c r="AO837" s="7">
        <v>20214</v>
      </c>
      <c r="AP837" s="5" t="s">
        <v>889</v>
      </c>
      <c r="AQ837" s="5" t="s">
        <v>533</v>
      </c>
      <c r="AR837" s="5" t="s">
        <v>2082</v>
      </c>
      <c r="AS837" s="5" t="s">
        <v>2083</v>
      </c>
      <c r="AT837" s="5" t="s">
        <v>755</v>
      </c>
      <c r="AU837" s="5" t="s">
        <v>93</v>
      </c>
      <c r="AV837" s="5" t="s">
        <v>1001</v>
      </c>
      <c r="AW837" s="5" t="s">
        <v>2084</v>
      </c>
      <c r="AX837" s="5" t="s">
        <v>233</v>
      </c>
      <c r="AY837" s="5" t="s">
        <v>125</v>
      </c>
      <c r="AZ837" s="5" t="s">
        <v>311</v>
      </c>
      <c r="BA837" s="5" t="s">
        <v>76</v>
      </c>
      <c r="BB837" s="12" t="s">
        <v>76</v>
      </c>
      <c r="BC837" s="5" t="s">
        <v>1087</v>
      </c>
      <c r="BD837" s="5" t="s">
        <v>533</v>
      </c>
      <c r="BE837" s="5" t="s">
        <v>76</v>
      </c>
      <c r="BF837" s="5" t="s">
        <v>76</v>
      </c>
      <c r="BG837" s="15">
        <v>36.7</v>
      </c>
      <c r="BH837" s="5" t="s">
        <v>350</v>
      </c>
      <c r="BI837" s="5" t="s">
        <v>350</v>
      </c>
      <c r="BJ837" s="5" t="s">
        <v>1766</v>
      </c>
      <c r="BK837" s="5" t="s">
        <v>572</v>
      </c>
      <c r="BL837" s="5" t="s">
        <v>245</v>
      </c>
      <c r="BM837" s="5" t="s">
        <v>422</v>
      </c>
      <c r="BN837" s="5">
        <v>150</v>
      </c>
      <c r="BO837" s="5">
        <f t="shared" si="13"/>
        <v>20</v>
      </c>
      <c r="BP837" s="5" t="s">
        <v>337</v>
      </c>
      <c r="BQ837" s="5" t="s">
        <v>76</v>
      </c>
      <c r="BR837" s="5">
        <v>4119</v>
      </c>
    </row>
    <row r="838" s="1" customFormat="1" spans="1:70">
      <c r="A838" s="1">
        <v>3503620</v>
      </c>
      <c r="B838" s="1" t="s">
        <v>2085</v>
      </c>
      <c r="D838" s="4">
        <v>45271</v>
      </c>
      <c r="E838" s="4">
        <v>45275</v>
      </c>
      <c r="F838" s="7">
        <v>20220</v>
      </c>
      <c r="G838" s="1">
        <v>44</v>
      </c>
      <c r="H838" s="1">
        <v>9</v>
      </c>
      <c r="I838" s="1">
        <v>52</v>
      </c>
      <c r="J838" s="1">
        <v>9</v>
      </c>
      <c r="K838" s="1">
        <v>68</v>
      </c>
      <c r="L838" s="1">
        <v>39</v>
      </c>
      <c r="N838" s="1">
        <v>17.6</v>
      </c>
      <c r="O838" s="7">
        <v>20220</v>
      </c>
      <c r="P838" s="4">
        <v>45271</v>
      </c>
      <c r="Q838" s="4">
        <v>45275</v>
      </c>
      <c r="R838" s="1" t="s">
        <v>73</v>
      </c>
      <c r="AO838" s="7">
        <v>20220</v>
      </c>
      <c r="AP838" s="5">
        <v>5.5</v>
      </c>
      <c r="AQ838" s="5">
        <v>142</v>
      </c>
      <c r="AR838" s="5">
        <v>51</v>
      </c>
      <c r="AS838" s="5" t="s">
        <v>76</v>
      </c>
      <c r="AT838" s="5">
        <v>23</v>
      </c>
      <c r="AU838" s="5">
        <v>14</v>
      </c>
      <c r="AV838" s="5">
        <v>36.2</v>
      </c>
      <c r="AW838" s="5">
        <v>7.74</v>
      </c>
      <c r="AX838" s="5">
        <v>56</v>
      </c>
      <c r="AY838" s="5">
        <v>99.26</v>
      </c>
      <c r="AZ838" s="5">
        <v>4.92</v>
      </c>
      <c r="BA838" s="5">
        <v>2.96</v>
      </c>
      <c r="BB838" s="12" t="s">
        <v>76</v>
      </c>
      <c r="BC838" s="5">
        <v>4.19</v>
      </c>
      <c r="BD838" s="5">
        <v>142</v>
      </c>
      <c r="BE838" s="5">
        <v>1.32</v>
      </c>
      <c r="BF838" s="5">
        <v>0.9</v>
      </c>
      <c r="BG838" s="15">
        <v>36.7</v>
      </c>
      <c r="BH838" s="5">
        <v>71</v>
      </c>
      <c r="BI838" s="5">
        <v>70</v>
      </c>
      <c r="BJ838" s="5">
        <v>18</v>
      </c>
      <c r="BK838" s="5">
        <v>103</v>
      </c>
      <c r="BL838" s="5">
        <v>76</v>
      </c>
      <c r="BM838" s="5">
        <v>73</v>
      </c>
      <c r="BN838" s="5">
        <v>158</v>
      </c>
      <c r="BO838" s="5">
        <f t="shared" si="13"/>
        <v>29.2421086364365</v>
      </c>
      <c r="BP838" s="5" t="s">
        <v>415</v>
      </c>
      <c r="BQ838" s="5">
        <v>8.5</v>
      </c>
      <c r="BR838" s="5">
        <v>1388</v>
      </c>
    </row>
    <row r="839" s="1" customFormat="1" spans="1:70">
      <c r="A839" s="1" t="s">
        <v>2086</v>
      </c>
      <c r="B839" s="1" t="s">
        <v>2087</v>
      </c>
      <c r="D839" s="4">
        <v>44902</v>
      </c>
      <c r="E839" s="4">
        <v>44906</v>
      </c>
      <c r="F839" s="7">
        <v>20232</v>
      </c>
      <c r="G839" s="1">
        <v>32</v>
      </c>
      <c r="H839" s="1">
        <v>8</v>
      </c>
      <c r="I839" s="1">
        <v>43</v>
      </c>
      <c r="J839" s="1">
        <v>8</v>
      </c>
      <c r="K839" s="1">
        <v>64</v>
      </c>
      <c r="L839" s="1">
        <v>35</v>
      </c>
      <c r="M839" s="1">
        <v>1.11</v>
      </c>
      <c r="N839" s="1">
        <v>12.5</v>
      </c>
      <c r="O839" s="7">
        <v>20232</v>
      </c>
      <c r="P839" s="4">
        <v>44902</v>
      </c>
      <c r="Q839" s="4">
        <v>44906</v>
      </c>
      <c r="R839" s="1" t="s">
        <v>80</v>
      </c>
      <c r="AO839" s="7">
        <v>20232</v>
      </c>
      <c r="AP839" s="5" t="s">
        <v>1131</v>
      </c>
      <c r="AQ839" s="5" t="s">
        <v>201</v>
      </c>
      <c r="AR839" s="5" t="s">
        <v>2088</v>
      </c>
      <c r="AS839" s="5" t="s">
        <v>2089</v>
      </c>
      <c r="AT839" s="5" t="s">
        <v>691</v>
      </c>
      <c r="AU839" s="5" t="s">
        <v>382</v>
      </c>
      <c r="AV839" s="5" t="s">
        <v>2090</v>
      </c>
      <c r="AW839" s="5" t="s">
        <v>2091</v>
      </c>
      <c r="AX839" s="5" t="s">
        <v>755</v>
      </c>
      <c r="AY839" s="5" t="s">
        <v>76</v>
      </c>
      <c r="AZ839" s="5" t="s">
        <v>75</v>
      </c>
      <c r="BA839" s="5" t="s">
        <v>314</v>
      </c>
      <c r="BB839" s="12" t="s">
        <v>76</v>
      </c>
      <c r="BC839" s="5" t="s">
        <v>4</v>
      </c>
      <c r="BD839" s="5" t="s">
        <v>201</v>
      </c>
      <c r="BE839" s="5" t="s">
        <v>2092</v>
      </c>
      <c r="BF839" s="5" t="s">
        <v>1610</v>
      </c>
      <c r="BG839" s="15">
        <v>36.3</v>
      </c>
      <c r="BH839" s="5" t="s">
        <v>76</v>
      </c>
      <c r="BI839" s="5" t="s">
        <v>100</v>
      </c>
      <c r="BJ839" s="5" t="s">
        <v>293</v>
      </c>
      <c r="BK839" s="5" t="s">
        <v>467</v>
      </c>
      <c r="BL839" s="5" t="s">
        <v>140</v>
      </c>
      <c r="BM839" s="5" t="s">
        <v>215</v>
      </c>
      <c r="BN839" s="5">
        <v>180</v>
      </c>
      <c r="BO839" s="5">
        <f t="shared" si="13"/>
        <v>18.5185185185185</v>
      </c>
      <c r="BP839" s="5" t="s">
        <v>412</v>
      </c>
      <c r="BQ839" s="5" t="s">
        <v>76</v>
      </c>
      <c r="BR839" s="5">
        <v>2430</v>
      </c>
    </row>
    <row r="840" s="1" customFormat="1" spans="1:70">
      <c r="A840" s="1">
        <v>3268721</v>
      </c>
      <c r="B840" s="1" t="s">
        <v>2093</v>
      </c>
      <c r="D840" s="4">
        <v>44945</v>
      </c>
      <c r="E840" s="4">
        <v>44959</v>
      </c>
      <c r="F840" s="7">
        <v>20235</v>
      </c>
      <c r="G840" s="1">
        <v>36</v>
      </c>
      <c r="H840" s="1">
        <v>9</v>
      </c>
      <c r="I840" s="1">
        <v>45</v>
      </c>
      <c r="J840" s="1">
        <v>9</v>
      </c>
      <c r="K840" s="1">
        <v>56</v>
      </c>
      <c r="L840" s="1">
        <v>29</v>
      </c>
      <c r="M840" s="1">
        <v>0.62</v>
      </c>
      <c r="N840" s="1">
        <v>5.5</v>
      </c>
      <c r="O840" s="7">
        <v>20235</v>
      </c>
      <c r="P840" s="4">
        <v>44945</v>
      </c>
      <c r="Q840" s="4">
        <v>44959</v>
      </c>
      <c r="R840" s="1" t="s">
        <v>80</v>
      </c>
      <c r="AO840" s="7">
        <v>20235</v>
      </c>
      <c r="AP840" s="5">
        <v>754.5</v>
      </c>
      <c r="AQ840" s="5">
        <v>80</v>
      </c>
      <c r="AR840" s="5">
        <v>40</v>
      </c>
      <c r="AS840" s="5">
        <v>84.9</v>
      </c>
      <c r="AT840" s="5">
        <v>8</v>
      </c>
      <c r="AU840" s="5">
        <v>8</v>
      </c>
      <c r="AV840" s="5">
        <v>41.2</v>
      </c>
      <c r="AW840" s="5">
        <v>87.77</v>
      </c>
      <c r="AX840" s="5">
        <v>392</v>
      </c>
      <c r="AY840" s="5">
        <v>47.39</v>
      </c>
      <c r="AZ840" s="5" t="s">
        <v>75</v>
      </c>
      <c r="BA840" s="5">
        <v>2.14</v>
      </c>
      <c r="BB840" s="12" t="s">
        <v>76</v>
      </c>
      <c r="BC840" s="5">
        <v>5.3</v>
      </c>
      <c r="BD840" s="5">
        <v>80</v>
      </c>
      <c r="BE840" s="5">
        <v>0.54</v>
      </c>
      <c r="BF840" s="5">
        <v>1.28</v>
      </c>
      <c r="BG840" s="15">
        <v>36.2</v>
      </c>
      <c r="BH840" s="5" t="s">
        <v>76</v>
      </c>
      <c r="BI840" s="5">
        <v>84</v>
      </c>
      <c r="BJ840" s="5">
        <v>23</v>
      </c>
      <c r="BK840" s="5">
        <v>102</v>
      </c>
      <c r="BL840" s="5">
        <v>59</v>
      </c>
      <c r="BM840" s="5">
        <v>53.5</v>
      </c>
      <c r="BN840" s="5">
        <v>179</v>
      </c>
      <c r="BO840" s="5">
        <f t="shared" si="13"/>
        <v>16.697356511969</v>
      </c>
      <c r="BP840" s="5" t="s">
        <v>369</v>
      </c>
      <c r="BQ840" s="5">
        <v>6.9</v>
      </c>
      <c r="BR840" s="5">
        <v>8882</v>
      </c>
    </row>
    <row r="841" s="1" customFormat="1" spans="1:70">
      <c r="A841" s="1">
        <v>3251561</v>
      </c>
      <c r="B841" s="1" t="s">
        <v>2094</v>
      </c>
      <c r="C841" s="1">
        <v>1</v>
      </c>
      <c r="D841" s="4">
        <v>44904</v>
      </c>
      <c r="E841" s="4">
        <v>44921</v>
      </c>
      <c r="F841" s="7">
        <v>20242</v>
      </c>
      <c r="G841" s="1">
        <v>36</v>
      </c>
      <c r="H841" s="1">
        <v>9</v>
      </c>
      <c r="I841" s="1">
        <v>48</v>
      </c>
      <c r="J841" s="1">
        <v>9</v>
      </c>
      <c r="K841" s="1">
        <v>39</v>
      </c>
      <c r="L841" s="1">
        <v>19</v>
      </c>
      <c r="M841" s="1">
        <v>1.47</v>
      </c>
      <c r="N841" s="1">
        <v>21</v>
      </c>
      <c r="O841" s="7">
        <v>20242</v>
      </c>
      <c r="P841" s="4">
        <v>44904</v>
      </c>
      <c r="Q841" s="4">
        <v>44921</v>
      </c>
      <c r="R841" s="1" t="s">
        <v>73</v>
      </c>
      <c r="AO841" s="7">
        <v>20242</v>
      </c>
      <c r="AP841" s="5">
        <v>8.6</v>
      </c>
      <c r="AQ841" s="5">
        <v>78</v>
      </c>
      <c r="AR841" s="5">
        <v>26.9</v>
      </c>
      <c r="AS841" s="5">
        <v>18.9</v>
      </c>
      <c r="AT841" s="5">
        <v>70</v>
      </c>
      <c r="AU841" s="5">
        <v>9</v>
      </c>
      <c r="AV841" s="5">
        <v>33.7</v>
      </c>
      <c r="AW841" s="5">
        <v>32.48</v>
      </c>
      <c r="AX841" s="5">
        <v>397</v>
      </c>
      <c r="AY841" s="5">
        <v>24.31</v>
      </c>
      <c r="AZ841" s="5">
        <v>5.43</v>
      </c>
      <c r="BA841" s="5">
        <v>3.32</v>
      </c>
      <c r="BB841" s="12" t="s">
        <v>76</v>
      </c>
      <c r="BC841" s="5" t="s">
        <v>4</v>
      </c>
      <c r="BD841" s="5">
        <v>78</v>
      </c>
      <c r="BE841" s="5" t="s">
        <v>76</v>
      </c>
      <c r="BF841" s="5" t="s">
        <v>76</v>
      </c>
      <c r="BG841" s="15">
        <v>36.3</v>
      </c>
      <c r="BH841" s="5" t="s">
        <v>76</v>
      </c>
      <c r="BI841" s="5">
        <v>82</v>
      </c>
      <c r="BJ841" s="5">
        <v>16</v>
      </c>
      <c r="BK841" s="5">
        <v>116</v>
      </c>
      <c r="BL841" s="5">
        <v>59</v>
      </c>
      <c r="BM841" s="5">
        <v>70</v>
      </c>
      <c r="BN841" s="5">
        <v>160</v>
      </c>
      <c r="BO841" s="5">
        <f t="shared" si="13"/>
        <v>27.34375</v>
      </c>
      <c r="BP841" s="5" t="s">
        <v>415</v>
      </c>
      <c r="BQ841" s="5" t="s">
        <v>76</v>
      </c>
      <c r="BR841" s="5" t="s">
        <v>118</v>
      </c>
    </row>
    <row r="842" s="1" customFormat="1" spans="1:70">
      <c r="A842" s="1">
        <v>3484986</v>
      </c>
      <c r="B842" s="1" t="s">
        <v>2095</v>
      </c>
      <c r="D842" s="4">
        <v>45246</v>
      </c>
      <c r="E842" s="4">
        <v>45261</v>
      </c>
      <c r="F842" s="7">
        <v>20255</v>
      </c>
      <c r="G842" s="1">
        <v>60</v>
      </c>
      <c r="H842" s="1">
        <v>9</v>
      </c>
      <c r="I842" s="1">
        <v>49</v>
      </c>
      <c r="J842" s="1">
        <v>9</v>
      </c>
      <c r="K842" s="1">
        <v>65</v>
      </c>
      <c r="L842" s="1">
        <v>35</v>
      </c>
      <c r="O842" s="7">
        <v>20255</v>
      </c>
      <c r="P842" s="4">
        <v>45246</v>
      </c>
      <c r="Q842" s="4">
        <v>45261</v>
      </c>
      <c r="R842" s="1" t="s">
        <v>73</v>
      </c>
      <c r="AO842" s="7">
        <v>20255</v>
      </c>
      <c r="AP842" s="5">
        <v>9.2</v>
      </c>
      <c r="AQ842" s="5">
        <v>88</v>
      </c>
      <c r="AR842" s="5">
        <v>32.2</v>
      </c>
      <c r="AS842" s="5">
        <v>94.5</v>
      </c>
      <c r="AT842" s="5">
        <v>48</v>
      </c>
      <c r="AU842" s="5" t="s">
        <v>171</v>
      </c>
      <c r="AV842" s="5">
        <v>40.9</v>
      </c>
      <c r="AW842" s="5">
        <v>9.63</v>
      </c>
      <c r="AX842" s="5">
        <v>96</v>
      </c>
      <c r="AY842" s="5">
        <v>82.12</v>
      </c>
      <c r="AZ842" s="5" t="s">
        <v>75</v>
      </c>
      <c r="BA842" s="5">
        <v>4.01</v>
      </c>
      <c r="BB842" s="12" t="s">
        <v>76</v>
      </c>
      <c r="BC842" s="5">
        <v>4.99</v>
      </c>
      <c r="BD842" s="5">
        <v>88</v>
      </c>
      <c r="BE842" s="5" t="s">
        <v>76</v>
      </c>
      <c r="BF842" s="5" t="s">
        <v>76</v>
      </c>
      <c r="BG842" s="5" t="s">
        <v>76</v>
      </c>
      <c r="BH842" s="5" t="s">
        <v>76</v>
      </c>
      <c r="BI842" s="5" t="s">
        <v>76</v>
      </c>
      <c r="BJ842" s="5" t="s">
        <v>76</v>
      </c>
      <c r="BK842" s="5" t="s">
        <v>76</v>
      </c>
      <c r="BL842" s="5" t="s">
        <v>76</v>
      </c>
      <c r="BM842" s="5" t="s">
        <v>76</v>
      </c>
      <c r="BN842" s="5" t="s">
        <v>76</v>
      </c>
      <c r="BO842" s="5" t="e">
        <f t="shared" si="13"/>
        <v>#VALUE!</v>
      </c>
      <c r="BP842" s="5" t="s">
        <v>117</v>
      </c>
      <c r="BQ842" s="5" t="s">
        <v>76</v>
      </c>
      <c r="BR842" s="5" t="s">
        <v>118</v>
      </c>
    </row>
    <row r="843" s="1" customFormat="1" spans="1:70">
      <c r="A843" s="1">
        <v>3244800</v>
      </c>
      <c r="B843" s="1" t="s">
        <v>2096</v>
      </c>
      <c r="C843" s="1">
        <v>1</v>
      </c>
      <c r="D843" s="4">
        <v>44890</v>
      </c>
      <c r="E843" s="4">
        <v>44910</v>
      </c>
      <c r="F843" s="7">
        <v>20275</v>
      </c>
      <c r="G843" s="1">
        <v>41</v>
      </c>
      <c r="H843" s="1">
        <v>9</v>
      </c>
      <c r="I843" s="1">
        <v>48</v>
      </c>
      <c r="J843" s="1">
        <v>9</v>
      </c>
      <c r="K843" s="1">
        <v>55</v>
      </c>
      <c r="L843" s="1">
        <v>29</v>
      </c>
      <c r="M843" s="1">
        <v>0.73</v>
      </c>
      <c r="N843" s="1">
        <v>15.4</v>
      </c>
      <c r="O843" s="7">
        <v>20275</v>
      </c>
      <c r="P843" s="4">
        <v>44890</v>
      </c>
      <c r="Q843" s="4">
        <v>44910</v>
      </c>
      <c r="R843" s="1" t="s">
        <v>73</v>
      </c>
      <c r="AO843" s="7">
        <v>20275</v>
      </c>
      <c r="AP843" s="5">
        <v>9.9</v>
      </c>
      <c r="AQ843" s="5">
        <v>94</v>
      </c>
      <c r="AR843" s="5">
        <v>32.2</v>
      </c>
      <c r="AS843" s="5">
        <v>76.1</v>
      </c>
      <c r="AT843" s="5">
        <v>87</v>
      </c>
      <c r="AU843" s="5">
        <v>81</v>
      </c>
      <c r="AV843" s="5">
        <v>32.5</v>
      </c>
      <c r="AW843" s="5">
        <v>41.3</v>
      </c>
      <c r="AX843" s="5">
        <v>510</v>
      </c>
      <c r="AY843" s="5" t="s">
        <v>76</v>
      </c>
      <c r="AZ843" s="5">
        <v>9.8</v>
      </c>
      <c r="BA843" s="5">
        <v>8.18</v>
      </c>
      <c r="BB843" s="12" t="s">
        <v>76</v>
      </c>
      <c r="BC843" s="5">
        <v>6.79</v>
      </c>
      <c r="BD843" s="5">
        <v>94</v>
      </c>
      <c r="BE843" s="5" t="s">
        <v>76</v>
      </c>
      <c r="BF843" s="5" t="s">
        <v>76</v>
      </c>
      <c r="BG843" s="15">
        <v>36.5</v>
      </c>
      <c r="BH843" s="5" t="s">
        <v>76</v>
      </c>
      <c r="BI843" s="5">
        <v>97</v>
      </c>
      <c r="BJ843" s="5">
        <v>20</v>
      </c>
      <c r="BK843" s="5">
        <v>176</v>
      </c>
      <c r="BL843" s="5">
        <v>92</v>
      </c>
      <c r="BM843" s="5">
        <v>50</v>
      </c>
      <c r="BN843" s="5">
        <v>150</v>
      </c>
      <c r="BO843" s="5">
        <f t="shared" si="13"/>
        <v>22.2222222222222</v>
      </c>
      <c r="BP843" s="5" t="s">
        <v>622</v>
      </c>
      <c r="BQ843" s="5" t="s">
        <v>76</v>
      </c>
      <c r="BR843" s="5" t="s">
        <v>118</v>
      </c>
    </row>
    <row r="844" s="1" customFormat="1" spans="1:70">
      <c r="A844" s="1">
        <v>3251451</v>
      </c>
      <c r="B844" s="1" t="s">
        <v>2097</v>
      </c>
      <c r="D844" s="4">
        <v>44903</v>
      </c>
      <c r="E844" s="4">
        <v>44909</v>
      </c>
      <c r="F844" s="7">
        <v>20277</v>
      </c>
      <c r="G844" s="1">
        <v>44</v>
      </c>
      <c r="H844" s="1">
        <v>9</v>
      </c>
      <c r="I844" s="1">
        <v>49</v>
      </c>
      <c r="J844" s="1">
        <v>9</v>
      </c>
      <c r="K844" s="1">
        <v>62</v>
      </c>
      <c r="L844" s="1">
        <v>34</v>
      </c>
      <c r="M844" s="1">
        <v>2.17</v>
      </c>
      <c r="N844" s="1">
        <v>8.9</v>
      </c>
      <c r="O844" s="7">
        <v>20277</v>
      </c>
      <c r="P844" s="4">
        <v>44903</v>
      </c>
      <c r="Q844" s="4">
        <v>44909</v>
      </c>
      <c r="R844" s="1" t="s">
        <v>80</v>
      </c>
      <c r="AO844" s="7">
        <v>20277</v>
      </c>
      <c r="AP844" s="5">
        <v>7.2</v>
      </c>
      <c r="AQ844" s="5">
        <v>113</v>
      </c>
      <c r="AR844" s="5">
        <v>37.5</v>
      </c>
      <c r="AS844" s="5">
        <v>15.9</v>
      </c>
      <c r="AT844" s="5">
        <v>12</v>
      </c>
      <c r="AU844" s="5">
        <v>6</v>
      </c>
      <c r="AV844" s="5">
        <v>41</v>
      </c>
      <c r="AW844" s="5">
        <v>6.12</v>
      </c>
      <c r="AX844" s="5">
        <v>83</v>
      </c>
      <c r="AY844" s="5">
        <v>85.21</v>
      </c>
      <c r="AZ844" s="5" t="s">
        <v>75</v>
      </c>
      <c r="BA844" s="5" t="s">
        <v>76</v>
      </c>
      <c r="BB844" s="12" t="s">
        <v>76</v>
      </c>
      <c r="BC844" s="5">
        <v>4.49</v>
      </c>
      <c r="BD844" s="5">
        <v>113</v>
      </c>
      <c r="BE844" s="5" t="s">
        <v>76</v>
      </c>
      <c r="BF844" s="5" t="s">
        <v>76</v>
      </c>
      <c r="BG844" s="15">
        <v>36.2</v>
      </c>
      <c r="BH844" s="5">
        <v>95</v>
      </c>
      <c r="BI844" s="5" t="s">
        <v>76</v>
      </c>
      <c r="BJ844" s="5">
        <v>20</v>
      </c>
      <c r="BK844" s="5">
        <v>126</v>
      </c>
      <c r="BL844" s="5">
        <v>95</v>
      </c>
      <c r="BM844" s="5">
        <v>68</v>
      </c>
      <c r="BN844" s="5">
        <v>173</v>
      </c>
      <c r="BO844" s="5">
        <f t="shared" si="13"/>
        <v>22.7204383708109</v>
      </c>
      <c r="BP844" s="5" t="s">
        <v>109</v>
      </c>
      <c r="BQ844" s="5">
        <v>7.1</v>
      </c>
      <c r="BR844" s="5">
        <v>1282</v>
      </c>
    </row>
    <row r="845" s="1" customFormat="1" spans="1:70">
      <c r="A845" s="1">
        <v>3273132</v>
      </c>
      <c r="B845" s="1" t="s">
        <v>2098</v>
      </c>
      <c r="D845" s="4">
        <v>44955</v>
      </c>
      <c r="E845" s="4">
        <v>44993</v>
      </c>
      <c r="F845" s="7">
        <v>20285</v>
      </c>
      <c r="G845" s="1">
        <v>27</v>
      </c>
      <c r="H845" s="1">
        <v>9</v>
      </c>
      <c r="I845" s="1">
        <v>45</v>
      </c>
      <c r="J845" s="1">
        <v>9</v>
      </c>
      <c r="K845" s="1">
        <v>65</v>
      </c>
      <c r="L845" s="1">
        <v>35</v>
      </c>
      <c r="M845" s="1">
        <v>1.3</v>
      </c>
      <c r="N845" s="1">
        <v>10.4</v>
      </c>
      <c r="O845" s="7">
        <v>20285</v>
      </c>
      <c r="P845" s="4">
        <v>44955</v>
      </c>
      <c r="Q845" s="4">
        <v>44993</v>
      </c>
      <c r="R845" s="1" t="s">
        <v>80</v>
      </c>
      <c r="AO845" s="7">
        <v>20285</v>
      </c>
      <c r="AP845" s="5">
        <v>6.6</v>
      </c>
      <c r="AQ845" s="5">
        <v>138</v>
      </c>
      <c r="AR845" s="5">
        <v>44.4</v>
      </c>
      <c r="AS845" s="5">
        <v>77.1</v>
      </c>
      <c r="AT845" s="5">
        <v>47</v>
      </c>
      <c r="AU845" s="5">
        <v>37</v>
      </c>
      <c r="AV845" s="5">
        <v>38.8</v>
      </c>
      <c r="AW845" s="5">
        <v>9.28</v>
      </c>
      <c r="AX845" s="5">
        <v>62</v>
      </c>
      <c r="AY845" s="5" t="s">
        <v>125</v>
      </c>
      <c r="AZ845" s="5">
        <v>4.46</v>
      </c>
      <c r="BA845" s="5" t="s">
        <v>76</v>
      </c>
      <c r="BB845" s="12" t="s">
        <v>76</v>
      </c>
      <c r="BC845" s="5">
        <v>5.2</v>
      </c>
      <c r="BD845" s="5">
        <v>138</v>
      </c>
      <c r="BE845" s="5" t="s">
        <v>76</v>
      </c>
      <c r="BF845" s="5" t="s">
        <v>76</v>
      </c>
      <c r="BG845" s="15">
        <v>36.5</v>
      </c>
      <c r="BH845" s="5">
        <v>80</v>
      </c>
      <c r="BI845" s="5" t="s">
        <v>76</v>
      </c>
      <c r="BJ845" s="5">
        <v>20</v>
      </c>
      <c r="BK845" s="5">
        <v>134</v>
      </c>
      <c r="BL845" s="5">
        <v>105</v>
      </c>
      <c r="BM845" s="5">
        <v>55</v>
      </c>
      <c r="BN845" s="5">
        <v>158</v>
      </c>
      <c r="BO845" s="5">
        <f t="shared" si="13"/>
        <v>22.0317256849864</v>
      </c>
      <c r="BP845" s="5" t="s">
        <v>113</v>
      </c>
      <c r="BQ845" s="5" t="s">
        <v>76</v>
      </c>
      <c r="BR845" s="5">
        <v>953</v>
      </c>
    </row>
    <row r="846" s="1" customFormat="1" spans="1:70">
      <c r="A846" s="1">
        <v>3303311</v>
      </c>
      <c r="B846" s="1" t="s">
        <v>2099</v>
      </c>
      <c r="D846" s="4">
        <v>44995</v>
      </c>
      <c r="E846" s="4">
        <v>45006</v>
      </c>
      <c r="F846" s="7">
        <v>20310</v>
      </c>
      <c r="G846" s="1">
        <v>41</v>
      </c>
      <c r="H846" s="1">
        <v>10</v>
      </c>
      <c r="I846" s="1">
        <v>52</v>
      </c>
      <c r="J846" s="1">
        <v>10</v>
      </c>
      <c r="K846" s="1">
        <v>54</v>
      </c>
      <c r="L846" s="1">
        <v>28</v>
      </c>
      <c r="N846" s="1">
        <v>8.9</v>
      </c>
      <c r="O846" s="7">
        <v>20310</v>
      </c>
      <c r="P846" s="4">
        <v>44995</v>
      </c>
      <c r="Q846" s="4">
        <v>45006</v>
      </c>
      <c r="R846" s="1" t="s">
        <v>80</v>
      </c>
      <c r="AO846" s="7">
        <v>20310</v>
      </c>
      <c r="AP846" s="5">
        <v>7.8</v>
      </c>
      <c r="AQ846" s="5">
        <v>145</v>
      </c>
      <c r="AR846" s="5">
        <v>44.3</v>
      </c>
      <c r="AS846" s="5">
        <v>3.5</v>
      </c>
      <c r="AT846" s="5">
        <v>75</v>
      </c>
      <c r="AU846" s="5">
        <v>71</v>
      </c>
      <c r="AV846" s="5">
        <v>38.5</v>
      </c>
      <c r="AW846" s="5">
        <v>9.08</v>
      </c>
      <c r="AX846" s="5">
        <v>61</v>
      </c>
      <c r="AY846" s="5" t="s">
        <v>125</v>
      </c>
      <c r="AZ846" s="5">
        <v>6.3</v>
      </c>
      <c r="BA846" s="5" t="s">
        <v>76</v>
      </c>
      <c r="BB846" s="12" t="s">
        <v>76</v>
      </c>
      <c r="BC846" s="5">
        <v>5.19</v>
      </c>
      <c r="BD846" s="5">
        <v>145</v>
      </c>
      <c r="BE846" s="5" t="s">
        <v>76</v>
      </c>
      <c r="BF846" s="5" t="s">
        <v>76</v>
      </c>
      <c r="BG846" s="15">
        <v>36</v>
      </c>
      <c r="BH846" s="5">
        <v>82</v>
      </c>
      <c r="BI846" s="5">
        <v>82</v>
      </c>
      <c r="BJ846" s="5">
        <v>16</v>
      </c>
      <c r="BK846" s="5">
        <v>142</v>
      </c>
      <c r="BL846" s="5">
        <v>94</v>
      </c>
      <c r="BM846" s="5">
        <v>73</v>
      </c>
      <c r="BN846" s="5">
        <v>178</v>
      </c>
      <c r="BO846" s="5">
        <f t="shared" si="13"/>
        <v>23.0400201994698</v>
      </c>
      <c r="BP846" s="5" t="s">
        <v>109</v>
      </c>
      <c r="BQ846" s="5">
        <v>8</v>
      </c>
      <c r="BR846" s="5">
        <v>2395</v>
      </c>
    </row>
    <row r="847" s="1" customFormat="1" spans="1:70">
      <c r="A847" s="1">
        <v>3271170</v>
      </c>
      <c r="B847" s="1" t="s">
        <v>2100</v>
      </c>
      <c r="D847" s="4">
        <v>44952</v>
      </c>
      <c r="E847" s="4">
        <v>44964</v>
      </c>
      <c r="F847" s="7">
        <v>20311</v>
      </c>
      <c r="G847" s="1">
        <v>34</v>
      </c>
      <c r="H847" s="1">
        <v>10</v>
      </c>
      <c r="I847" s="1">
        <v>61</v>
      </c>
      <c r="J847" s="1">
        <v>9</v>
      </c>
      <c r="K847" s="1">
        <v>39</v>
      </c>
      <c r="L847" s="1">
        <v>19</v>
      </c>
      <c r="M847" s="1">
        <v>0.6</v>
      </c>
      <c r="N847" s="1">
        <v>13</v>
      </c>
      <c r="O847" s="7">
        <v>20311</v>
      </c>
      <c r="P847" s="4">
        <v>44952</v>
      </c>
      <c r="Q847" s="4">
        <v>44964</v>
      </c>
      <c r="R847" s="1" t="s">
        <v>80</v>
      </c>
      <c r="AO847" s="7">
        <v>20311</v>
      </c>
      <c r="AP847" s="5">
        <v>9</v>
      </c>
      <c r="AQ847" s="5">
        <v>138</v>
      </c>
      <c r="AR847" s="5">
        <v>44.1</v>
      </c>
      <c r="AS847" s="5">
        <v>95.6</v>
      </c>
      <c r="AT847" s="5">
        <v>65</v>
      </c>
      <c r="AU847" s="5">
        <v>37</v>
      </c>
      <c r="AV847" s="5">
        <v>38.5</v>
      </c>
      <c r="AW847" s="5">
        <v>9.43</v>
      </c>
      <c r="AX847" s="5">
        <v>93</v>
      </c>
      <c r="AY847" s="5">
        <v>75.66</v>
      </c>
      <c r="AZ847" s="5">
        <v>5.7</v>
      </c>
      <c r="BA847" s="5">
        <v>4.73</v>
      </c>
      <c r="BB847" s="12" t="s">
        <v>76</v>
      </c>
      <c r="BC847" s="5">
        <v>4.73</v>
      </c>
      <c r="BD847" s="5">
        <v>138</v>
      </c>
      <c r="BE847" s="5">
        <v>1.01</v>
      </c>
      <c r="BF847" s="5">
        <v>3.42</v>
      </c>
      <c r="BG847" s="15">
        <v>36.7</v>
      </c>
      <c r="BH847" s="5" t="s">
        <v>76</v>
      </c>
      <c r="BI847" s="5">
        <v>80</v>
      </c>
      <c r="BJ847" s="5">
        <v>18</v>
      </c>
      <c r="BK847" s="5">
        <v>137</v>
      </c>
      <c r="BL847" s="5">
        <v>84</v>
      </c>
      <c r="BM847" s="5">
        <v>75</v>
      </c>
      <c r="BN847" s="5">
        <v>170</v>
      </c>
      <c r="BO847" s="5">
        <f t="shared" si="13"/>
        <v>25.9515570934256</v>
      </c>
      <c r="BP847" s="5" t="s">
        <v>78</v>
      </c>
      <c r="BQ847" s="5">
        <v>5.7</v>
      </c>
      <c r="BR847" s="5">
        <v>6356</v>
      </c>
    </row>
    <row r="848" s="1" customFormat="1" spans="1:70">
      <c r="A848" s="1">
        <v>3292887</v>
      </c>
      <c r="B848" s="1" t="s">
        <v>2101</v>
      </c>
      <c r="D848" s="4">
        <v>44981</v>
      </c>
      <c r="E848" s="4">
        <v>44995</v>
      </c>
      <c r="F848" s="7">
        <v>20313</v>
      </c>
      <c r="G848" s="1">
        <v>48</v>
      </c>
      <c r="H848" s="1">
        <v>10</v>
      </c>
      <c r="I848" s="1">
        <v>46</v>
      </c>
      <c r="J848" s="1">
        <v>10</v>
      </c>
      <c r="K848" s="1">
        <v>51</v>
      </c>
      <c r="L848" s="1">
        <v>26</v>
      </c>
      <c r="N848" s="1">
        <v>21</v>
      </c>
      <c r="O848" s="7">
        <v>20313</v>
      </c>
      <c r="P848" s="4">
        <v>44981</v>
      </c>
      <c r="Q848" s="4">
        <v>44995</v>
      </c>
      <c r="R848" s="1" t="s">
        <v>80</v>
      </c>
      <c r="AO848" s="7">
        <v>20313</v>
      </c>
      <c r="AP848" s="5">
        <v>8.1</v>
      </c>
      <c r="AQ848" s="5">
        <v>152</v>
      </c>
      <c r="AR848" s="5">
        <v>48.2</v>
      </c>
      <c r="AS848" s="5">
        <v>83.6</v>
      </c>
      <c r="AT848" s="5">
        <v>58</v>
      </c>
      <c r="AU848" s="5">
        <v>486</v>
      </c>
      <c r="AV848" s="5">
        <v>44.7</v>
      </c>
      <c r="AW848" s="5">
        <v>8.34</v>
      </c>
      <c r="AX848" s="5">
        <v>91</v>
      </c>
      <c r="AY848" s="5" t="s">
        <v>125</v>
      </c>
      <c r="AZ848" s="5" t="s">
        <v>75</v>
      </c>
      <c r="BA848" s="5" t="s">
        <v>76</v>
      </c>
      <c r="BB848" s="12" t="s">
        <v>76</v>
      </c>
      <c r="BC848" s="5">
        <v>4.86</v>
      </c>
      <c r="BD848" s="5">
        <v>152</v>
      </c>
      <c r="BE848" s="5" t="s">
        <v>76</v>
      </c>
      <c r="BF848" s="5" t="s">
        <v>76</v>
      </c>
      <c r="BG848" s="5" t="s">
        <v>76</v>
      </c>
      <c r="BH848" s="5">
        <v>80</v>
      </c>
      <c r="BI848" s="5">
        <v>80</v>
      </c>
      <c r="BJ848" s="5">
        <v>18</v>
      </c>
      <c r="BK848" s="5">
        <v>110</v>
      </c>
      <c r="BL848" s="5">
        <v>70</v>
      </c>
      <c r="BM848" s="5">
        <v>55</v>
      </c>
      <c r="BN848" s="5">
        <v>160</v>
      </c>
      <c r="BO848" s="5">
        <f t="shared" si="13"/>
        <v>21.484375</v>
      </c>
      <c r="BP848" s="5" t="s">
        <v>1450</v>
      </c>
      <c r="BQ848" s="5" t="s">
        <v>76</v>
      </c>
      <c r="BR848" s="5">
        <v>7496</v>
      </c>
    </row>
    <row r="849" s="1" customFormat="1" spans="1:70">
      <c r="A849" s="1">
        <v>3251297</v>
      </c>
      <c r="B849" s="1" t="s">
        <v>2102</v>
      </c>
      <c r="D849" s="4">
        <v>44903</v>
      </c>
      <c r="E849" s="4">
        <v>44910</v>
      </c>
      <c r="F849" s="7">
        <v>20369</v>
      </c>
      <c r="G849" s="1">
        <v>29</v>
      </c>
      <c r="H849" s="1">
        <v>8</v>
      </c>
      <c r="I849" s="1">
        <v>41</v>
      </c>
      <c r="J849" s="1">
        <v>8</v>
      </c>
      <c r="K849" s="1">
        <v>62</v>
      </c>
      <c r="L849" s="1">
        <v>32</v>
      </c>
      <c r="M849" s="1">
        <v>0.59</v>
      </c>
      <c r="N849" s="1">
        <v>4.8</v>
      </c>
      <c r="O849" s="7">
        <v>20369</v>
      </c>
      <c r="P849" s="4">
        <v>44903</v>
      </c>
      <c r="Q849" s="4">
        <v>44910</v>
      </c>
      <c r="R849" s="1" t="s">
        <v>73</v>
      </c>
      <c r="AO849" s="7">
        <v>20369</v>
      </c>
      <c r="AP849" s="5">
        <v>8.8</v>
      </c>
      <c r="AQ849" s="5">
        <v>65</v>
      </c>
      <c r="AR849" s="5">
        <v>22.3</v>
      </c>
      <c r="AS849" s="5">
        <v>84.2</v>
      </c>
      <c r="AT849" s="5">
        <v>21</v>
      </c>
      <c r="AU849" s="5">
        <v>9</v>
      </c>
      <c r="AV849" s="5">
        <v>37.2</v>
      </c>
      <c r="AW849" s="5">
        <v>8.05</v>
      </c>
      <c r="AX849" s="5">
        <v>93</v>
      </c>
      <c r="AY849" s="5" t="s">
        <v>76</v>
      </c>
      <c r="AZ849" s="5">
        <v>5.23</v>
      </c>
      <c r="BA849" s="5">
        <v>3.64</v>
      </c>
      <c r="BB849" s="12" t="s">
        <v>76</v>
      </c>
      <c r="BC849" s="5">
        <v>4.46</v>
      </c>
      <c r="BD849" s="5">
        <v>65</v>
      </c>
      <c r="BE849" s="5">
        <v>0.45</v>
      </c>
      <c r="BF849" s="5">
        <v>1.79</v>
      </c>
      <c r="BG849" s="15">
        <v>36.6</v>
      </c>
      <c r="BH849" s="5">
        <v>102</v>
      </c>
      <c r="BI849" s="5" t="s">
        <v>76</v>
      </c>
      <c r="BJ849" s="5">
        <v>17</v>
      </c>
      <c r="BK849" s="5">
        <v>93</v>
      </c>
      <c r="BL849" s="5">
        <v>70</v>
      </c>
      <c r="BM849" s="5">
        <v>55</v>
      </c>
      <c r="BN849" s="5">
        <v>164</v>
      </c>
      <c r="BO849" s="5">
        <f t="shared" si="13"/>
        <v>20.4491374182035</v>
      </c>
      <c r="BP849" s="5" t="s">
        <v>639</v>
      </c>
      <c r="BQ849" s="5" t="s">
        <v>76</v>
      </c>
      <c r="BR849" s="5">
        <v>1163</v>
      </c>
    </row>
    <row r="850" s="1" customFormat="1" spans="1:70">
      <c r="A850" s="1">
        <v>3292515</v>
      </c>
      <c r="B850" s="1" t="s">
        <v>2103</v>
      </c>
      <c r="D850" s="4">
        <v>44980</v>
      </c>
      <c r="E850" s="4">
        <v>44989</v>
      </c>
      <c r="F850" s="7">
        <v>20370</v>
      </c>
      <c r="G850" s="1">
        <v>48</v>
      </c>
      <c r="H850" s="1">
        <v>10</v>
      </c>
      <c r="I850" s="1">
        <v>68</v>
      </c>
      <c r="J850" s="1">
        <v>10</v>
      </c>
      <c r="K850" s="1">
        <v>34</v>
      </c>
      <c r="L850" s="1">
        <v>17</v>
      </c>
      <c r="M850" s="1">
        <v>1.37</v>
      </c>
      <c r="N850" s="1">
        <v>23.6</v>
      </c>
      <c r="O850" s="7">
        <v>20370</v>
      </c>
      <c r="P850" s="4">
        <v>44980</v>
      </c>
      <c r="Q850" s="4">
        <v>44989</v>
      </c>
      <c r="R850" s="1" t="s">
        <v>80</v>
      </c>
      <c r="AO850" s="7">
        <v>20370</v>
      </c>
      <c r="AP850" s="5">
        <v>4.6</v>
      </c>
      <c r="AQ850" s="5">
        <v>145</v>
      </c>
      <c r="AR850" s="5">
        <v>44.6</v>
      </c>
      <c r="AS850" s="5">
        <v>3.9</v>
      </c>
      <c r="AT850" s="5">
        <v>36</v>
      </c>
      <c r="AU850" s="5">
        <v>26</v>
      </c>
      <c r="AV850" s="5">
        <v>33.5</v>
      </c>
      <c r="AW850" s="5">
        <v>4.28</v>
      </c>
      <c r="AX850" s="5">
        <v>62</v>
      </c>
      <c r="AY850" s="5">
        <v>119.31</v>
      </c>
      <c r="AZ850" s="5">
        <v>5.13</v>
      </c>
      <c r="BA850" s="5">
        <v>3.68</v>
      </c>
      <c r="BB850" s="12" t="s">
        <v>76</v>
      </c>
      <c r="BC850" s="5">
        <v>4.81</v>
      </c>
      <c r="BD850" s="5">
        <v>145</v>
      </c>
      <c r="BE850" s="5">
        <v>0.79</v>
      </c>
      <c r="BF850" s="5">
        <v>2.36</v>
      </c>
      <c r="BG850" s="15">
        <v>36.5</v>
      </c>
      <c r="BH850" s="5">
        <v>72</v>
      </c>
      <c r="BI850" s="5">
        <v>72</v>
      </c>
      <c r="BJ850" s="5">
        <v>17</v>
      </c>
      <c r="BK850" s="5">
        <v>141</v>
      </c>
      <c r="BL850" s="5">
        <v>84</v>
      </c>
      <c r="BM850" s="5">
        <v>50</v>
      </c>
      <c r="BN850" s="5">
        <v>160</v>
      </c>
      <c r="BO850" s="5">
        <f t="shared" si="13"/>
        <v>19.53125</v>
      </c>
      <c r="BP850" s="5" t="s">
        <v>121</v>
      </c>
      <c r="BQ850" s="5">
        <v>6.7</v>
      </c>
      <c r="BR850" s="5">
        <v>932</v>
      </c>
    </row>
    <row r="851" s="1" customFormat="1" spans="1:70">
      <c r="A851" s="1">
        <v>3506453</v>
      </c>
      <c r="B851" s="1" t="s">
        <v>2104</v>
      </c>
      <c r="D851" s="4">
        <v>45276</v>
      </c>
      <c r="E851" s="4">
        <v>45281</v>
      </c>
      <c r="F851" s="7">
        <v>20376</v>
      </c>
      <c r="G851" s="1">
        <v>52</v>
      </c>
      <c r="H851" s="1">
        <v>11</v>
      </c>
      <c r="I851" s="1">
        <v>51</v>
      </c>
      <c r="J851" s="1">
        <v>9</v>
      </c>
      <c r="K851" s="1">
        <v>58</v>
      </c>
      <c r="L851" s="1">
        <v>31</v>
      </c>
      <c r="N851" s="1">
        <v>10.3</v>
      </c>
      <c r="O851" s="7">
        <v>20376</v>
      </c>
      <c r="P851" s="4">
        <v>45276</v>
      </c>
      <c r="Q851" s="4">
        <v>45281</v>
      </c>
      <c r="R851" s="1" t="s">
        <v>80</v>
      </c>
      <c r="AO851" s="7">
        <v>20376</v>
      </c>
      <c r="AP851" s="5">
        <v>3.4</v>
      </c>
      <c r="AQ851" s="5">
        <v>128</v>
      </c>
      <c r="AR851" s="5">
        <v>39.3</v>
      </c>
      <c r="AS851" s="5">
        <v>4.8</v>
      </c>
      <c r="AT851" s="5">
        <v>22</v>
      </c>
      <c r="AU851" s="5">
        <v>31</v>
      </c>
      <c r="AV851" s="5">
        <v>37</v>
      </c>
      <c r="AW851" s="5">
        <v>8</v>
      </c>
      <c r="AX851" s="5">
        <v>49</v>
      </c>
      <c r="AY851" s="5" t="s">
        <v>76</v>
      </c>
      <c r="AZ851" s="5" t="s">
        <v>75</v>
      </c>
      <c r="BA851" s="5">
        <v>3.74</v>
      </c>
      <c r="BB851" s="12" t="s">
        <v>76</v>
      </c>
      <c r="BC851" s="5">
        <v>4.36</v>
      </c>
      <c r="BD851" s="5">
        <v>128</v>
      </c>
      <c r="BE851" s="5">
        <v>0.67</v>
      </c>
      <c r="BF851" s="5">
        <v>2.19</v>
      </c>
      <c r="BG851" s="15">
        <v>36.4</v>
      </c>
      <c r="BH851" s="5">
        <v>70</v>
      </c>
      <c r="BI851" s="5">
        <v>86</v>
      </c>
      <c r="BJ851" s="5">
        <v>18</v>
      </c>
      <c r="BK851" s="5">
        <v>170</v>
      </c>
      <c r="BL851" s="5">
        <v>111</v>
      </c>
      <c r="BM851" s="5">
        <v>65</v>
      </c>
      <c r="BN851" s="5">
        <v>168</v>
      </c>
      <c r="BO851" s="5">
        <f t="shared" si="13"/>
        <v>23.0300453514739</v>
      </c>
      <c r="BP851" s="5" t="s">
        <v>156</v>
      </c>
      <c r="BQ851" s="5">
        <v>6.6</v>
      </c>
      <c r="BR851" s="5">
        <v>2021</v>
      </c>
    </row>
    <row r="852" s="1" customFormat="1" spans="1:70">
      <c r="A852" s="1">
        <v>3270004</v>
      </c>
      <c r="B852" s="1" t="s">
        <v>2105</v>
      </c>
      <c r="D852" s="4">
        <v>44950</v>
      </c>
      <c r="E852" s="4">
        <v>44955</v>
      </c>
      <c r="F852" s="7">
        <v>20377</v>
      </c>
      <c r="G852" s="1">
        <v>64</v>
      </c>
      <c r="H852" s="1">
        <v>9</v>
      </c>
      <c r="I852" s="1">
        <v>73</v>
      </c>
      <c r="J852" s="1">
        <v>9</v>
      </c>
      <c r="K852" s="1">
        <v>34</v>
      </c>
      <c r="L852" s="1">
        <v>17</v>
      </c>
      <c r="N852" s="1">
        <v>14.9</v>
      </c>
      <c r="O852" s="7">
        <v>20377</v>
      </c>
      <c r="P852" s="4">
        <v>44950</v>
      </c>
      <c r="Q852" s="4">
        <v>44955</v>
      </c>
      <c r="R852" s="1" t="s">
        <v>80</v>
      </c>
      <c r="AO852" s="7">
        <v>20377</v>
      </c>
      <c r="AP852" s="5">
        <v>8.3</v>
      </c>
      <c r="AQ852" s="5">
        <v>157</v>
      </c>
      <c r="AR852" s="5">
        <v>46.4</v>
      </c>
      <c r="AS852" s="5">
        <v>24</v>
      </c>
      <c r="AT852" s="5">
        <v>14</v>
      </c>
      <c r="AU852" s="5">
        <v>10</v>
      </c>
      <c r="AV852" s="5">
        <v>39.5</v>
      </c>
      <c r="AW852" s="5">
        <v>9.7</v>
      </c>
      <c r="AX852" s="5">
        <v>103</v>
      </c>
      <c r="AY852" s="5">
        <v>66.42</v>
      </c>
      <c r="AZ852" s="5">
        <v>6.16</v>
      </c>
      <c r="BA852" s="5">
        <v>2.62</v>
      </c>
      <c r="BB852" s="12" t="s">
        <v>76</v>
      </c>
      <c r="BC852" s="5">
        <v>3.5</v>
      </c>
      <c r="BD852" s="5">
        <v>157</v>
      </c>
      <c r="BE852" s="5">
        <v>0.6</v>
      </c>
      <c r="BF852" s="5">
        <v>1.7</v>
      </c>
      <c r="BG852" s="15">
        <v>36.6</v>
      </c>
      <c r="BH852" s="5">
        <v>40</v>
      </c>
      <c r="BI852" s="5">
        <v>58</v>
      </c>
      <c r="BJ852" s="5">
        <v>20</v>
      </c>
      <c r="BK852" s="5">
        <v>122</v>
      </c>
      <c r="BL852" s="5">
        <v>73</v>
      </c>
      <c r="BM852" s="5">
        <v>77</v>
      </c>
      <c r="BN852" s="5">
        <v>164</v>
      </c>
      <c r="BO852" s="5">
        <f t="shared" si="13"/>
        <v>28.6287923854848</v>
      </c>
      <c r="BP852" s="5" t="s">
        <v>156</v>
      </c>
      <c r="BQ852" s="5" t="s">
        <v>76</v>
      </c>
      <c r="BR852" s="5">
        <v>5128</v>
      </c>
    </row>
    <row r="853" s="1" customFormat="1" spans="1:70">
      <c r="A853" s="1">
        <v>3308693</v>
      </c>
      <c r="B853" s="1" t="s">
        <v>1407</v>
      </c>
      <c r="D853" s="4">
        <v>45002</v>
      </c>
      <c r="E853" s="4">
        <v>45015</v>
      </c>
      <c r="F853" s="7">
        <v>20380</v>
      </c>
      <c r="G853" s="1">
        <v>49</v>
      </c>
      <c r="H853" s="1">
        <v>8</v>
      </c>
      <c r="I853" s="1">
        <v>76</v>
      </c>
      <c r="J853" s="1">
        <v>8</v>
      </c>
      <c r="K853" s="1">
        <v>20</v>
      </c>
      <c r="M853" s="1">
        <v>2.69</v>
      </c>
      <c r="N853" s="1">
        <v>17.5</v>
      </c>
      <c r="O853" s="7">
        <v>20380</v>
      </c>
      <c r="P853" s="4">
        <v>45002</v>
      </c>
      <c r="Q853" s="4">
        <v>45015</v>
      </c>
      <c r="R853" s="1" t="s">
        <v>73</v>
      </c>
      <c r="AO853" s="7">
        <v>20380</v>
      </c>
      <c r="AP853" s="5">
        <v>6.6</v>
      </c>
      <c r="AQ853" s="5">
        <v>133</v>
      </c>
      <c r="AR853" s="5">
        <v>39.7</v>
      </c>
      <c r="AS853" s="5">
        <v>1.6</v>
      </c>
      <c r="AT853" s="5">
        <v>15</v>
      </c>
      <c r="AU853" s="5">
        <v>11</v>
      </c>
      <c r="AV853" s="5">
        <v>46.8</v>
      </c>
      <c r="AW853" s="5">
        <v>6.3</v>
      </c>
      <c r="AX853" s="5">
        <v>50</v>
      </c>
      <c r="AY853" s="5" t="s">
        <v>76</v>
      </c>
      <c r="AZ853" s="5" t="s">
        <v>871</v>
      </c>
      <c r="BA853" s="5">
        <v>6.1</v>
      </c>
      <c r="BB853" s="12" t="s">
        <v>76</v>
      </c>
      <c r="BC853" s="5">
        <v>4.53</v>
      </c>
      <c r="BD853" s="5">
        <v>133</v>
      </c>
      <c r="BE853" s="5" t="s">
        <v>76</v>
      </c>
      <c r="BF853" s="5" t="s">
        <v>76</v>
      </c>
      <c r="BG853" s="15">
        <v>36.2</v>
      </c>
      <c r="BH853" s="5">
        <v>80</v>
      </c>
      <c r="BI853" s="5">
        <v>82</v>
      </c>
      <c r="BJ853" s="5">
        <v>16</v>
      </c>
      <c r="BK853" s="5">
        <v>96</v>
      </c>
      <c r="BL853" s="5">
        <v>73</v>
      </c>
      <c r="BM853" s="5">
        <v>50</v>
      </c>
      <c r="BN853" s="5">
        <v>164</v>
      </c>
      <c r="BO853" s="5">
        <f t="shared" si="13"/>
        <v>18.5901249256395</v>
      </c>
      <c r="BP853" s="5" t="s">
        <v>357</v>
      </c>
      <c r="BQ853" s="5">
        <v>6</v>
      </c>
      <c r="BR853" s="5">
        <v>5615</v>
      </c>
    </row>
    <row r="854" s="1" customFormat="1" spans="1:70">
      <c r="A854" s="1">
        <v>3264204</v>
      </c>
      <c r="B854" s="1" t="s">
        <v>2106</v>
      </c>
      <c r="D854" s="4">
        <v>44935</v>
      </c>
      <c r="E854" s="4">
        <v>44952</v>
      </c>
      <c r="F854" s="7">
        <v>20382</v>
      </c>
      <c r="G854" s="1">
        <v>40</v>
      </c>
      <c r="H854" s="1">
        <v>10</v>
      </c>
      <c r="I854" s="1">
        <v>61</v>
      </c>
      <c r="J854" s="1">
        <v>10</v>
      </c>
      <c r="K854" s="1">
        <v>53</v>
      </c>
      <c r="M854" s="1">
        <v>2.26</v>
      </c>
      <c r="N854" s="1">
        <v>14.6</v>
      </c>
      <c r="O854" s="7">
        <v>20382</v>
      </c>
      <c r="P854" s="4">
        <v>44935</v>
      </c>
      <c r="Q854" s="4">
        <v>44952</v>
      </c>
      <c r="R854" s="1" t="s">
        <v>80</v>
      </c>
      <c r="S854" s="1">
        <v>67</v>
      </c>
      <c r="T854" s="1" t="s">
        <v>2107</v>
      </c>
      <c r="V854" s="1">
        <v>1</v>
      </c>
      <c r="X854" s="1">
        <v>1</v>
      </c>
      <c r="Z854" s="1">
        <v>1</v>
      </c>
      <c r="AC854" s="1">
        <v>1</v>
      </c>
      <c r="AG854" s="1">
        <v>1</v>
      </c>
      <c r="AH854" s="1">
        <v>1</v>
      </c>
      <c r="AI854" s="1">
        <v>1</v>
      </c>
      <c r="AK854" s="1">
        <v>1</v>
      </c>
      <c r="AM854" s="1">
        <v>1</v>
      </c>
      <c r="AN854" s="1">
        <v>1</v>
      </c>
      <c r="AO854" s="7">
        <v>20382</v>
      </c>
      <c r="AP854" s="5">
        <v>92.3</v>
      </c>
      <c r="AQ854" s="5">
        <v>173</v>
      </c>
      <c r="AR854" s="5">
        <v>53.6</v>
      </c>
      <c r="AS854" s="5" t="s">
        <v>1481</v>
      </c>
      <c r="AT854" s="5">
        <v>47</v>
      </c>
      <c r="AU854" s="5">
        <v>57</v>
      </c>
      <c r="AV854" s="5">
        <v>43.6</v>
      </c>
      <c r="AW854" s="5">
        <v>8.42</v>
      </c>
      <c r="AX854" s="5">
        <v>98</v>
      </c>
      <c r="AY854" s="5">
        <v>92.91</v>
      </c>
      <c r="AZ854" s="5">
        <v>8.44</v>
      </c>
      <c r="BA854" s="5">
        <v>4.18</v>
      </c>
      <c r="BB854" s="12" t="s">
        <v>76</v>
      </c>
      <c r="BC854" s="5">
        <v>4.79</v>
      </c>
      <c r="BD854" s="5">
        <v>173</v>
      </c>
      <c r="BE854" s="5">
        <v>1.09</v>
      </c>
      <c r="BF854" s="5">
        <v>2.24</v>
      </c>
      <c r="BG854" s="15">
        <v>36.3</v>
      </c>
      <c r="BH854" s="5">
        <v>92</v>
      </c>
      <c r="BI854" s="5">
        <v>105</v>
      </c>
      <c r="BJ854" s="5" t="s">
        <v>76</v>
      </c>
      <c r="BK854" s="5">
        <v>132</v>
      </c>
      <c r="BL854" s="5">
        <v>95</v>
      </c>
      <c r="BM854" s="5">
        <v>86</v>
      </c>
      <c r="BN854" s="5">
        <v>170</v>
      </c>
      <c r="BO854" s="5">
        <f t="shared" si="13"/>
        <v>29.757785467128</v>
      </c>
      <c r="BP854" s="5" t="s">
        <v>453</v>
      </c>
      <c r="BQ854" s="5">
        <v>7.2</v>
      </c>
      <c r="BR854" s="5">
        <v>5827</v>
      </c>
    </row>
    <row r="855" s="1" customFormat="1" spans="1:70">
      <c r="A855" s="1">
        <v>3268064</v>
      </c>
      <c r="B855" s="1" t="s">
        <v>2108</v>
      </c>
      <c r="C855" s="1">
        <v>1</v>
      </c>
      <c r="D855" s="4">
        <v>44943</v>
      </c>
      <c r="E855" s="4">
        <v>44965</v>
      </c>
      <c r="F855" s="7">
        <v>20402</v>
      </c>
      <c r="G855" s="1">
        <v>27</v>
      </c>
      <c r="H855" s="1">
        <v>7</v>
      </c>
      <c r="I855" s="1">
        <v>44</v>
      </c>
      <c r="J855" s="1">
        <v>7</v>
      </c>
      <c r="K855" s="1">
        <v>46</v>
      </c>
      <c r="L855" s="1">
        <v>230</v>
      </c>
      <c r="M855" s="1">
        <v>1.52</v>
      </c>
      <c r="N855" s="10">
        <v>29.3</v>
      </c>
      <c r="O855" s="7">
        <v>20402</v>
      </c>
      <c r="P855" s="4">
        <v>44943</v>
      </c>
      <c r="Q855" s="4">
        <v>44965</v>
      </c>
      <c r="R855" s="1" t="s">
        <v>80</v>
      </c>
      <c r="AO855" s="7">
        <v>20402</v>
      </c>
      <c r="AP855" s="5">
        <v>6.1</v>
      </c>
      <c r="AQ855" s="5">
        <v>154</v>
      </c>
      <c r="AR855" s="5">
        <v>44.7</v>
      </c>
      <c r="AS855" s="5">
        <v>91.3</v>
      </c>
      <c r="AT855" s="5" t="s">
        <v>2109</v>
      </c>
      <c r="AU855" s="5">
        <v>54</v>
      </c>
      <c r="AV855" s="5" t="s">
        <v>303</v>
      </c>
      <c r="AW855" s="5">
        <v>6.21</v>
      </c>
      <c r="AX855" s="5">
        <v>93</v>
      </c>
      <c r="AY855" s="5" t="s">
        <v>125</v>
      </c>
      <c r="AZ855" s="5">
        <v>7.4</v>
      </c>
      <c r="BA855" s="5" t="s">
        <v>76</v>
      </c>
      <c r="BB855" s="12" t="s">
        <v>76</v>
      </c>
      <c r="BC855" s="5">
        <v>4.81</v>
      </c>
      <c r="BD855" s="5">
        <v>154</v>
      </c>
      <c r="BE855" s="5" t="s">
        <v>76</v>
      </c>
      <c r="BF855" s="5" t="s">
        <v>76</v>
      </c>
      <c r="BG855" s="15">
        <v>37.5</v>
      </c>
      <c r="BH855" s="5" t="s">
        <v>76</v>
      </c>
      <c r="BI855" s="5">
        <v>93</v>
      </c>
      <c r="BJ855" s="5">
        <v>25</v>
      </c>
      <c r="BK855" s="5">
        <v>123</v>
      </c>
      <c r="BL855" s="5">
        <v>62</v>
      </c>
      <c r="BM855" s="5">
        <v>56</v>
      </c>
      <c r="BN855" s="5">
        <v>172</v>
      </c>
      <c r="BO855" s="5">
        <f t="shared" si="13"/>
        <v>18.9291508923743</v>
      </c>
      <c r="BP855" s="5" t="s">
        <v>369</v>
      </c>
      <c r="BQ855" s="5">
        <v>9.2</v>
      </c>
      <c r="BR855" s="5" t="s">
        <v>1155</v>
      </c>
    </row>
    <row r="856" s="1" customFormat="1" spans="1:70">
      <c r="A856" s="1">
        <v>3268033</v>
      </c>
      <c r="B856" s="1" t="s">
        <v>2110</v>
      </c>
      <c r="D856" s="4">
        <v>44943</v>
      </c>
      <c r="E856" s="4">
        <v>44953</v>
      </c>
      <c r="F856" s="7">
        <v>20424</v>
      </c>
      <c r="G856" s="1">
        <v>31</v>
      </c>
      <c r="H856" s="1">
        <v>9</v>
      </c>
      <c r="I856" s="1">
        <v>49</v>
      </c>
      <c r="J856" s="1">
        <v>9</v>
      </c>
      <c r="K856" s="1">
        <v>56</v>
      </c>
      <c r="L856" s="1">
        <v>29</v>
      </c>
      <c r="M856" s="1">
        <v>0.58</v>
      </c>
      <c r="N856" s="1">
        <v>9.3</v>
      </c>
      <c r="O856" s="7">
        <v>20424</v>
      </c>
      <c r="P856" s="4">
        <v>44943</v>
      </c>
      <c r="Q856" s="4">
        <v>44953</v>
      </c>
      <c r="R856" s="1" t="s">
        <v>73</v>
      </c>
      <c r="S856" s="1">
        <v>67</v>
      </c>
      <c r="T856" s="1" t="s">
        <v>2111</v>
      </c>
      <c r="V856" s="1">
        <v>1</v>
      </c>
      <c r="X856" s="1">
        <v>1</v>
      </c>
      <c r="AM856" s="1">
        <v>1</v>
      </c>
      <c r="AO856" s="7">
        <v>20424</v>
      </c>
      <c r="AP856" s="5">
        <v>7.9</v>
      </c>
      <c r="AQ856" s="5">
        <v>103</v>
      </c>
      <c r="AR856" s="5">
        <v>33.6</v>
      </c>
      <c r="AS856" s="5">
        <v>2.3</v>
      </c>
      <c r="AT856" s="5">
        <v>14</v>
      </c>
      <c r="AU856" s="5">
        <v>17</v>
      </c>
      <c r="AV856" s="5">
        <v>35</v>
      </c>
      <c r="AW856" s="5">
        <v>5.06</v>
      </c>
      <c r="AX856" s="5">
        <v>55</v>
      </c>
      <c r="AY856" s="5">
        <v>116.14</v>
      </c>
      <c r="AZ856" s="5" t="s">
        <v>375</v>
      </c>
      <c r="BA856" s="5">
        <v>5.26</v>
      </c>
      <c r="BB856" s="12" t="s">
        <v>76</v>
      </c>
      <c r="BC856" s="5">
        <v>4.45</v>
      </c>
      <c r="BD856" s="5">
        <v>103</v>
      </c>
      <c r="BE856" s="5">
        <v>1.55</v>
      </c>
      <c r="BF856" s="5">
        <v>3.07</v>
      </c>
      <c r="BG856" s="15">
        <v>36.8</v>
      </c>
      <c r="BH856" s="5">
        <v>100</v>
      </c>
      <c r="BI856" s="5">
        <v>100</v>
      </c>
      <c r="BJ856" s="5">
        <v>18</v>
      </c>
      <c r="BK856" s="5">
        <v>151</v>
      </c>
      <c r="BL856" s="5">
        <v>87</v>
      </c>
      <c r="BM856" s="5">
        <v>51</v>
      </c>
      <c r="BN856" s="5">
        <v>165</v>
      </c>
      <c r="BO856" s="5">
        <f t="shared" si="13"/>
        <v>18.732782369146</v>
      </c>
      <c r="BP856" s="5" t="s">
        <v>258</v>
      </c>
      <c r="BQ856" s="5">
        <v>4.9</v>
      </c>
      <c r="BR856" s="5">
        <v>1616</v>
      </c>
    </row>
    <row r="857" s="1" customFormat="1" spans="1:70">
      <c r="A857" s="1">
        <v>3319071</v>
      </c>
      <c r="B857" s="1" t="s">
        <v>2112</v>
      </c>
      <c r="D857" s="4">
        <v>45016</v>
      </c>
      <c r="E857" s="4">
        <v>45023</v>
      </c>
      <c r="F857" s="7">
        <v>20438</v>
      </c>
      <c r="G857" s="1">
        <v>41</v>
      </c>
      <c r="H857" s="1">
        <v>10</v>
      </c>
      <c r="I857" s="1">
        <v>49</v>
      </c>
      <c r="J857" s="1">
        <v>10</v>
      </c>
      <c r="K857" s="1">
        <v>57</v>
      </c>
      <c r="L857" s="1">
        <v>30</v>
      </c>
      <c r="N857" s="1">
        <v>12.6</v>
      </c>
      <c r="O857" s="7">
        <v>20438</v>
      </c>
      <c r="P857" s="4">
        <v>45016</v>
      </c>
      <c r="Q857" s="4">
        <v>45023</v>
      </c>
      <c r="R857" s="1" t="s">
        <v>73</v>
      </c>
      <c r="AO857" s="7">
        <v>20438</v>
      </c>
      <c r="AP857" s="5">
        <v>4.7</v>
      </c>
      <c r="AQ857" s="5">
        <v>129</v>
      </c>
      <c r="AR857" s="5">
        <v>39.7</v>
      </c>
      <c r="AS857" s="5">
        <v>0.3</v>
      </c>
      <c r="AT857" s="5">
        <v>15</v>
      </c>
      <c r="AU857" s="5">
        <v>17</v>
      </c>
      <c r="AV857" s="5">
        <v>43.1</v>
      </c>
      <c r="AW857" s="5">
        <v>5.35</v>
      </c>
      <c r="AX857" s="5">
        <v>55</v>
      </c>
      <c r="AY857" s="5">
        <v>101.65</v>
      </c>
      <c r="AZ857" s="5" t="s">
        <v>75</v>
      </c>
      <c r="BA857" s="5">
        <v>4.51</v>
      </c>
      <c r="BB857" s="12" t="s">
        <v>76</v>
      </c>
      <c r="BC857" s="5">
        <v>4.46</v>
      </c>
      <c r="BD857" s="5">
        <v>129</v>
      </c>
      <c r="BE857" s="5">
        <v>1.38</v>
      </c>
      <c r="BF857" s="5">
        <v>2.86</v>
      </c>
      <c r="BG857" s="15">
        <v>36.6</v>
      </c>
      <c r="BH857" s="5">
        <v>89</v>
      </c>
      <c r="BI857" s="5">
        <v>95</v>
      </c>
      <c r="BJ857" s="5">
        <v>20</v>
      </c>
      <c r="BK857" s="5">
        <v>100</v>
      </c>
      <c r="BL857" s="5">
        <v>80</v>
      </c>
      <c r="BM857" s="5">
        <v>65</v>
      </c>
      <c r="BN857" s="5">
        <v>164</v>
      </c>
      <c r="BO857" s="5">
        <f t="shared" si="13"/>
        <v>24.1671624033314</v>
      </c>
      <c r="BP857" s="5" t="s">
        <v>78</v>
      </c>
      <c r="BQ857" s="5">
        <v>8.2</v>
      </c>
      <c r="BR857" s="5">
        <v>1064</v>
      </c>
    </row>
    <row r="858" s="1" customFormat="1" spans="1:70">
      <c r="A858" s="1">
        <v>3272681</v>
      </c>
      <c r="B858" s="1" t="s">
        <v>2113</v>
      </c>
      <c r="D858" s="4">
        <v>44963</v>
      </c>
      <c r="E858" s="4">
        <v>44985</v>
      </c>
      <c r="F858" s="7">
        <v>20448</v>
      </c>
      <c r="G858" s="1">
        <v>42</v>
      </c>
      <c r="H858" s="1">
        <v>9</v>
      </c>
      <c r="I858" s="1">
        <v>49</v>
      </c>
      <c r="J858" s="1">
        <v>9</v>
      </c>
      <c r="K858" s="1">
        <v>62</v>
      </c>
      <c r="L858" s="1">
        <v>34</v>
      </c>
      <c r="O858" s="7">
        <v>20448</v>
      </c>
      <c r="P858" s="4">
        <v>44963</v>
      </c>
      <c r="Q858" s="4">
        <v>44985</v>
      </c>
      <c r="R858" s="1" t="s">
        <v>73</v>
      </c>
      <c r="AO858" s="7">
        <v>20448</v>
      </c>
      <c r="AP858" s="5">
        <v>9.4</v>
      </c>
      <c r="AQ858" s="5">
        <v>96</v>
      </c>
      <c r="AR858" s="5">
        <v>48.6</v>
      </c>
      <c r="AS858" s="5" t="s">
        <v>81</v>
      </c>
      <c r="AT858" s="5">
        <v>69</v>
      </c>
      <c r="AU858" s="5">
        <v>99</v>
      </c>
      <c r="AV858" s="5">
        <v>46.2</v>
      </c>
      <c r="AW858" s="5">
        <v>8.65</v>
      </c>
      <c r="AX858" s="5">
        <v>53</v>
      </c>
      <c r="AY858" s="5" t="s">
        <v>125</v>
      </c>
      <c r="AZ858" s="5" t="s">
        <v>75</v>
      </c>
      <c r="BA858" s="5" t="s">
        <v>76</v>
      </c>
      <c r="BB858" s="12" t="s">
        <v>76</v>
      </c>
      <c r="BC858" s="5">
        <v>5.03</v>
      </c>
      <c r="BD858" s="5">
        <v>96</v>
      </c>
      <c r="BE858" s="5" t="s">
        <v>76</v>
      </c>
      <c r="BF858" s="5" t="s">
        <v>76</v>
      </c>
      <c r="BG858" s="15">
        <v>36.3</v>
      </c>
      <c r="BH858" s="5">
        <v>76</v>
      </c>
      <c r="BI858" s="5">
        <v>81</v>
      </c>
      <c r="BJ858" s="5">
        <v>16</v>
      </c>
      <c r="BK858" s="5">
        <v>128</v>
      </c>
      <c r="BL858" s="5">
        <v>83</v>
      </c>
      <c r="BM858" s="5">
        <v>59</v>
      </c>
      <c r="BN858" s="5">
        <v>160</v>
      </c>
      <c r="BO858" s="5">
        <f t="shared" si="13"/>
        <v>23.046875</v>
      </c>
      <c r="BP858" s="5" t="s">
        <v>1450</v>
      </c>
      <c r="BQ858" s="5">
        <v>7.2</v>
      </c>
      <c r="BR858" s="5">
        <v>954</v>
      </c>
    </row>
    <row r="859" s="1" customFormat="1" spans="1:70">
      <c r="A859" s="1">
        <v>3506115</v>
      </c>
      <c r="B859" s="1" t="s">
        <v>2114</v>
      </c>
      <c r="D859" s="4">
        <v>45274</v>
      </c>
      <c r="E859" s="4">
        <v>45281</v>
      </c>
      <c r="F859" s="7">
        <v>20455</v>
      </c>
      <c r="G859" s="1">
        <v>50</v>
      </c>
      <c r="H859" s="1">
        <v>8</v>
      </c>
      <c r="I859" s="1">
        <v>45</v>
      </c>
      <c r="J859" s="1">
        <v>8</v>
      </c>
      <c r="K859" s="1">
        <v>53</v>
      </c>
      <c r="L859" s="1">
        <v>27</v>
      </c>
      <c r="O859" s="7">
        <v>20455</v>
      </c>
      <c r="P859" s="4">
        <v>45274</v>
      </c>
      <c r="Q859" s="4">
        <v>45281</v>
      </c>
      <c r="R859" s="1" t="s">
        <v>73</v>
      </c>
      <c r="AO859" s="7">
        <v>20455</v>
      </c>
      <c r="AP859" s="5">
        <v>7.1</v>
      </c>
      <c r="AQ859" s="5">
        <v>107</v>
      </c>
      <c r="AR859" s="5">
        <v>33.6</v>
      </c>
      <c r="AS859" s="5">
        <v>35.4</v>
      </c>
      <c r="AT859" s="5">
        <v>17</v>
      </c>
      <c r="AU859" s="5">
        <v>28</v>
      </c>
      <c r="AV859" s="5">
        <v>34.9</v>
      </c>
      <c r="AW859" s="5">
        <v>6.66</v>
      </c>
      <c r="AX859" s="5">
        <v>83</v>
      </c>
      <c r="AY859" s="5">
        <v>63.22</v>
      </c>
      <c r="AZ859" s="5" t="s">
        <v>75</v>
      </c>
      <c r="BA859" s="5">
        <v>3.55</v>
      </c>
      <c r="BB859" s="12" t="s">
        <v>76</v>
      </c>
      <c r="BC859" s="5">
        <v>4.14</v>
      </c>
      <c r="BD859" s="5">
        <v>107</v>
      </c>
      <c r="BE859" s="5">
        <v>0.78</v>
      </c>
      <c r="BF859" s="5">
        <v>1.71</v>
      </c>
      <c r="BG859" s="15">
        <v>36.8</v>
      </c>
      <c r="BH859" s="5">
        <v>72</v>
      </c>
      <c r="BI859" s="5">
        <v>72</v>
      </c>
      <c r="BJ859" s="5">
        <v>18</v>
      </c>
      <c r="BK859" s="5">
        <v>124</v>
      </c>
      <c r="BL859" s="5">
        <v>70</v>
      </c>
      <c r="BM859" s="5">
        <v>0</v>
      </c>
      <c r="BN859" s="5">
        <v>0</v>
      </c>
      <c r="BO859" s="5" t="e">
        <f t="shared" si="13"/>
        <v>#DIV/0!</v>
      </c>
      <c r="BP859" s="5" t="s">
        <v>588</v>
      </c>
      <c r="BQ859" s="5">
        <v>12.4</v>
      </c>
      <c r="BR859" s="5">
        <v>1613</v>
      </c>
    </row>
    <row r="860" s="1" customFormat="1" spans="1:70">
      <c r="A860" s="1">
        <v>3282050</v>
      </c>
      <c r="B860" s="1" t="s">
        <v>2115</v>
      </c>
      <c r="D860" s="4">
        <v>44965</v>
      </c>
      <c r="E860" s="4">
        <v>44970</v>
      </c>
      <c r="F860" s="7">
        <v>20520</v>
      </c>
      <c r="G860" s="1">
        <v>32</v>
      </c>
      <c r="H860" s="1">
        <v>10</v>
      </c>
      <c r="I860" s="1">
        <v>44</v>
      </c>
      <c r="J860" s="1">
        <v>10</v>
      </c>
      <c r="K860" s="1">
        <v>46</v>
      </c>
      <c r="L860" s="1">
        <v>23</v>
      </c>
      <c r="M860" s="1">
        <v>0.58</v>
      </c>
      <c r="N860" s="1">
        <v>16.4</v>
      </c>
      <c r="O860" s="7">
        <v>20520</v>
      </c>
      <c r="P860" s="4">
        <v>44965</v>
      </c>
      <c r="Q860" s="4">
        <v>44970</v>
      </c>
      <c r="R860" s="1" t="s">
        <v>73</v>
      </c>
      <c r="AO860" s="7">
        <v>20520</v>
      </c>
      <c r="AP860" s="5">
        <v>9.8</v>
      </c>
      <c r="AQ860" s="5">
        <v>106</v>
      </c>
      <c r="AR860" s="5">
        <v>34</v>
      </c>
      <c r="AS860" s="5" t="s">
        <v>76</v>
      </c>
      <c r="AT860" s="5">
        <v>29</v>
      </c>
      <c r="AU860" s="5">
        <v>10</v>
      </c>
      <c r="AV860" s="5">
        <v>39.8</v>
      </c>
      <c r="AW860" s="5">
        <v>7.5</v>
      </c>
      <c r="AX860" s="5">
        <v>60</v>
      </c>
      <c r="AY860" s="5">
        <v>99.86</v>
      </c>
      <c r="AZ860" s="5">
        <v>7.51</v>
      </c>
      <c r="BA860" s="5">
        <v>5.01</v>
      </c>
      <c r="BB860" s="12" t="s">
        <v>76</v>
      </c>
      <c r="BC860" s="5">
        <v>4.29</v>
      </c>
      <c r="BD860" s="5">
        <v>106</v>
      </c>
      <c r="BE860" s="5">
        <v>0.97</v>
      </c>
      <c r="BF860" s="5">
        <v>3.04</v>
      </c>
      <c r="BG860" s="15">
        <v>36.6</v>
      </c>
      <c r="BH860" s="5" t="s">
        <v>76</v>
      </c>
      <c r="BI860" s="5">
        <v>87</v>
      </c>
      <c r="BJ860" s="5">
        <v>17</v>
      </c>
      <c r="BK860" s="5">
        <v>130</v>
      </c>
      <c r="BL860" s="5">
        <v>87</v>
      </c>
      <c r="BM860" s="5">
        <v>60</v>
      </c>
      <c r="BN860" s="5">
        <v>155</v>
      </c>
      <c r="BO860" s="5">
        <f t="shared" si="13"/>
        <v>24.9739854318418</v>
      </c>
      <c r="BP860" s="5" t="s">
        <v>156</v>
      </c>
      <c r="BQ860" s="5">
        <v>5.8</v>
      </c>
      <c r="BR860" s="5">
        <v>3449</v>
      </c>
    </row>
    <row r="861" s="1" customFormat="1" spans="1:70">
      <c r="A861" s="1">
        <v>3495733</v>
      </c>
      <c r="B861" s="1" t="s">
        <v>2116</v>
      </c>
      <c r="D861" s="4">
        <v>45260</v>
      </c>
      <c r="E861" s="4">
        <v>45266</v>
      </c>
      <c r="F861" s="7">
        <v>20522</v>
      </c>
      <c r="G861" s="1">
        <v>28</v>
      </c>
      <c r="H861" s="1">
        <v>9</v>
      </c>
      <c r="I861" s="1">
        <v>45</v>
      </c>
      <c r="J861" s="1">
        <v>9</v>
      </c>
      <c r="K861" s="1">
        <v>55</v>
      </c>
      <c r="L861" s="1">
        <v>29</v>
      </c>
      <c r="O861" s="7">
        <v>20522</v>
      </c>
      <c r="P861" s="4">
        <v>45260</v>
      </c>
      <c r="Q861" s="4">
        <v>45266</v>
      </c>
      <c r="R861" s="1" t="s">
        <v>80</v>
      </c>
      <c r="AO861" s="7">
        <v>20522</v>
      </c>
      <c r="AP861" s="5">
        <v>8.6</v>
      </c>
      <c r="AQ861" s="5">
        <v>98</v>
      </c>
      <c r="AR861" s="5">
        <v>40.1</v>
      </c>
      <c r="AS861" s="5" t="s">
        <v>76</v>
      </c>
      <c r="AT861" s="5">
        <v>94</v>
      </c>
      <c r="AU861" s="5">
        <v>28</v>
      </c>
      <c r="AV861" s="5">
        <v>39.7</v>
      </c>
      <c r="AW861" s="5">
        <v>9.96</v>
      </c>
      <c r="AX861" s="5">
        <v>74</v>
      </c>
      <c r="AY861" s="5" t="s">
        <v>125</v>
      </c>
      <c r="AZ861" s="5" t="s">
        <v>75</v>
      </c>
      <c r="BA861" s="5" t="s">
        <v>76</v>
      </c>
      <c r="BB861" s="12" t="s">
        <v>76</v>
      </c>
      <c r="BC861" s="5">
        <v>5.3</v>
      </c>
      <c r="BD861" s="5">
        <v>98</v>
      </c>
      <c r="BE861" s="5" t="s">
        <v>76</v>
      </c>
      <c r="BF861" s="5" t="s">
        <v>76</v>
      </c>
      <c r="BG861" s="5" t="s">
        <v>76</v>
      </c>
      <c r="BH861" s="5" t="s">
        <v>76</v>
      </c>
      <c r="BI861" s="5" t="s">
        <v>76</v>
      </c>
      <c r="BJ861" s="5" t="s">
        <v>76</v>
      </c>
      <c r="BK861" s="5" t="s">
        <v>76</v>
      </c>
      <c r="BL861" s="5" t="s">
        <v>76</v>
      </c>
      <c r="BM861" s="5" t="s">
        <v>76</v>
      </c>
      <c r="BN861" s="5" t="s">
        <v>76</v>
      </c>
      <c r="BO861" s="5" t="e">
        <f t="shared" si="13"/>
        <v>#VALUE!</v>
      </c>
      <c r="BP861" s="5" t="s">
        <v>85</v>
      </c>
      <c r="BQ861" s="5" t="s">
        <v>76</v>
      </c>
      <c r="BR861" s="5" t="s">
        <v>118</v>
      </c>
    </row>
    <row r="862" s="1" customFormat="1" spans="1:70">
      <c r="A862" s="1">
        <v>3270369</v>
      </c>
      <c r="B862" s="1" t="s">
        <v>2117</v>
      </c>
      <c r="D862" s="4">
        <v>44954</v>
      </c>
      <c r="E862" s="4">
        <v>44963</v>
      </c>
      <c r="F862" s="7">
        <v>20526</v>
      </c>
      <c r="G862" s="1">
        <v>49</v>
      </c>
      <c r="H862" s="1">
        <v>10</v>
      </c>
      <c r="I862" s="1">
        <v>50</v>
      </c>
      <c r="J862" s="1">
        <v>9</v>
      </c>
      <c r="K862" s="1">
        <v>56</v>
      </c>
      <c r="L862" s="1">
        <v>29</v>
      </c>
      <c r="O862" s="7">
        <v>20526</v>
      </c>
      <c r="P862" s="4">
        <v>44954</v>
      </c>
      <c r="Q862" s="4">
        <v>44963</v>
      </c>
      <c r="R862" s="1" t="s">
        <v>80</v>
      </c>
      <c r="AO862" s="7">
        <v>20526</v>
      </c>
      <c r="AP862" s="5">
        <v>8.3</v>
      </c>
      <c r="AQ862" s="5">
        <v>162</v>
      </c>
      <c r="AR862" s="5">
        <v>48.1</v>
      </c>
      <c r="AS862" s="5" t="s">
        <v>81</v>
      </c>
      <c r="AT862" s="5">
        <v>30</v>
      </c>
      <c r="AU862" s="5">
        <v>52</v>
      </c>
      <c r="AV862" s="5">
        <v>35.2</v>
      </c>
      <c r="AW862" s="5">
        <v>7.77</v>
      </c>
      <c r="AX862" s="5">
        <v>86</v>
      </c>
      <c r="AY862" s="5">
        <v>82.03</v>
      </c>
      <c r="AZ862" s="5" t="s">
        <v>75</v>
      </c>
      <c r="BA862" s="5">
        <v>3.33</v>
      </c>
      <c r="BB862" s="12" t="s">
        <v>76</v>
      </c>
      <c r="BC862" s="5">
        <v>5.11</v>
      </c>
      <c r="BD862" s="5">
        <v>162</v>
      </c>
      <c r="BE862" s="5">
        <v>0.85</v>
      </c>
      <c r="BF862" s="5">
        <v>2.06</v>
      </c>
      <c r="BG862" s="15">
        <v>36.4</v>
      </c>
      <c r="BH862" s="5">
        <v>66</v>
      </c>
      <c r="BI862" s="5">
        <v>72</v>
      </c>
      <c r="BJ862" s="5">
        <v>18</v>
      </c>
      <c r="BK862" s="5">
        <v>112</v>
      </c>
      <c r="BL862" s="5">
        <v>99</v>
      </c>
      <c r="BM862" s="5">
        <v>63</v>
      </c>
      <c r="BN862" s="5">
        <v>165</v>
      </c>
      <c r="BO862" s="5">
        <f t="shared" si="13"/>
        <v>23.1404958677686</v>
      </c>
      <c r="BP862" s="5" t="s">
        <v>78</v>
      </c>
      <c r="BQ862" s="5">
        <v>5.6</v>
      </c>
      <c r="BR862" s="5">
        <v>1929</v>
      </c>
    </row>
    <row r="863" s="1" customFormat="1" spans="1:70">
      <c r="A863" s="1">
        <v>3319237</v>
      </c>
      <c r="B863" s="1" t="s">
        <v>2118</v>
      </c>
      <c r="D863" s="4">
        <v>45016</v>
      </c>
      <c r="E863" s="4">
        <v>45026</v>
      </c>
      <c r="F863" s="7">
        <v>20549</v>
      </c>
      <c r="G863" s="1">
        <v>35</v>
      </c>
      <c r="H863" s="1">
        <v>10</v>
      </c>
      <c r="I863" s="1">
        <v>48</v>
      </c>
      <c r="J863" s="1">
        <v>9</v>
      </c>
      <c r="K863" s="1">
        <v>53</v>
      </c>
      <c r="L863" s="1">
        <v>28</v>
      </c>
      <c r="N863" s="10">
        <v>5</v>
      </c>
      <c r="O863" s="7">
        <v>20549</v>
      </c>
      <c r="P863" s="4">
        <v>45016</v>
      </c>
      <c r="Q863" s="4">
        <v>45026</v>
      </c>
      <c r="R863" s="1" t="s">
        <v>80</v>
      </c>
      <c r="AO863" s="7">
        <v>20549</v>
      </c>
      <c r="AP863" s="5">
        <v>7.9</v>
      </c>
      <c r="AQ863" s="5">
        <v>134</v>
      </c>
      <c r="AR863" s="5">
        <v>40.7</v>
      </c>
      <c r="AS863" s="5">
        <v>67.7</v>
      </c>
      <c r="AT863" s="5">
        <v>26</v>
      </c>
      <c r="AU863" s="5">
        <v>8</v>
      </c>
      <c r="AV863" s="5">
        <v>43.4</v>
      </c>
      <c r="AW863" s="5">
        <v>8.57</v>
      </c>
      <c r="AX863" s="5">
        <v>76</v>
      </c>
      <c r="AY863" s="5">
        <v>94.61</v>
      </c>
      <c r="AZ863" s="5" t="s">
        <v>75</v>
      </c>
      <c r="BA863" s="5" t="s">
        <v>76</v>
      </c>
      <c r="BB863" s="12" t="s">
        <v>76</v>
      </c>
      <c r="BC863" s="5">
        <v>4.4</v>
      </c>
      <c r="BD863" s="5">
        <v>134</v>
      </c>
      <c r="BE863" s="5" t="s">
        <v>76</v>
      </c>
      <c r="BF863" s="5" t="s">
        <v>76</v>
      </c>
      <c r="BG863" s="15">
        <v>36.6</v>
      </c>
      <c r="BH863" s="5">
        <v>56</v>
      </c>
      <c r="BI863" s="5" t="s">
        <v>76</v>
      </c>
      <c r="BJ863" s="5">
        <v>20</v>
      </c>
      <c r="BK863" s="5">
        <v>161</v>
      </c>
      <c r="BL863" s="5">
        <v>122</v>
      </c>
      <c r="BM863" s="5">
        <v>50</v>
      </c>
      <c r="BN863" s="5">
        <v>165</v>
      </c>
      <c r="BO863" s="5">
        <f t="shared" si="13"/>
        <v>18.3654729109275</v>
      </c>
      <c r="BP863" s="5" t="s">
        <v>109</v>
      </c>
      <c r="BQ863" s="5" t="s">
        <v>76</v>
      </c>
      <c r="BR863" s="5">
        <v>3413</v>
      </c>
    </row>
    <row r="864" s="1" customFormat="1" spans="1:70">
      <c r="A864" s="1">
        <v>3487239</v>
      </c>
      <c r="B864" s="1" t="s">
        <v>2119</v>
      </c>
      <c r="D864" s="4">
        <v>45250</v>
      </c>
      <c r="E864" s="4">
        <v>45272</v>
      </c>
      <c r="F864" s="7">
        <v>20550</v>
      </c>
      <c r="G864" s="1">
        <v>35</v>
      </c>
      <c r="H864" s="1">
        <v>11</v>
      </c>
      <c r="I864" s="1">
        <v>48</v>
      </c>
      <c r="J864" s="1">
        <v>10</v>
      </c>
      <c r="K864" s="1">
        <v>59</v>
      </c>
      <c r="L864" s="1">
        <v>31</v>
      </c>
      <c r="M864" s="1">
        <v>0.53</v>
      </c>
      <c r="N864" s="1">
        <v>6.7</v>
      </c>
      <c r="O864" s="7">
        <v>20550</v>
      </c>
      <c r="P864" s="4">
        <v>45250</v>
      </c>
      <c r="Q864" s="4">
        <v>45272</v>
      </c>
      <c r="R864" s="1" t="s">
        <v>80</v>
      </c>
      <c r="AO864" s="7">
        <v>20550</v>
      </c>
      <c r="AP864" s="5">
        <v>9.7</v>
      </c>
      <c r="AQ864" s="5">
        <v>90</v>
      </c>
      <c r="AR864" s="5">
        <v>55</v>
      </c>
      <c r="AS864" s="5">
        <v>209.4</v>
      </c>
      <c r="AT864" s="5">
        <v>31</v>
      </c>
      <c r="AU864" s="5">
        <v>19</v>
      </c>
      <c r="AV864" s="5">
        <v>41.6</v>
      </c>
      <c r="AW864" s="5">
        <v>5.76</v>
      </c>
      <c r="AX864" s="5">
        <v>50</v>
      </c>
      <c r="AY864" s="5" t="s">
        <v>125</v>
      </c>
      <c r="AZ864" s="5">
        <v>8.7</v>
      </c>
      <c r="BA864" s="5" t="s">
        <v>76</v>
      </c>
      <c r="BB864" s="12" t="s">
        <v>76</v>
      </c>
      <c r="BC864" s="5">
        <v>3.58</v>
      </c>
      <c r="BD864" s="5">
        <v>90</v>
      </c>
      <c r="BE864" s="5" t="s">
        <v>76</v>
      </c>
      <c r="BF864" s="5" t="s">
        <v>76</v>
      </c>
      <c r="BG864" s="15">
        <v>37.3</v>
      </c>
      <c r="BH864" s="5">
        <v>72</v>
      </c>
      <c r="BI864" s="5">
        <v>72</v>
      </c>
      <c r="BJ864" s="5">
        <v>18</v>
      </c>
      <c r="BK864" s="5">
        <v>135</v>
      </c>
      <c r="BL864" s="5">
        <v>97</v>
      </c>
      <c r="BM864" s="5" t="s">
        <v>274</v>
      </c>
      <c r="BN864" s="5" t="s">
        <v>274</v>
      </c>
      <c r="BO864" s="5" t="e">
        <f t="shared" si="13"/>
        <v>#VALUE!</v>
      </c>
      <c r="BP864" s="5" t="s">
        <v>109</v>
      </c>
      <c r="BQ864" s="5" t="s">
        <v>76</v>
      </c>
      <c r="BR864" s="5">
        <v>981</v>
      </c>
    </row>
    <row r="865" s="1" customFormat="1" spans="1:70">
      <c r="A865" s="1">
        <v>3313960</v>
      </c>
      <c r="B865" s="1" t="s">
        <v>2120</v>
      </c>
      <c r="D865" s="4">
        <v>45009</v>
      </c>
      <c r="E865" s="4">
        <v>45031</v>
      </c>
      <c r="F865" s="7">
        <v>20563</v>
      </c>
      <c r="G865" s="1">
        <v>28</v>
      </c>
      <c r="H865" s="1">
        <v>9</v>
      </c>
      <c r="I865" s="1">
        <v>43</v>
      </c>
      <c r="J865" s="1">
        <v>9</v>
      </c>
      <c r="K865" s="1">
        <v>57</v>
      </c>
      <c r="L865" s="1">
        <v>30</v>
      </c>
      <c r="M865" s="1">
        <v>0.73</v>
      </c>
      <c r="O865" s="7">
        <v>20563</v>
      </c>
      <c r="P865" s="4">
        <v>45009</v>
      </c>
      <c r="Q865" s="4">
        <v>45031</v>
      </c>
      <c r="R865" s="1" t="s">
        <v>73</v>
      </c>
      <c r="AO865" s="7">
        <v>20563</v>
      </c>
      <c r="AP865" s="5">
        <v>9.2</v>
      </c>
      <c r="AQ865" s="5">
        <v>94</v>
      </c>
      <c r="AR865" s="5">
        <v>38.8</v>
      </c>
      <c r="AS865" s="5">
        <v>83.2</v>
      </c>
      <c r="AT865" s="5">
        <v>83</v>
      </c>
      <c r="AU865" s="5">
        <v>50</v>
      </c>
      <c r="AV865" s="5">
        <v>9.5</v>
      </c>
      <c r="AW865" s="5">
        <v>49.9</v>
      </c>
      <c r="AX865" s="5">
        <v>68</v>
      </c>
      <c r="AY865" s="5" t="s">
        <v>125</v>
      </c>
      <c r="AZ865" s="5">
        <v>7.2</v>
      </c>
      <c r="BA865" s="5">
        <v>3.28</v>
      </c>
      <c r="BB865" s="12" t="s">
        <v>76</v>
      </c>
      <c r="BC865" s="5">
        <v>4.66</v>
      </c>
      <c r="BD865" s="5">
        <v>94</v>
      </c>
      <c r="BE865" s="5" t="s">
        <v>76</v>
      </c>
      <c r="BF865" s="5" t="s">
        <v>76</v>
      </c>
      <c r="BG865" s="15">
        <v>36.3</v>
      </c>
      <c r="BH865" s="5">
        <v>69</v>
      </c>
      <c r="BI865" s="5">
        <v>69</v>
      </c>
      <c r="BJ865" s="5">
        <v>19</v>
      </c>
      <c r="BK865" s="5">
        <v>163</v>
      </c>
      <c r="BL865" s="5">
        <v>71</v>
      </c>
      <c r="BM865" s="5">
        <v>60</v>
      </c>
      <c r="BN865" s="5">
        <v>160</v>
      </c>
      <c r="BO865" s="5">
        <f t="shared" si="13"/>
        <v>23.4375</v>
      </c>
      <c r="BP865" s="5" t="s">
        <v>394</v>
      </c>
      <c r="BQ865" s="5">
        <v>5.9</v>
      </c>
      <c r="BR865" s="5">
        <v>987.7</v>
      </c>
    </row>
    <row r="866" s="1" customFormat="1" spans="1:70">
      <c r="A866" s="1">
        <v>3488520</v>
      </c>
      <c r="B866" s="1" t="s">
        <v>2121</v>
      </c>
      <c r="D866" s="4">
        <v>45251</v>
      </c>
      <c r="E866" s="4">
        <v>45274</v>
      </c>
      <c r="F866" s="7">
        <v>20564</v>
      </c>
      <c r="G866" s="1">
        <v>44</v>
      </c>
      <c r="H866" s="1">
        <v>9</v>
      </c>
      <c r="I866" s="1">
        <v>49</v>
      </c>
      <c r="J866" s="1">
        <v>9</v>
      </c>
      <c r="K866" s="1">
        <v>57</v>
      </c>
      <c r="L866" s="1">
        <v>30</v>
      </c>
      <c r="M866" s="1">
        <v>1.13</v>
      </c>
      <c r="N866" s="1">
        <v>12.1</v>
      </c>
      <c r="O866" s="7">
        <v>20564</v>
      </c>
      <c r="P866" s="4">
        <v>45251</v>
      </c>
      <c r="Q866" s="4">
        <v>45274</v>
      </c>
      <c r="R866" s="1" t="s">
        <v>80</v>
      </c>
      <c r="S866" s="1">
        <v>67</v>
      </c>
      <c r="T866" s="1" t="s">
        <v>2122</v>
      </c>
      <c r="V866" s="1">
        <v>1</v>
      </c>
      <c r="W866" s="1">
        <v>1</v>
      </c>
      <c r="AG866" s="1">
        <v>1</v>
      </c>
      <c r="AH866" s="1">
        <v>1</v>
      </c>
      <c r="AI866" s="1">
        <v>1</v>
      </c>
      <c r="AO866" s="7">
        <v>20564</v>
      </c>
      <c r="AP866" s="5">
        <v>9.1</v>
      </c>
      <c r="AQ866" s="5">
        <v>97</v>
      </c>
      <c r="AR866" s="5">
        <v>54</v>
      </c>
      <c r="AS866" s="5">
        <v>88.3</v>
      </c>
      <c r="AT866" s="5">
        <v>80</v>
      </c>
      <c r="AU866" s="5">
        <v>98</v>
      </c>
      <c r="AV866" s="5">
        <v>46</v>
      </c>
      <c r="AW866" s="5">
        <v>9.06</v>
      </c>
      <c r="AX866" s="5">
        <v>83</v>
      </c>
      <c r="AY866" s="5" t="s">
        <v>125</v>
      </c>
      <c r="AZ866" s="5" t="s">
        <v>75</v>
      </c>
      <c r="BA866" s="5">
        <v>3.8</v>
      </c>
      <c r="BB866" s="12" t="s">
        <v>76</v>
      </c>
      <c r="BC866" s="5">
        <v>4.98</v>
      </c>
      <c r="BD866" s="5">
        <v>97</v>
      </c>
      <c r="BE866" s="5">
        <v>0.79</v>
      </c>
      <c r="BF866" s="5">
        <v>1.96</v>
      </c>
      <c r="BG866" s="15">
        <v>36.5</v>
      </c>
      <c r="BH866" s="5">
        <v>68</v>
      </c>
      <c r="BI866" s="5">
        <v>68</v>
      </c>
      <c r="BJ866" s="5">
        <v>18</v>
      </c>
      <c r="BK866" s="5">
        <v>150</v>
      </c>
      <c r="BL866" s="5">
        <v>77</v>
      </c>
      <c r="BM866" s="5">
        <v>92.5</v>
      </c>
      <c r="BN866" s="5">
        <v>170</v>
      </c>
      <c r="BO866" s="5">
        <f t="shared" si="13"/>
        <v>32.0069204152249</v>
      </c>
      <c r="BP866" s="5" t="s">
        <v>1450</v>
      </c>
      <c r="BQ866" s="5">
        <v>6.3</v>
      </c>
      <c r="BR866" s="5">
        <v>965</v>
      </c>
    </row>
    <row r="867" s="1" customFormat="1" spans="1:70">
      <c r="A867" s="1">
        <v>3241433</v>
      </c>
      <c r="B867" s="1" t="s">
        <v>2123</v>
      </c>
      <c r="D867" s="4">
        <v>44886</v>
      </c>
      <c r="E867" s="4">
        <v>44890</v>
      </c>
      <c r="F867" s="7">
        <v>20588</v>
      </c>
      <c r="G867" s="1">
        <v>40</v>
      </c>
      <c r="H867" s="1">
        <v>12</v>
      </c>
      <c r="I867" s="1">
        <v>47</v>
      </c>
      <c r="J867" s="1">
        <v>12</v>
      </c>
      <c r="K867" s="1">
        <v>57</v>
      </c>
      <c r="L867" s="1">
        <v>30</v>
      </c>
      <c r="M867" s="1">
        <v>1.35</v>
      </c>
      <c r="N867" s="1">
        <v>26.3</v>
      </c>
      <c r="O867" s="7">
        <v>20588</v>
      </c>
      <c r="P867" s="4">
        <v>44886</v>
      </c>
      <c r="Q867" s="4">
        <v>44890</v>
      </c>
      <c r="R867" s="1" t="s">
        <v>73</v>
      </c>
      <c r="AO867" s="7">
        <v>20588</v>
      </c>
      <c r="AP867" s="5">
        <v>8.7</v>
      </c>
      <c r="AQ867" s="5">
        <v>110</v>
      </c>
      <c r="AR867" s="5">
        <v>35.2</v>
      </c>
      <c r="AS867" s="5" t="s">
        <v>81</v>
      </c>
      <c r="AT867" s="5">
        <v>24</v>
      </c>
      <c r="AU867" s="5">
        <v>13</v>
      </c>
      <c r="AV867" s="5">
        <v>30.1</v>
      </c>
      <c r="AW867" s="5">
        <v>12.16</v>
      </c>
      <c r="AX867" s="5">
        <v>274</v>
      </c>
      <c r="AY867" s="5">
        <v>15.98</v>
      </c>
      <c r="AZ867" s="5">
        <v>3.62</v>
      </c>
      <c r="BA867" s="5">
        <v>10.29</v>
      </c>
      <c r="BB867" s="12" t="s">
        <v>76</v>
      </c>
      <c r="BC867" s="5">
        <v>4.29</v>
      </c>
      <c r="BD867" s="5">
        <v>110</v>
      </c>
      <c r="BE867" s="5" t="s">
        <v>76</v>
      </c>
      <c r="BF867" s="5" t="s">
        <v>76</v>
      </c>
      <c r="BG867" s="15">
        <v>36.2</v>
      </c>
      <c r="BH867" s="5">
        <v>74</v>
      </c>
      <c r="BI867" s="5" t="s">
        <v>76</v>
      </c>
      <c r="BJ867" s="5">
        <v>18</v>
      </c>
      <c r="BK867" s="5">
        <v>188</v>
      </c>
      <c r="BL867" s="5">
        <v>98</v>
      </c>
      <c r="BM867" s="5">
        <v>58</v>
      </c>
      <c r="BN867" s="5">
        <v>156</v>
      </c>
      <c r="BO867" s="5">
        <f t="shared" si="13"/>
        <v>23.8330046022354</v>
      </c>
      <c r="BP867" s="5" t="s">
        <v>415</v>
      </c>
      <c r="BQ867" s="5">
        <v>7.9</v>
      </c>
      <c r="BR867" s="5">
        <v>8604</v>
      </c>
    </row>
    <row r="868" s="1" customFormat="1" spans="1:70">
      <c r="A868" s="1">
        <v>3279682</v>
      </c>
      <c r="B868" s="1" t="s">
        <v>2124</v>
      </c>
      <c r="C868" s="1">
        <v>1</v>
      </c>
      <c r="D868" s="4">
        <v>44963</v>
      </c>
      <c r="E868" s="4">
        <v>44972</v>
      </c>
      <c r="F868" s="7">
        <v>20588</v>
      </c>
      <c r="G868" s="1">
        <v>38</v>
      </c>
      <c r="H868" s="1">
        <v>9</v>
      </c>
      <c r="I868" s="1">
        <v>54</v>
      </c>
      <c r="J868" s="1">
        <v>9</v>
      </c>
      <c r="K868" s="1">
        <v>58</v>
      </c>
      <c r="L868" s="1">
        <v>31</v>
      </c>
      <c r="M868" s="1">
        <v>0.71</v>
      </c>
      <c r="N868" s="1">
        <v>13.4</v>
      </c>
      <c r="O868" s="7">
        <v>20588</v>
      </c>
      <c r="P868" s="4">
        <v>44963</v>
      </c>
      <c r="Q868" s="4">
        <v>44972</v>
      </c>
      <c r="R868" s="1" t="s">
        <v>73</v>
      </c>
      <c r="S868" s="1">
        <v>66</v>
      </c>
      <c r="T868" s="1" t="s">
        <v>2125</v>
      </c>
      <c r="V868" s="1">
        <v>1</v>
      </c>
      <c r="X868" s="1">
        <v>1</v>
      </c>
      <c r="Z868" s="1">
        <v>1</v>
      </c>
      <c r="AG868" s="1">
        <v>1</v>
      </c>
      <c r="AH868" s="1">
        <v>1</v>
      </c>
      <c r="AI868" s="1">
        <v>1</v>
      </c>
      <c r="AO868" s="7">
        <v>20588</v>
      </c>
      <c r="AP868" s="5">
        <v>4.7</v>
      </c>
      <c r="AQ868" s="5">
        <v>110</v>
      </c>
      <c r="AR868" s="5">
        <v>34.8</v>
      </c>
      <c r="AS868" s="5" t="s">
        <v>81</v>
      </c>
      <c r="AT868" s="5">
        <v>17</v>
      </c>
      <c r="AU868" s="5">
        <v>8</v>
      </c>
      <c r="AV868" s="5">
        <v>44.6</v>
      </c>
      <c r="AW868" s="5">
        <v>3.58</v>
      </c>
      <c r="AX868" s="5">
        <v>42</v>
      </c>
      <c r="AY868" s="5" t="s">
        <v>125</v>
      </c>
      <c r="AZ868" s="5">
        <v>6.87</v>
      </c>
      <c r="BA868" s="5">
        <v>3.8</v>
      </c>
      <c r="BB868" s="12" t="s">
        <v>76</v>
      </c>
      <c r="BC868" s="5">
        <v>4.04</v>
      </c>
      <c r="BD868" s="5">
        <v>110</v>
      </c>
      <c r="BE868" s="5">
        <v>1.12</v>
      </c>
      <c r="BF868" s="5">
        <v>2.09</v>
      </c>
      <c r="BG868" s="15">
        <v>36.4</v>
      </c>
      <c r="BH868" s="5">
        <v>78</v>
      </c>
      <c r="BI868" s="5">
        <v>78</v>
      </c>
      <c r="BJ868" s="5">
        <v>19</v>
      </c>
      <c r="BK868" s="5">
        <v>148</v>
      </c>
      <c r="BL868" s="5">
        <v>77</v>
      </c>
      <c r="BM868" s="5">
        <v>70</v>
      </c>
      <c r="BN868" s="5">
        <v>160</v>
      </c>
      <c r="BO868" s="5">
        <f t="shared" si="13"/>
        <v>27.34375</v>
      </c>
      <c r="BP868" s="5" t="s">
        <v>1450</v>
      </c>
      <c r="BQ868" s="5">
        <v>10.3</v>
      </c>
      <c r="BR868" s="5">
        <v>934</v>
      </c>
    </row>
    <row r="869" s="1" customFormat="1" spans="1:70">
      <c r="A869" s="1">
        <v>3490429</v>
      </c>
      <c r="B869" s="1" t="s">
        <v>2126</v>
      </c>
      <c r="D869" s="4">
        <v>45253</v>
      </c>
      <c r="E869" s="4">
        <v>45264</v>
      </c>
      <c r="F869" s="7">
        <v>20612</v>
      </c>
      <c r="G869" s="1">
        <v>46</v>
      </c>
      <c r="H869" s="1">
        <v>13</v>
      </c>
      <c r="I869" s="1">
        <v>50</v>
      </c>
      <c r="J869" s="1">
        <v>13</v>
      </c>
      <c r="K869" s="1">
        <v>43</v>
      </c>
      <c r="L869" s="1">
        <v>22</v>
      </c>
      <c r="M869" s="1">
        <v>1.23</v>
      </c>
      <c r="N869" s="1">
        <v>14.8</v>
      </c>
      <c r="O869" s="7">
        <v>20612</v>
      </c>
      <c r="P869" s="4">
        <v>45253</v>
      </c>
      <c r="Q869" s="4">
        <v>45264</v>
      </c>
      <c r="R869" s="1" t="s">
        <v>80</v>
      </c>
      <c r="AO869" s="7">
        <v>20612</v>
      </c>
      <c r="AP869" s="5">
        <v>5</v>
      </c>
      <c r="AQ869" s="5">
        <v>116</v>
      </c>
      <c r="AR869" s="5">
        <v>34.9</v>
      </c>
      <c r="AS869" s="5">
        <v>38.6</v>
      </c>
      <c r="AT869" s="5">
        <v>16</v>
      </c>
      <c r="AU869" s="5">
        <v>10</v>
      </c>
      <c r="AV869" s="5">
        <v>33.1</v>
      </c>
      <c r="AW869" s="5">
        <v>25.5</v>
      </c>
      <c r="AX869" s="5">
        <v>196</v>
      </c>
      <c r="AY869" s="5">
        <v>40.54</v>
      </c>
      <c r="AZ869" s="5">
        <v>4.74</v>
      </c>
      <c r="BA869" s="5">
        <v>3.27</v>
      </c>
      <c r="BB869" s="12" t="s">
        <v>76</v>
      </c>
      <c r="BC869" s="5">
        <v>4.63</v>
      </c>
      <c r="BD869" s="5">
        <v>116</v>
      </c>
      <c r="BE869" s="5">
        <v>0.61</v>
      </c>
      <c r="BF869" s="5">
        <v>1.72</v>
      </c>
      <c r="BG869" s="15">
        <v>36.2</v>
      </c>
      <c r="BH869" s="5">
        <v>85</v>
      </c>
      <c r="BI869" s="5">
        <v>85</v>
      </c>
      <c r="BJ869" s="5">
        <v>20</v>
      </c>
      <c r="BK869" s="5">
        <v>99</v>
      </c>
      <c r="BL869" s="5">
        <v>52</v>
      </c>
      <c r="BM869" s="5">
        <v>55</v>
      </c>
      <c r="BN869" s="5">
        <v>172</v>
      </c>
      <c r="BO869" s="5">
        <f t="shared" si="13"/>
        <v>18.5911303407247</v>
      </c>
      <c r="BP869" s="5" t="s">
        <v>156</v>
      </c>
      <c r="BQ869" s="5">
        <v>5.6</v>
      </c>
      <c r="BR869" s="5">
        <v>16598</v>
      </c>
    </row>
    <row r="870" s="1" customFormat="1" spans="1:70">
      <c r="A870" s="1">
        <v>3249855</v>
      </c>
      <c r="B870" s="1" t="s">
        <v>2127</v>
      </c>
      <c r="D870" s="4">
        <v>44900</v>
      </c>
      <c r="E870" s="4">
        <v>44907</v>
      </c>
      <c r="F870" s="7">
        <v>20618</v>
      </c>
      <c r="G870" s="1">
        <v>44</v>
      </c>
      <c r="H870" s="1">
        <v>9</v>
      </c>
      <c r="I870" s="1">
        <v>50</v>
      </c>
      <c r="J870" s="1">
        <v>9</v>
      </c>
      <c r="K870" s="1">
        <v>40</v>
      </c>
      <c r="N870" s="1">
        <v>12.2</v>
      </c>
      <c r="O870" s="7">
        <v>20618</v>
      </c>
      <c r="P870" s="4">
        <v>44900</v>
      </c>
      <c r="Q870" s="4">
        <v>44907</v>
      </c>
      <c r="R870" s="1" t="s">
        <v>73</v>
      </c>
      <c r="AO870" s="7">
        <v>20618</v>
      </c>
      <c r="AP870" s="5">
        <v>6</v>
      </c>
      <c r="AQ870" s="5">
        <v>140</v>
      </c>
      <c r="AR870" s="5">
        <v>46.7</v>
      </c>
      <c r="AS870" s="5">
        <v>2.1</v>
      </c>
      <c r="AT870" s="5">
        <v>41</v>
      </c>
      <c r="AU870" s="5">
        <v>54</v>
      </c>
      <c r="AV870" s="5">
        <v>38.4</v>
      </c>
      <c r="AW870" s="5">
        <v>5.3</v>
      </c>
      <c r="AX870" s="5">
        <v>71</v>
      </c>
      <c r="AY870" s="5">
        <v>87.17</v>
      </c>
      <c r="AZ870" s="5" t="s">
        <v>75</v>
      </c>
      <c r="BA870" s="5" t="s">
        <v>76</v>
      </c>
      <c r="BB870" s="12" t="s">
        <v>76</v>
      </c>
      <c r="BC870" s="5">
        <v>4.29</v>
      </c>
      <c r="BD870" s="5">
        <v>140</v>
      </c>
      <c r="BE870" s="5" t="s">
        <v>76</v>
      </c>
      <c r="BF870" s="5" t="s">
        <v>76</v>
      </c>
      <c r="BG870" s="15">
        <v>36.8</v>
      </c>
      <c r="BH870" s="5">
        <v>86</v>
      </c>
      <c r="BI870" s="5" t="s">
        <v>76</v>
      </c>
      <c r="BJ870" s="5">
        <v>18</v>
      </c>
      <c r="BK870" s="5">
        <v>113</v>
      </c>
      <c r="BL870" s="5">
        <v>81</v>
      </c>
      <c r="BM870" s="5">
        <v>69</v>
      </c>
      <c r="BN870" s="5">
        <v>160</v>
      </c>
      <c r="BO870" s="5">
        <f t="shared" si="13"/>
        <v>26.953125</v>
      </c>
      <c r="BP870" s="5" t="s">
        <v>109</v>
      </c>
      <c r="BQ870" s="5" t="s">
        <v>76</v>
      </c>
      <c r="BR870" s="5">
        <v>4769</v>
      </c>
    </row>
    <row r="871" s="1" customFormat="1" spans="1:70">
      <c r="A871" s="1">
        <v>3255541</v>
      </c>
      <c r="B871" s="1" t="s">
        <v>2128</v>
      </c>
      <c r="D871" s="4">
        <v>44919</v>
      </c>
      <c r="E871" s="4">
        <v>44943</v>
      </c>
      <c r="F871" s="7">
        <v>20627</v>
      </c>
      <c r="G871" s="1">
        <v>28</v>
      </c>
      <c r="H871" s="1">
        <v>9</v>
      </c>
      <c r="I871" s="1">
        <v>42</v>
      </c>
      <c r="J871" s="1">
        <v>9</v>
      </c>
      <c r="K871" s="1">
        <v>63</v>
      </c>
      <c r="L871" s="1">
        <v>34</v>
      </c>
      <c r="M871" s="1">
        <v>0.67</v>
      </c>
      <c r="N871" s="1">
        <v>9.3</v>
      </c>
      <c r="O871" s="7">
        <v>20627</v>
      </c>
      <c r="P871" s="4">
        <v>44919</v>
      </c>
      <c r="Q871" s="4">
        <v>44943</v>
      </c>
      <c r="R871" s="1" t="s">
        <v>80</v>
      </c>
      <c r="S871" s="1">
        <v>66</v>
      </c>
      <c r="T871" s="1" t="s">
        <v>2129</v>
      </c>
      <c r="AC871" s="1">
        <v>1</v>
      </c>
      <c r="AG871" s="1">
        <v>1</v>
      </c>
      <c r="AH871" s="1">
        <v>1</v>
      </c>
      <c r="AM871" s="1">
        <v>1</v>
      </c>
      <c r="AO871" s="7">
        <v>20627</v>
      </c>
      <c r="AP871" s="5">
        <v>6.6</v>
      </c>
      <c r="AQ871" s="5">
        <v>95</v>
      </c>
      <c r="AR871" s="5">
        <v>43.6</v>
      </c>
      <c r="AS871" s="5">
        <v>93.2</v>
      </c>
      <c r="AT871" s="5">
        <v>81</v>
      </c>
      <c r="AU871" s="5">
        <v>8</v>
      </c>
      <c r="AV871" s="5">
        <v>42.3</v>
      </c>
      <c r="AW871" s="5">
        <v>8.82</v>
      </c>
      <c r="AX871" s="5">
        <v>92</v>
      </c>
      <c r="AY871" s="5" t="s">
        <v>125</v>
      </c>
      <c r="AZ871" s="5" t="s">
        <v>75</v>
      </c>
      <c r="BA871" s="5">
        <v>4</v>
      </c>
      <c r="BB871" s="12" t="s">
        <v>76</v>
      </c>
      <c r="BC871" s="5">
        <v>5.09</v>
      </c>
      <c r="BD871" s="5">
        <v>95</v>
      </c>
      <c r="BE871" s="5">
        <v>0.95</v>
      </c>
      <c r="BF871" s="5">
        <v>2.27</v>
      </c>
      <c r="BG871" s="15">
        <v>37.8</v>
      </c>
      <c r="BH871" s="5" t="s">
        <v>76</v>
      </c>
      <c r="BI871" s="5">
        <v>80</v>
      </c>
      <c r="BJ871" s="5">
        <v>15</v>
      </c>
      <c r="BK871" s="5">
        <v>146</v>
      </c>
      <c r="BL871" s="5">
        <v>102</v>
      </c>
      <c r="BM871" s="5" t="s">
        <v>77</v>
      </c>
      <c r="BN871" s="5" t="s">
        <v>77</v>
      </c>
      <c r="BO871" s="5" t="e">
        <f t="shared" si="13"/>
        <v>#VALUE!</v>
      </c>
      <c r="BP871" s="5" t="s">
        <v>963</v>
      </c>
      <c r="BQ871" s="5" t="s">
        <v>76</v>
      </c>
      <c r="BR871" s="5">
        <v>949</v>
      </c>
    </row>
    <row r="872" s="1" customFormat="1" spans="1:70">
      <c r="A872" s="1">
        <v>3282076</v>
      </c>
      <c r="B872" s="1" t="s">
        <v>2130</v>
      </c>
      <c r="D872" s="4">
        <v>44966</v>
      </c>
      <c r="E872" s="4">
        <v>44985</v>
      </c>
      <c r="F872" s="7">
        <v>20631</v>
      </c>
      <c r="G872" s="1">
        <v>28</v>
      </c>
      <c r="H872" s="1">
        <v>9</v>
      </c>
      <c r="I872" s="1">
        <v>49</v>
      </c>
      <c r="J872" s="1">
        <v>9</v>
      </c>
      <c r="K872" s="1">
        <v>38</v>
      </c>
      <c r="L872" s="1">
        <v>19</v>
      </c>
      <c r="M872" s="1">
        <v>0.63</v>
      </c>
      <c r="O872" s="7">
        <v>20631</v>
      </c>
      <c r="P872" s="4">
        <v>44966</v>
      </c>
      <c r="Q872" s="4">
        <v>44985</v>
      </c>
      <c r="R872" s="1" t="s">
        <v>80</v>
      </c>
      <c r="AO872" s="7">
        <v>20631</v>
      </c>
      <c r="AP872" s="5">
        <v>26.8</v>
      </c>
      <c r="AQ872" s="5">
        <v>189</v>
      </c>
      <c r="AR872" s="5">
        <v>57.6</v>
      </c>
      <c r="AS872" s="5" t="s">
        <v>1481</v>
      </c>
      <c r="AT872" s="5">
        <v>83</v>
      </c>
      <c r="AU872" s="5">
        <v>91</v>
      </c>
      <c r="AV872" s="5">
        <v>39.5</v>
      </c>
      <c r="AW872" s="5">
        <v>9.65</v>
      </c>
      <c r="AX872" s="5">
        <v>96</v>
      </c>
      <c r="AY872" s="5" t="s">
        <v>125</v>
      </c>
      <c r="AZ872" s="5" t="s">
        <v>75</v>
      </c>
      <c r="BA872" s="5">
        <v>8.02</v>
      </c>
      <c r="BB872" s="12" t="s">
        <v>76</v>
      </c>
      <c r="BC872" s="5">
        <v>4.84</v>
      </c>
      <c r="BD872" s="5">
        <v>189</v>
      </c>
      <c r="BE872" s="5">
        <v>0.82</v>
      </c>
      <c r="BF872" s="5">
        <v>2.62</v>
      </c>
      <c r="BG872" s="15">
        <v>36.4</v>
      </c>
      <c r="BH872" s="5">
        <v>89</v>
      </c>
      <c r="BI872" s="5">
        <v>89</v>
      </c>
      <c r="BJ872" s="5">
        <v>30</v>
      </c>
      <c r="BK872" s="5">
        <v>140</v>
      </c>
      <c r="BL872" s="5">
        <v>87</v>
      </c>
      <c r="BM872" s="5">
        <v>65</v>
      </c>
      <c r="BN872" s="5">
        <v>170</v>
      </c>
      <c r="BO872" s="5">
        <f t="shared" si="13"/>
        <v>22.4913494809689</v>
      </c>
      <c r="BP872" s="5" t="s">
        <v>323</v>
      </c>
      <c r="BQ872" s="5" t="s">
        <v>76</v>
      </c>
      <c r="BR872" s="5">
        <v>7057.79</v>
      </c>
    </row>
    <row r="873" s="1" customFormat="1" spans="1:70">
      <c r="A873" s="1">
        <v>3499772</v>
      </c>
      <c r="B873" s="1" t="s">
        <v>2131</v>
      </c>
      <c r="D873" s="4">
        <v>45266</v>
      </c>
      <c r="E873" s="4">
        <v>45288</v>
      </c>
      <c r="F873" s="7">
        <v>20638</v>
      </c>
      <c r="G873" s="1">
        <v>28</v>
      </c>
      <c r="H873" s="1">
        <v>9</v>
      </c>
      <c r="I873" s="1">
        <v>41</v>
      </c>
      <c r="J873" s="1">
        <v>9</v>
      </c>
      <c r="K873" s="1">
        <v>62</v>
      </c>
      <c r="L873" s="1">
        <v>33</v>
      </c>
      <c r="M873" s="1">
        <v>0.75</v>
      </c>
      <c r="O873" s="7">
        <v>20638</v>
      </c>
      <c r="P873" s="4">
        <v>45266</v>
      </c>
      <c r="Q873" s="4">
        <v>45288</v>
      </c>
      <c r="R873" s="1" t="s">
        <v>73</v>
      </c>
      <c r="AO873" s="7">
        <v>20638</v>
      </c>
      <c r="AP873" s="5">
        <v>9.7</v>
      </c>
      <c r="AQ873" s="5">
        <v>97</v>
      </c>
      <c r="AR873" s="5">
        <v>34.8</v>
      </c>
      <c r="AS873" s="5" t="s">
        <v>2132</v>
      </c>
      <c r="AT873" s="5">
        <v>84</v>
      </c>
      <c r="AU873" s="5">
        <v>76</v>
      </c>
      <c r="AV873" s="5">
        <v>35.7</v>
      </c>
      <c r="AW873" s="5">
        <v>57.75</v>
      </c>
      <c r="AX873" s="5">
        <v>74</v>
      </c>
      <c r="AY873" s="5" t="s">
        <v>125</v>
      </c>
      <c r="AZ873" s="5">
        <v>9.9</v>
      </c>
      <c r="BA873" s="5" t="s">
        <v>76</v>
      </c>
      <c r="BB873" s="12" t="s">
        <v>76</v>
      </c>
      <c r="BC873" s="5">
        <v>5.19</v>
      </c>
      <c r="BD873" s="5">
        <v>97</v>
      </c>
      <c r="BE873" s="5" t="s">
        <v>76</v>
      </c>
      <c r="BF873" s="5" t="s">
        <v>76</v>
      </c>
      <c r="BG873" s="5" t="s">
        <v>76</v>
      </c>
      <c r="BH873" s="5" t="s">
        <v>76</v>
      </c>
      <c r="BI873" s="5" t="s">
        <v>76</v>
      </c>
      <c r="BJ873" s="5" t="s">
        <v>76</v>
      </c>
      <c r="BK873" s="5" t="s">
        <v>76</v>
      </c>
      <c r="BL873" s="5" t="s">
        <v>76</v>
      </c>
      <c r="BM873" s="5" t="s">
        <v>76</v>
      </c>
      <c r="BN873" s="5" t="s">
        <v>76</v>
      </c>
      <c r="BO873" s="5" t="e">
        <f t="shared" si="13"/>
        <v>#VALUE!</v>
      </c>
      <c r="BP873" s="5" t="s">
        <v>117</v>
      </c>
      <c r="BQ873" s="5" t="s">
        <v>76</v>
      </c>
      <c r="BR873" s="5">
        <v>9982.59</v>
      </c>
    </row>
    <row r="874" s="1" customFormat="1" spans="1:70">
      <c r="A874" s="1">
        <v>3305918</v>
      </c>
      <c r="B874" s="1" t="s">
        <v>2133</v>
      </c>
      <c r="D874" s="4">
        <v>45005</v>
      </c>
      <c r="E874" s="4">
        <v>45009</v>
      </c>
      <c r="F874" s="7">
        <v>20639</v>
      </c>
      <c r="G874" s="1">
        <v>38</v>
      </c>
      <c r="H874" s="1">
        <v>8</v>
      </c>
      <c r="I874" s="1">
        <v>43</v>
      </c>
      <c r="J874" s="1">
        <v>8</v>
      </c>
      <c r="K874" s="1">
        <v>68</v>
      </c>
      <c r="L874" s="1">
        <v>38</v>
      </c>
      <c r="N874" s="1">
        <v>10</v>
      </c>
      <c r="O874" s="7">
        <v>20639</v>
      </c>
      <c r="P874" s="4">
        <v>45005</v>
      </c>
      <c r="Q874" s="4">
        <v>45009</v>
      </c>
      <c r="R874" s="1" t="s">
        <v>73</v>
      </c>
      <c r="AO874" s="7">
        <v>20639</v>
      </c>
      <c r="AP874" s="5">
        <v>6.3</v>
      </c>
      <c r="AQ874" s="5">
        <v>129</v>
      </c>
      <c r="AR874" s="5">
        <v>39.1</v>
      </c>
      <c r="AS874" s="5" t="s">
        <v>81</v>
      </c>
      <c r="AT874" s="5">
        <v>20</v>
      </c>
      <c r="AU874" s="5">
        <v>19</v>
      </c>
      <c r="AV874" s="5">
        <v>47.3</v>
      </c>
      <c r="AW874" s="5">
        <v>5.26</v>
      </c>
      <c r="AX874" s="5">
        <v>58</v>
      </c>
      <c r="AY874" s="5" t="s">
        <v>76</v>
      </c>
      <c r="AZ874" s="5" t="s">
        <v>75</v>
      </c>
      <c r="BA874" s="5">
        <v>5.09</v>
      </c>
      <c r="BB874" s="12" t="s">
        <v>76</v>
      </c>
      <c r="BC874" s="5">
        <v>3.53</v>
      </c>
      <c r="BD874" s="5">
        <v>129</v>
      </c>
      <c r="BE874" s="5">
        <v>1.58</v>
      </c>
      <c r="BF874" s="5">
        <v>1.9</v>
      </c>
      <c r="BG874" s="15">
        <v>36.5</v>
      </c>
      <c r="BH874" s="5">
        <v>75</v>
      </c>
      <c r="BI874" s="5">
        <v>92</v>
      </c>
      <c r="BJ874" s="5">
        <v>18</v>
      </c>
      <c r="BK874" s="5">
        <v>148</v>
      </c>
      <c r="BL874" s="5">
        <v>85</v>
      </c>
      <c r="BM874" s="5">
        <v>82</v>
      </c>
      <c r="BN874" s="5">
        <v>171</v>
      </c>
      <c r="BO874" s="5">
        <f t="shared" si="13"/>
        <v>28.0428165931398</v>
      </c>
      <c r="BP874" s="5" t="s">
        <v>78</v>
      </c>
      <c r="BQ874" s="5">
        <v>6</v>
      </c>
      <c r="BR874" s="5">
        <v>914</v>
      </c>
    </row>
    <row r="875" s="1" customFormat="1" spans="1:70">
      <c r="A875" s="1">
        <v>3495500</v>
      </c>
      <c r="B875" s="1" t="s">
        <v>2134</v>
      </c>
      <c r="D875" s="4">
        <v>45260</v>
      </c>
      <c r="E875" s="4">
        <v>45267</v>
      </c>
      <c r="F875" s="7">
        <v>20644</v>
      </c>
      <c r="G875" s="1">
        <v>41</v>
      </c>
      <c r="H875" s="1">
        <v>19</v>
      </c>
      <c r="I875" s="1">
        <v>43</v>
      </c>
      <c r="J875" s="1">
        <v>10</v>
      </c>
      <c r="K875" s="1">
        <v>59</v>
      </c>
      <c r="L875" s="1">
        <v>31</v>
      </c>
      <c r="M875" s="1">
        <v>0.84</v>
      </c>
      <c r="N875" s="1">
        <v>19.6</v>
      </c>
      <c r="O875" s="7">
        <v>20644</v>
      </c>
      <c r="P875" s="4">
        <v>45260</v>
      </c>
      <c r="Q875" s="4">
        <v>45267</v>
      </c>
      <c r="R875" s="1" t="s">
        <v>73</v>
      </c>
      <c r="AO875" s="7">
        <v>20644</v>
      </c>
      <c r="AP875" s="5">
        <v>5.3</v>
      </c>
      <c r="AQ875" s="5">
        <v>107</v>
      </c>
      <c r="AR875" s="5">
        <v>36</v>
      </c>
      <c r="AS875" s="5" t="s">
        <v>76</v>
      </c>
      <c r="AT875" s="5">
        <v>22</v>
      </c>
      <c r="AU875" s="5">
        <v>9</v>
      </c>
      <c r="AV875" s="5">
        <v>37.4</v>
      </c>
      <c r="AW875" s="5">
        <v>7.72</v>
      </c>
      <c r="AX875" s="5">
        <v>46</v>
      </c>
      <c r="AY875" s="5" t="s">
        <v>125</v>
      </c>
      <c r="AZ875" s="5" t="s">
        <v>375</v>
      </c>
      <c r="BA875" s="5">
        <v>6.87</v>
      </c>
      <c r="BB875" s="12" t="s">
        <v>76</v>
      </c>
      <c r="BC875" s="5">
        <v>3.57</v>
      </c>
      <c r="BD875" s="5">
        <v>107</v>
      </c>
      <c r="BE875" s="5">
        <v>1.16</v>
      </c>
      <c r="BF875" s="5">
        <v>4.48</v>
      </c>
      <c r="BG875" s="15">
        <v>36.6</v>
      </c>
      <c r="BH875" s="5">
        <v>80</v>
      </c>
      <c r="BI875" s="5">
        <v>80</v>
      </c>
      <c r="BJ875" s="5">
        <v>18</v>
      </c>
      <c r="BK875" s="5">
        <v>123</v>
      </c>
      <c r="BL875" s="5">
        <v>76</v>
      </c>
      <c r="BM875" s="5">
        <v>39</v>
      </c>
      <c r="BN875" s="5">
        <v>150</v>
      </c>
      <c r="BO875" s="5">
        <f t="shared" si="13"/>
        <v>17.3333333333333</v>
      </c>
      <c r="BP875" s="5" t="s">
        <v>78</v>
      </c>
      <c r="BQ875" s="5" t="s">
        <v>76</v>
      </c>
      <c r="BR875" s="5">
        <v>4793</v>
      </c>
    </row>
    <row r="876" s="1" customFormat="1" spans="1:70">
      <c r="A876" s="1">
        <v>3514684</v>
      </c>
      <c r="B876" s="1" t="s">
        <v>2135</v>
      </c>
      <c r="D876" s="4">
        <v>45286</v>
      </c>
      <c r="E876" s="4">
        <v>45289</v>
      </c>
      <c r="F876" s="7">
        <v>20650</v>
      </c>
      <c r="G876" s="1">
        <v>32</v>
      </c>
      <c r="H876" s="1">
        <v>8</v>
      </c>
      <c r="I876" s="1">
        <v>43</v>
      </c>
      <c r="J876" s="1">
        <v>8</v>
      </c>
      <c r="K876" s="1">
        <v>60</v>
      </c>
      <c r="L876" s="1">
        <v>32</v>
      </c>
      <c r="M876" s="1">
        <v>0.65</v>
      </c>
      <c r="O876" s="7">
        <v>20650</v>
      </c>
      <c r="P876" s="4">
        <v>45286</v>
      </c>
      <c r="Q876" s="4">
        <v>45289</v>
      </c>
      <c r="R876" s="1" t="s">
        <v>73</v>
      </c>
      <c r="AO876" s="7">
        <v>20650</v>
      </c>
      <c r="AP876" s="5">
        <v>44</v>
      </c>
      <c r="AQ876" s="5">
        <v>77</v>
      </c>
      <c r="AR876" s="5">
        <v>37.7</v>
      </c>
      <c r="AS876" s="5" t="s">
        <v>76</v>
      </c>
      <c r="AT876" s="5">
        <v>30</v>
      </c>
      <c r="AU876" s="5">
        <v>20</v>
      </c>
      <c r="AV876" s="5">
        <v>37.4</v>
      </c>
      <c r="AW876" s="5">
        <v>8.09</v>
      </c>
      <c r="AX876" s="5">
        <v>44</v>
      </c>
      <c r="AY876" s="5" t="s">
        <v>125</v>
      </c>
      <c r="AZ876" s="5">
        <v>9.4</v>
      </c>
      <c r="BA876" s="5" t="s">
        <v>76</v>
      </c>
      <c r="BB876" s="12" t="s">
        <v>76</v>
      </c>
      <c r="BC876" s="5">
        <v>4.33</v>
      </c>
      <c r="BD876" s="5">
        <v>77</v>
      </c>
      <c r="BE876" s="5" t="s">
        <v>76</v>
      </c>
      <c r="BF876" s="5" t="s">
        <v>76</v>
      </c>
      <c r="BG876" s="5" t="s">
        <v>76</v>
      </c>
      <c r="BH876" s="5" t="s">
        <v>76</v>
      </c>
      <c r="BI876" s="5" t="s">
        <v>76</v>
      </c>
      <c r="BJ876" s="5" t="s">
        <v>76</v>
      </c>
      <c r="BK876" s="5" t="s">
        <v>76</v>
      </c>
      <c r="BL876" s="5" t="s">
        <v>76</v>
      </c>
      <c r="BM876" s="5" t="s">
        <v>76</v>
      </c>
      <c r="BN876" s="5" t="s">
        <v>76</v>
      </c>
      <c r="BO876" s="5" t="e">
        <f t="shared" si="13"/>
        <v>#VALUE!</v>
      </c>
      <c r="BP876" s="5" t="s">
        <v>85</v>
      </c>
      <c r="BQ876" s="5" t="s">
        <v>76</v>
      </c>
      <c r="BR876" s="5">
        <v>4670</v>
      </c>
    </row>
    <row r="877" s="1" customFormat="1" spans="1:70">
      <c r="A877" s="1">
        <v>3308592</v>
      </c>
      <c r="B877" s="1" t="s">
        <v>2136</v>
      </c>
      <c r="C877" s="1">
        <v>1</v>
      </c>
      <c r="D877" s="4">
        <v>45001</v>
      </c>
      <c r="E877" s="4">
        <v>45012</v>
      </c>
      <c r="F877" s="7">
        <v>20651</v>
      </c>
      <c r="G877" s="1">
        <v>47</v>
      </c>
      <c r="H877" s="1">
        <v>9</v>
      </c>
      <c r="I877" s="1">
        <v>65</v>
      </c>
      <c r="K877" s="1">
        <v>45</v>
      </c>
      <c r="L877" s="1">
        <v>22</v>
      </c>
      <c r="M877" s="1">
        <v>1.3</v>
      </c>
      <c r="O877" s="7">
        <v>20651</v>
      </c>
      <c r="P877" s="4">
        <v>45001</v>
      </c>
      <c r="Q877" s="4">
        <v>45012</v>
      </c>
      <c r="R877" s="1" t="s">
        <v>80</v>
      </c>
      <c r="AO877" s="7">
        <v>20651</v>
      </c>
      <c r="AP877" s="5">
        <v>9.9</v>
      </c>
      <c r="AQ877" s="5">
        <v>91</v>
      </c>
      <c r="AR877" s="5">
        <v>33.8</v>
      </c>
      <c r="AS877" s="5">
        <v>91.7</v>
      </c>
      <c r="AT877" s="5">
        <v>9</v>
      </c>
      <c r="AU877" s="5" t="s">
        <v>171</v>
      </c>
      <c r="AV877" s="5">
        <v>8.6</v>
      </c>
      <c r="AW877" s="5">
        <v>23.66</v>
      </c>
      <c r="AX877" s="5">
        <v>93</v>
      </c>
      <c r="AY877" s="5">
        <v>93.2</v>
      </c>
      <c r="AZ877" s="5" t="s">
        <v>75</v>
      </c>
      <c r="BA877" s="5" t="s">
        <v>76</v>
      </c>
      <c r="BB877" s="12" t="s">
        <v>76</v>
      </c>
      <c r="BC877" s="5">
        <v>5.17</v>
      </c>
      <c r="BD877" s="5">
        <v>91</v>
      </c>
      <c r="BE877" s="5" t="s">
        <v>76</v>
      </c>
      <c r="BF877" s="5" t="s">
        <v>76</v>
      </c>
      <c r="BG877" s="15">
        <v>36.4</v>
      </c>
      <c r="BH877" s="5">
        <v>142</v>
      </c>
      <c r="BI877" s="5">
        <v>142</v>
      </c>
      <c r="BJ877" s="5">
        <v>10</v>
      </c>
      <c r="BK877" s="5">
        <v>142</v>
      </c>
      <c r="BL877" s="5">
        <v>73</v>
      </c>
      <c r="BM877" s="5" t="s">
        <v>77</v>
      </c>
      <c r="BN877" s="5" t="s">
        <v>77</v>
      </c>
      <c r="BO877" s="5" t="e">
        <f t="shared" si="13"/>
        <v>#VALUE!</v>
      </c>
      <c r="BP877" s="5" t="s">
        <v>117</v>
      </c>
      <c r="BQ877" s="5" t="s">
        <v>76</v>
      </c>
      <c r="BR877" s="5" t="s">
        <v>1155</v>
      </c>
    </row>
    <row r="878" s="1" customFormat="1" spans="1:70">
      <c r="A878" s="1">
        <v>3245065</v>
      </c>
      <c r="B878" s="1" t="s">
        <v>2137</v>
      </c>
      <c r="D878" s="4">
        <v>44891</v>
      </c>
      <c r="E878" s="4">
        <v>44911</v>
      </c>
      <c r="F878" s="7">
        <v>20651</v>
      </c>
      <c r="G878" s="1">
        <v>29</v>
      </c>
      <c r="H878" s="1">
        <v>10</v>
      </c>
      <c r="I878" s="1">
        <v>42</v>
      </c>
      <c r="J878" s="1">
        <v>10</v>
      </c>
      <c r="K878" s="1">
        <v>61</v>
      </c>
      <c r="L878" s="1">
        <v>33</v>
      </c>
      <c r="M878" s="1">
        <v>0.67</v>
      </c>
      <c r="N878" s="1">
        <v>8.5</v>
      </c>
      <c r="O878" s="7">
        <v>20651</v>
      </c>
      <c r="P878" s="4">
        <v>44891</v>
      </c>
      <c r="Q878" s="4">
        <v>44911</v>
      </c>
      <c r="R878" s="1" t="s">
        <v>80</v>
      </c>
      <c r="S878" s="1">
        <v>66</v>
      </c>
      <c r="T878" s="1" t="s">
        <v>2138</v>
      </c>
      <c r="AM878" s="1">
        <v>1</v>
      </c>
      <c r="AO878" s="7">
        <v>20651</v>
      </c>
      <c r="AP878" s="5">
        <v>8.9</v>
      </c>
      <c r="AQ878" s="5">
        <v>98</v>
      </c>
      <c r="AR878" s="5">
        <v>31.9</v>
      </c>
      <c r="AS878" s="5">
        <v>7.6</v>
      </c>
      <c r="AT878" s="5">
        <v>49</v>
      </c>
      <c r="AU878" s="5">
        <v>72</v>
      </c>
      <c r="AV878" s="5">
        <v>30.5</v>
      </c>
      <c r="AW878" s="5">
        <v>9.13</v>
      </c>
      <c r="AX878" s="5">
        <v>70</v>
      </c>
      <c r="AY878" s="5" t="s">
        <v>125</v>
      </c>
      <c r="AZ878" s="5">
        <v>9.5</v>
      </c>
      <c r="BA878" s="5">
        <v>3.09</v>
      </c>
      <c r="BB878" s="12" t="s">
        <v>76</v>
      </c>
      <c r="BC878" s="5">
        <v>4.58</v>
      </c>
      <c r="BD878" s="5">
        <v>98</v>
      </c>
      <c r="BE878" s="5">
        <v>0.74</v>
      </c>
      <c r="BF878" s="5">
        <v>1.77</v>
      </c>
      <c r="BG878" s="15">
        <v>36.5</v>
      </c>
      <c r="BH878" s="5">
        <v>72</v>
      </c>
      <c r="BI878" s="5" t="s">
        <v>76</v>
      </c>
      <c r="BJ878" s="5">
        <v>20</v>
      </c>
      <c r="BK878" s="5">
        <v>103</v>
      </c>
      <c r="BL878" s="5">
        <v>57</v>
      </c>
      <c r="BM878" s="5">
        <v>60</v>
      </c>
      <c r="BN878" s="5">
        <v>165</v>
      </c>
      <c r="BO878" s="5">
        <f t="shared" si="13"/>
        <v>22.038567493113</v>
      </c>
      <c r="BP878" s="5" t="s">
        <v>369</v>
      </c>
      <c r="BQ878" s="5" t="s">
        <v>76</v>
      </c>
      <c r="BR878" s="5">
        <v>6628</v>
      </c>
    </row>
    <row r="879" s="1" customFormat="1" spans="1:70">
      <c r="A879" s="1">
        <v>3257503</v>
      </c>
      <c r="B879" s="1" t="s">
        <v>2139</v>
      </c>
      <c r="D879" s="4">
        <v>44923</v>
      </c>
      <c r="E879" s="4">
        <v>44936</v>
      </c>
      <c r="F879" s="7">
        <v>20659</v>
      </c>
      <c r="G879" s="1">
        <v>45</v>
      </c>
      <c r="H879" s="1">
        <v>10</v>
      </c>
      <c r="I879" s="1">
        <v>60</v>
      </c>
      <c r="J879" s="1">
        <v>10</v>
      </c>
      <c r="K879" s="1">
        <v>63</v>
      </c>
      <c r="L879" s="1">
        <v>35</v>
      </c>
      <c r="M879" s="1">
        <v>1.06</v>
      </c>
      <c r="N879" s="1">
        <v>17.2</v>
      </c>
      <c r="O879" s="7">
        <v>20659</v>
      </c>
      <c r="P879" s="4">
        <v>44923</v>
      </c>
      <c r="Q879" s="4">
        <v>44936</v>
      </c>
      <c r="R879" s="1" t="s">
        <v>80</v>
      </c>
      <c r="AO879" s="7">
        <v>20659</v>
      </c>
      <c r="AP879" s="5">
        <v>9</v>
      </c>
      <c r="AQ879" s="5">
        <v>62</v>
      </c>
      <c r="AR879" s="5">
        <v>20.3</v>
      </c>
      <c r="AS879" s="5">
        <v>12.3</v>
      </c>
      <c r="AT879" s="5">
        <v>8</v>
      </c>
      <c r="AU879" s="5">
        <v>9</v>
      </c>
      <c r="AV879" s="5">
        <v>41.9</v>
      </c>
      <c r="AW879" s="5">
        <v>31.03</v>
      </c>
      <c r="AX879" s="5">
        <v>361</v>
      </c>
      <c r="AY879" s="5">
        <v>15.67</v>
      </c>
      <c r="AZ879" s="5">
        <v>10.71</v>
      </c>
      <c r="BA879" s="5">
        <v>4.27</v>
      </c>
      <c r="BB879" s="12" t="s">
        <v>76</v>
      </c>
      <c r="BC879" s="5">
        <v>4.26</v>
      </c>
      <c r="BD879" s="5">
        <v>62</v>
      </c>
      <c r="BE879" s="5" t="s">
        <v>76</v>
      </c>
      <c r="BF879" s="5" t="s">
        <v>76</v>
      </c>
      <c r="BG879" s="15">
        <v>37.1</v>
      </c>
      <c r="BH879" s="5">
        <v>86</v>
      </c>
      <c r="BI879" s="5" t="s">
        <v>76</v>
      </c>
      <c r="BJ879" s="5">
        <v>16</v>
      </c>
      <c r="BK879" s="5">
        <v>163</v>
      </c>
      <c r="BL879" s="5">
        <v>81</v>
      </c>
      <c r="BM879" s="5">
        <v>85</v>
      </c>
      <c r="BN879" s="5">
        <v>178</v>
      </c>
      <c r="BO879" s="5">
        <f t="shared" si="13"/>
        <v>26.8274207802045</v>
      </c>
      <c r="BP879" s="5" t="s">
        <v>415</v>
      </c>
      <c r="BQ879" s="5" t="s">
        <v>76</v>
      </c>
      <c r="BR879" s="5">
        <v>22900</v>
      </c>
    </row>
    <row r="880" s="1" customFormat="1" spans="1:70">
      <c r="A880" s="1">
        <v>3496552</v>
      </c>
      <c r="B880" s="1" t="s">
        <v>2140</v>
      </c>
      <c r="D880" s="4">
        <v>45262</v>
      </c>
      <c r="E880" s="4">
        <v>45273</v>
      </c>
      <c r="F880" s="7">
        <v>20661</v>
      </c>
      <c r="G880" s="1">
        <v>28</v>
      </c>
      <c r="H880" s="1">
        <v>9</v>
      </c>
      <c r="I880" s="1">
        <v>42</v>
      </c>
      <c r="J880" s="1">
        <v>9</v>
      </c>
      <c r="K880" s="1">
        <v>58</v>
      </c>
      <c r="L880" s="1">
        <v>30</v>
      </c>
      <c r="M880" s="1">
        <v>0.65</v>
      </c>
      <c r="O880" s="7">
        <v>20661</v>
      </c>
      <c r="P880" s="4">
        <v>45262</v>
      </c>
      <c r="Q880" s="4">
        <v>45273</v>
      </c>
      <c r="R880" s="1" t="s">
        <v>80</v>
      </c>
      <c r="S880" s="1">
        <v>68</v>
      </c>
      <c r="T880" s="1" t="s">
        <v>2141</v>
      </c>
      <c r="V880" s="1">
        <v>1</v>
      </c>
      <c r="X880" s="1">
        <v>1</v>
      </c>
      <c r="Z880" s="1">
        <v>1</v>
      </c>
      <c r="AC880" s="1">
        <v>1</v>
      </c>
      <c r="AG880" s="1">
        <v>1</v>
      </c>
      <c r="AH880" s="1">
        <v>1</v>
      </c>
      <c r="AI880" s="1">
        <v>1</v>
      </c>
      <c r="AO880" s="7">
        <v>20661</v>
      </c>
      <c r="AP880" s="5">
        <v>9.9</v>
      </c>
      <c r="AQ880" s="5">
        <v>99</v>
      </c>
      <c r="AR880" s="5">
        <v>37</v>
      </c>
      <c r="AS880" s="5" t="s">
        <v>76</v>
      </c>
      <c r="AT880" s="5">
        <v>93</v>
      </c>
      <c r="AU880" s="5">
        <v>41</v>
      </c>
      <c r="AV880" s="5">
        <v>34.1</v>
      </c>
      <c r="AW880" s="5">
        <v>9.66</v>
      </c>
      <c r="AX880" s="5">
        <v>86</v>
      </c>
      <c r="AY880" s="5" t="s">
        <v>125</v>
      </c>
      <c r="AZ880" s="5">
        <v>9.9</v>
      </c>
      <c r="BA880" s="5">
        <v>3.4</v>
      </c>
      <c r="BB880" s="12" t="s">
        <v>76</v>
      </c>
      <c r="BC880" s="5">
        <v>4.65</v>
      </c>
      <c r="BD880" s="5">
        <v>99</v>
      </c>
      <c r="BE880" s="5">
        <v>0.6</v>
      </c>
      <c r="BF880" s="5">
        <v>1.71</v>
      </c>
      <c r="BG880" s="5" t="s">
        <v>76</v>
      </c>
      <c r="BH880" s="5" t="s">
        <v>76</v>
      </c>
      <c r="BI880" s="5" t="s">
        <v>76</v>
      </c>
      <c r="BJ880" s="5" t="s">
        <v>76</v>
      </c>
      <c r="BK880" s="5" t="s">
        <v>76</v>
      </c>
      <c r="BL880" s="5" t="s">
        <v>76</v>
      </c>
      <c r="BM880" s="5" t="s">
        <v>76</v>
      </c>
      <c r="BN880" s="5" t="s">
        <v>76</v>
      </c>
      <c r="BO880" s="5" t="e">
        <f t="shared" si="13"/>
        <v>#VALUE!</v>
      </c>
      <c r="BP880" s="5" t="s">
        <v>618</v>
      </c>
      <c r="BQ880" s="5">
        <v>9.6</v>
      </c>
      <c r="BR880" s="5">
        <v>8066</v>
      </c>
    </row>
    <row r="881" s="1" customFormat="1" spans="1:70">
      <c r="A881" s="1">
        <v>3281212</v>
      </c>
      <c r="B881" s="1" t="s">
        <v>2142</v>
      </c>
      <c r="D881" s="4">
        <v>44964</v>
      </c>
      <c r="E881" s="4">
        <v>44970</v>
      </c>
      <c r="F881" s="7">
        <v>20673</v>
      </c>
      <c r="G881" s="1">
        <v>32</v>
      </c>
      <c r="H881" s="1">
        <v>9</v>
      </c>
      <c r="I881" s="1">
        <v>47</v>
      </c>
      <c r="J881" s="1">
        <v>9</v>
      </c>
      <c r="K881" s="1">
        <v>55</v>
      </c>
      <c r="L881" s="1">
        <v>29</v>
      </c>
      <c r="M881" s="1">
        <v>0.64</v>
      </c>
      <c r="N881" s="1">
        <v>12.7</v>
      </c>
      <c r="O881" s="7">
        <v>20673</v>
      </c>
      <c r="P881" s="4">
        <v>44964</v>
      </c>
      <c r="Q881" s="4">
        <v>44970</v>
      </c>
      <c r="R881" s="1" t="s">
        <v>73</v>
      </c>
      <c r="AO881" s="7">
        <v>20673</v>
      </c>
      <c r="AP881" s="5">
        <v>9.1</v>
      </c>
      <c r="AQ881" s="5">
        <v>112</v>
      </c>
      <c r="AR881" s="5">
        <v>35.5</v>
      </c>
      <c r="AS881" s="5">
        <v>7.9</v>
      </c>
      <c r="AT881" s="5">
        <v>82</v>
      </c>
      <c r="AU881" s="5">
        <v>19</v>
      </c>
      <c r="AV881" s="5">
        <v>37.9</v>
      </c>
      <c r="AW881" s="5">
        <v>4.07</v>
      </c>
      <c r="AX881" s="5">
        <v>54</v>
      </c>
      <c r="AY881" s="5" t="s">
        <v>125</v>
      </c>
      <c r="AZ881" s="5" t="s">
        <v>75</v>
      </c>
      <c r="BA881" s="5">
        <v>3.27</v>
      </c>
      <c r="BB881" s="12" t="s">
        <v>76</v>
      </c>
      <c r="BC881" s="5">
        <v>3.95</v>
      </c>
      <c r="BD881" s="5">
        <v>112</v>
      </c>
      <c r="BE881" s="5">
        <v>0.83</v>
      </c>
      <c r="BF881" s="5">
        <v>1.84</v>
      </c>
      <c r="BG881" s="15">
        <v>36.5</v>
      </c>
      <c r="BH881" s="5">
        <v>74</v>
      </c>
      <c r="BI881" s="5">
        <v>74</v>
      </c>
      <c r="BJ881" s="5">
        <v>20</v>
      </c>
      <c r="BK881" s="5">
        <v>104</v>
      </c>
      <c r="BL881" s="5">
        <v>57</v>
      </c>
      <c r="BM881" s="5">
        <v>55</v>
      </c>
      <c r="BN881" s="5">
        <v>160</v>
      </c>
      <c r="BO881" s="5">
        <f t="shared" si="13"/>
        <v>21.484375</v>
      </c>
      <c r="BP881" s="5" t="s">
        <v>323</v>
      </c>
      <c r="BQ881" s="5">
        <v>9.6</v>
      </c>
      <c r="BR881" s="5">
        <v>959</v>
      </c>
    </row>
    <row r="882" s="1" customFormat="1" spans="1:70">
      <c r="A882" s="1">
        <v>3254582</v>
      </c>
      <c r="B882" s="1" t="s">
        <v>2143</v>
      </c>
      <c r="D882" s="4">
        <v>44914</v>
      </c>
      <c r="E882" s="4">
        <v>44921</v>
      </c>
      <c r="F882" s="7">
        <v>20673</v>
      </c>
      <c r="G882" s="1">
        <v>42</v>
      </c>
      <c r="H882" s="1">
        <v>13</v>
      </c>
      <c r="I882" s="1">
        <v>53</v>
      </c>
      <c r="J882" s="1">
        <v>11</v>
      </c>
      <c r="K882" s="1">
        <v>63</v>
      </c>
      <c r="L882" s="1">
        <v>35</v>
      </c>
      <c r="M882" s="1">
        <v>0.51</v>
      </c>
      <c r="N882" s="1">
        <v>11.6</v>
      </c>
      <c r="O882" s="7">
        <v>20673</v>
      </c>
      <c r="P882" s="4">
        <v>44914</v>
      </c>
      <c r="Q882" s="4">
        <v>44921</v>
      </c>
      <c r="R882" s="1" t="s">
        <v>80</v>
      </c>
      <c r="S882" s="1">
        <v>66</v>
      </c>
      <c r="T882" s="1">
        <v>18155751159</v>
      </c>
      <c r="V882" s="1">
        <v>1</v>
      </c>
      <c r="Z882" s="1">
        <v>1</v>
      </c>
      <c r="AG882" s="1">
        <v>1</v>
      </c>
      <c r="AH882" s="1">
        <v>1</v>
      </c>
      <c r="AI882" s="1">
        <v>1</v>
      </c>
      <c r="AK882" s="1">
        <v>1</v>
      </c>
      <c r="AO882" s="7">
        <v>20673</v>
      </c>
      <c r="AP882" s="5">
        <v>7.7</v>
      </c>
      <c r="AQ882" s="5">
        <v>130</v>
      </c>
      <c r="AR882" s="5">
        <v>42</v>
      </c>
      <c r="AS882" s="5" t="s">
        <v>81</v>
      </c>
      <c r="AT882" s="5">
        <v>64</v>
      </c>
      <c r="AU882" s="5">
        <v>77</v>
      </c>
      <c r="AV882" s="5">
        <v>40.1</v>
      </c>
      <c r="AW882" s="5">
        <v>6.45</v>
      </c>
      <c r="AX882" s="5">
        <v>68</v>
      </c>
      <c r="AY882" s="5" t="s">
        <v>125</v>
      </c>
      <c r="AZ882" s="5" t="s">
        <v>75</v>
      </c>
      <c r="BA882" s="5">
        <v>3.06</v>
      </c>
      <c r="BB882" s="12" t="s">
        <v>76</v>
      </c>
      <c r="BC882" s="5">
        <v>4.3</v>
      </c>
      <c r="BD882" s="5">
        <v>130</v>
      </c>
      <c r="BE882" s="5">
        <v>0.67</v>
      </c>
      <c r="BF882" s="5">
        <v>1.49</v>
      </c>
      <c r="BG882" s="15">
        <v>36.5</v>
      </c>
      <c r="BH882" s="5">
        <v>80</v>
      </c>
      <c r="BI882" s="5">
        <v>80</v>
      </c>
      <c r="BJ882" s="5">
        <v>18</v>
      </c>
      <c r="BK882" s="5">
        <v>143</v>
      </c>
      <c r="BL882" s="5">
        <v>69</v>
      </c>
      <c r="BM882" s="5">
        <v>95</v>
      </c>
      <c r="BN882" s="5">
        <v>176</v>
      </c>
      <c r="BO882" s="5">
        <f t="shared" si="13"/>
        <v>30.6689049586777</v>
      </c>
      <c r="BP882" s="5" t="s">
        <v>323</v>
      </c>
      <c r="BQ882" s="5">
        <v>6.1</v>
      </c>
      <c r="BR882" s="5">
        <v>946</v>
      </c>
    </row>
    <row r="883" s="1" customFormat="1" spans="1:70">
      <c r="A883" s="1">
        <v>3306009</v>
      </c>
      <c r="B883" s="1" t="s">
        <v>2144</v>
      </c>
      <c r="D883" s="4">
        <v>44999</v>
      </c>
      <c r="E883" s="4">
        <v>45013</v>
      </c>
      <c r="F883" s="7">
        <v>20678</v>
      </c>
      <c r="G883" s="1">
        <v>41</v>
      </c>
      <c r="H883" s="1">
        <v>10</v>
      </c>
      <c r="I883" s="1">
        <v>53</v>
      </c>
      <c r="J883" s="1">
        <v>10</v>
      </c>
      <c r="K883" s="1">
        <v>30</v>
      </c>
      <c r="M883" s="1">
        <v>0.67</v>
      </c>
      <c r="N883" s="1">
        <v>10.2</v>
      </c>
      <c r="O883" s="7">
        <v>20678</v>
      </c>
      <c r="P883" s="4">
        <v>44999</v>
      </c>
      <c r="Q883" s="4">
        <v>45013</v>
      </c>
      <c r="R883" s="1" t="s">
        <v>73</v>
      </c>
      <c r="AO883" s="7">
        <v>20678</v>
      </c>
      <c r="AP883" s="5">
        <v>9.7</v>
      </c>
      <c r="AQ883" s="5">
        <v>131</v>
      </c>
      <c r="AR883" s="5">
        <v>40.8</v>
      </c>
      <c r="AS883" s="5">
        <v>1.4</v>
      </c>
      <c r="AT883" s="5">
        <v>60</v>
      </c>
      <c r="AU883" s="5">
        <v>37</v>
      </c>
      <c r="AV883" s="5">
        <v>37.1</v>
      </c>
      <c r="AW883" s="5">
        <v>7.91</v>
      </c>
      <c r="AX883" s="5">
        <v>51</v>
      </c>
      <c r="AY883" s="5" t="s">
        <v>125</v>
      </c>
      <c r="AZ883" s="5" t="s">
        <v>75</v>
      </c>
      <c r="BA883" s="5" t="s">
        <v>76</v>
      </c>
      <c r="BB883" s="12" t="s">
        <v>76</v>
      </c>
      <c r="BC883" s="5">
        <v>4.74</v>
      </c>
      <c r="BD883" s="5">
        <v>131</v>
      </c>
      <c r="BE883" s="5" t="s">
        <v>76</v>
      </c>
      <c r="BF883" s="5" t="s">
        <v>76</v>
      </c>
      <c r="BG883" s="15">
        <v>36.9</v>
      </c>
      <c r="BH883" s="5">
        <v>102</v>
      </c>
      <c r="BI883" s="5">
        <v>102</v>
      </c>
      <c r="BJ883" s="5">
        <v>20</v>
      </c>
      <c r="BK883" s="5">
        <v>158</v>
      </c>
      <c r="BL883" s="5">
        <v>92</v>
      </c>
      <c r="BM883" s="5">
        <v>60</v>
      </c>
      <c r="BN883" s="5">
        <v>158</v>
      </c>
      <c r="BO883" s="5">
        <f t="shared" si="13"/>
        <v>24.034609838167</v>
      </c>
      <c r="BP883" s="5" t="s">
        <v>164</v>
      </c>
      <c r="BQ883" s="5">
        <v>5.3</v>
      </c>
      <c r="BR883" s="5">
        <v>3039</v>
      </c>
    </row>
    <row r="884" s="1" customFormat="1" spans="1:70">
      <c r="A884" s="1">
        <v>3248918</v>
      </c>
      <c r="B884" s="1" t="s">
        <v>2144</v>
      </c>
      <c r="D884" s="4">
        <v>44899</v>
      </c>
      <c r="E884" s="4">
        <v>44904</v>
      </c>
      <c r="F884" s="7">
        <v>20678</v>
      </c>
      <c r="G884" s="1">
        <v>45</v>
      </c>
      <c r="H884" s="1">
        <v>9</v>
      </c>
      <c r="I884" s="1">
        <v>60</v>
      </c>
      <c r="J884" s="1">
        <v>9</v>
      </c>
      <c r="K884" s="1">
        <v>33</v>
      </c>
      <c r="L884" s="1">
        <v>16</v>
      </c>
      <c r="M884" s="1">
        <v>1.8</v>
      </c>
      <c r="N884" s="1">
        <v>20.4</v>
      </c>
      <c r="O884" s="7">
        <v>20678</v>
      </c>
      <c r="P884" s="4">
        <v>44899</v>
      </c>
      <c r="Q884" s="4">
        <v>44904</v>
      </c>
      <c r="R884" s="1" t="s">
        <v>73</v>
      </c>
      <c r="AO884" s="7">
        <v>20678</v>
      </c>
      <c r="AP884" s="5">
        <v>5.2</v>
      </c>
      <c r="AQ884" s="5">
        <v>120</v>
      </c>
      <c r="AR884" s="5">
        <v>39.6</v>
      </c>
      <c r="AS884" s="5">
        <v>1.4</v>
      </c>
      <c r="AT884" s="5">
        <v>12</v>
      </c>
      <c r="AU884" s="5">
        <v>11</v>
      </c>
      <c r="AV884" s="5">
        <v>37.5</v>
      </c>
      <c r="AW884" s="5">
        <v>5.62</v>
      </c>
      <c r="AX884" s="5">
        <v>53</v>
      </c>
      <c r="AY884" s="5">
        <v>106.41</v>
      </c>
      <c r="AZ884" s="5" t="s">
        <v>75</v>
      </c>
      <c r="BA884" s="5">
        <v>4.85</v>
      </c>
      <c r="BB884" s="12" t="s">
        <v>76</v>
      </c>
      <c r="BC884" s="5">
        <v>4.21</v>
      </c>
      <c r="BD884" s="5">
        <v>120</v>
      </c>
      <c r="BE884" s="5">
        <v>1.02</v>
      </c>
      <c r="BF884" s="5">
        <v>3.38</v>
      </c>
      <c r="BG884" s="15">
        <v>36.3</v>
      </c>
      <c r="BH884" s="5">
        <v>50</v>
      </c>
      <c r="BI884" s="5" t="s">
        <v>76</v>
      </c>
      <c r="BJ884" s="5">
        <v>20</v>
      </c>
      <c r="BK884" s="5">
        <v>148</v>
      </c>
      <c r="BL884" s="5">
        <v>70</v>
      </c>
      <c r="BM884" s="5">
        <v>62</v>
      </c>
      <c r="BN884" s="5">
        <v>150</v>
      </c>
      <c r="BO884" s="5">
        <f t="shared" si="13"/>
        <v>27.5555555555556</v>
      </c>
      <c r="BP884" s="5" t="s">
        <v>168</v>
      </c>
      <c r="BQ884" s="5" t="s">
        <v>76</v>
      </c>
      <c r="BR884" s="5">
        <v>1341</v>
      </c>
    </row>
    <row r="885" s="1" customFormat="1" spans="1:70">
      <c r="A885" s="1">
        <v>3293348</v>
      </c>
      <c r="B885" s="1" t="s">
        <v>2145</v>
      </c>
      <c r="D885" s="4">
        <v>44981</v>
      </c>
      <c r="E885" s="4">
        <v>44991</v>
      </c>
      <c r="F885" s="7">
        <v>20683</v>
      </c>
      <c r="G885" s="1">
        <v>44</v>
      </c>
      <c r="H885" s="1">
        <v>10</v>
      </c>
      <c r="I885" s="1">
        <v>66</v>
      </c>
      <c r="J885" s="1">
        <v>10</v>
      </c>
      <c r="K885" s="1">
        <v>34</v>
      </c>
      <c r="L885" s="1">
        <v>17</v>
      </c>
      <c r="M885" s="1">
        <v>0.74</v>
      </c>
      <c r="N885" s="1">
        <v>16.8</v>
      </c>
      <c r="O885" s="7">
        <v>20683</v>
      </c>
      <c r="P885" s="4">
        <v>44981</v>
      </c>
      <c r="Q885" s="4">
        <v>44991</v>
      </c>
      <c r="R885" s="1" t="s">
        <v>80</v>
      </c>
      <c r="AO885" s="7">
        <v>20683</v>
      </c>
      <c r="AP885" s="5">
        <v>5.9</v>
      </c>
      <c r="AQ885" s="5">
        <v>118</v>
      </c>
      <c r="AR885" s="5">
        <v>38.6</v>
      </c>
      <c r="AS885" s="5">
        <v>9.5</v>
      </c>
      <c r="AT885" s="5">
        <v>34</v>
      </c>
      <c r="AU885" s="5">
        <v>66</v>
      </c>
      <c r="AV885" s="5">
        <v>39.8</v>
      </c>
      <c r="AW885" s="5">
        <v>7.56</v>
      </c>
      <c r="AX885" s="5">
        <v>82</v>
      </c>
      <c r="AY885" s="5">
        <v>86.67</v>
      </c>
      <c r="AZ885" s="5" t="s">
        <v>75</v>
      </c>
      <c r="BA885" s="5" t="s">
        <v>76</v>
      </c>
      <c r="BB885" s="12" t="s">
        <v>76</v>
      </c>
      <c r="BC885" s="5">
        <v>4.04</v>
      </c>
      <c r="BD885" s="5">
        <v>118</v>
      </c>
      <c r="BE885" s="5" t="s">
        <v>76</v>
      </c>
      <c r="BF885" s="5" t="s">
        <v>76</v>
      </c>
      <c r="BG885" s="15">
        <v>36.8</v>
      </c>
      <c r="BH885" s="5">
        <v>80</v>
      </c>
      <c r="BI885" s="5" t="s">
        <v>76</v>
      </c>
      <c r="BJ885" s="5">
        <v>20</v>
      </c>
      <c r="BK885" s="5">
        <v>158</v>
      </c>
      <c r="BL885" s="5">
        <v>92</v>
      </c>
      <c r="BM885" s="5">
        <v>66</v>
      </c>
      <c r="BN885" s="5">
        <v>165</v>
      </c>
      <c r="BO885" s="5">
        <f t="shared" si="13"/>
        <v>24.2424242424242</v>
      </c>
      <c r="BP885" s="5" t="s">
        <v>109</v>
      </c>
      <c r="BQ885" s="5">
        <v>5.7</v>
      </c>
      <c r="BR885" s="5">
        <v>3340</v>
      </c>
    </row>
    <row r="886" s="1" customFormat="1" spans="1:70">
      <c r="A886" s="1">
        <v>3249661</v>
      </c>
      <c r="B886" s="1" t="s">
        <v>2146</v>
      </c>
      <c r="D886" s="4">
        <v>44900</v>
      </c>
      <c r="E886" s="4">
        <v>44904</v>
      </c>
      <c r="F886" s="7">
        <v>20687</v>
      </c>
      <c r="G886" s="1">
        <v>50</v>
      </c>
      <c r="H886" s="1">
        <v>10</v>
      </c>
      <c r="I886" s="1">
        <v>64</v>
      </c>
      <c r="J886" s="1">
        <v>9</v>
      </c>
      <c r="K886" s="1">
        <v>34</v>
      </c>
      <c r="L886" s="1">
        <v>17</v>
      </c>
      <c r="M886" s="1">
        <v>2.74</v>
      </c>
      <c r="N886" s="1">
        <v>38.8</v>
      </c>
      <c r="O886" s="7">
        <v>20687</v>
      </c>
      <c r="P886" s="4">
        <v>44900</v>
      </c>
      <c r="Q886" s="4">
        <v>44904</v>
      </c>
      <c r="R886" s="1" t="s">
        <v>80</v>
      </c>
      <c r="AO886" s="7">
        <v>20687</v>
      </c>
      <c r="AP886" s="5">
        <v>6.6</v>
      </c>
      <c r="AQ886" s="5">
        <v>147</v>
      </c>
      <c r="AR886" s="5">
        <v>46.1</v>
      </c>
      <c r="AS886" s="5">
        <v>1.2</v>
      </c>
      <c r="AT886" s="5">
        <v>28</v>
      </c>
      <c r="AU886" s="5">
        <v>28</v>
      </c>
      <c r="AV886" s="5">
        <v>50.4</v>
      </c>
      <c r="AW886" s="5">
        <v>11.14</v>
      </c>
      <c r="AX886" s="5">
        <v>100</v>
      </c>
      <c r="AY886" s="5">
        <v>68.93</v>
      </c>
      <c r="AZ886" s="5" t="s">
        <v>75</v>
      </c>
      <c r="BA886" s="5">
        <v>2.89</v>
      </c>
      <c r="BB886" s="12" t="s">
        <v>76</v>
      </c>
      <c r="BC886" s="5">
        <v>4.5</v>
      </c>
      <c r="BD886" s="5">
        <v>147</v>
      </c>
      <c r="BE886" s="5">
        <v>0.79</v>
      </c>
      <c r="BF886" s="5">
        <v>1.51</v>
      </c>
      <c r="BG886" s="15">
        <v>36.2</v>
      </c>
      <c r="BH886" s="5" t="s">
        <v>76</v>
      </c>
      <c r="BI886" s="5">
        <v>90</v>
      </c>
      <c r="BJ886" s="5">
        <v>16</v>
      </c>
      <c r="BK886" s="5">
        <v>120</v>
      </c>
      <c r="BL886" s="5">
        <v>70</v>
      </c>
      <c r="BM886" s="5">
        <v>70</v>
      </c>
      <c r="BN886" s="5">
        <v>170</v>
      </c>
      <c r="BO886" s="5">
        <f t="shared" si="13"/>
        <v>24.2214532871972</v>
      </c>
      <c r="BP886" s="5" t="s">
        <v>78</v>
      </c>
      <c r="BQ886" s="5">
        <v>6.4</v>
      </c>
      <c r="BR886" s="5">
        <v>5058</v>
      </c>
    </row>
    <row r="887" s="1" customFormat="1" spans="1:70">
      <c r="A887" s="1">
        <v>3505494</v>
      </c>
      <c r="B887" s="1" t="s">
        <v>2147</v>
      </c>
      <c r="D887" s="4">
        <v>45274</v>
      </c>
      <c r="E887" s="4">
        <v>45282</v>
      </c>
      <c r="F887" s="7">
        <v>20696</v>
      </c>
      <c r="G887" s="1">
        <v>52</v>
      </c>
      <c r="H887" s="1">
        <v>10</v>
      </c>
      <c r="I887" s="1">
        <v>52</v>
      </c>
      <c r="J887" s="1">
        <v>10</v>
      </c>
      <c r="K887" s="1">
        <v>58</v>
      </c>
      <c r="L887" s="1">
        <v>30</v>
      </c>
      <c r="O887" s="7">
        <v>20696</v>
      </c>
      <c r="P887" s="4">
        <v>45274</v>
      </c>
      <c r="Q887" s="4">
        <v>45282</v>
      </c>
      <c r="R887" s="1" t="s">
        <v>80</v>
      </c>
      <c r="AO887" s="7">
        <v>20696</v>
      </c>
      <c r="AP887" s="5">
        <v>9.6</v>
      </c>
      <c r="AQ887" s="5">
        <v>149</v>
      </c>
      <c r="AR887" s="5">
        <v>43.9</v>
      </c>
      <c r="AS887" s="5">
        <v>47.9</v>
      </c>
      <c r="AT887" s="5">
        <v>20</v>
      </c>
      <c r="AU887" s="5" t="s">
        <v>76</v>
      </c>
      <c r="AV887" s="5" t="s">
        <v>76</v>
      </c>
      <c r="AW887" s="5" t="s">
        <v>76</v>
      </c>
      <c r="AX887" s="5" t="s">
        <v>76</v>
      </c>
      <c r="AY887" s="5" t="s">
        <v>76</v>
      </c>
      <c r="AZ887" s="5" t="s">
        <v>804</v>
      </c>
      <c r="BA887" s="5">
        <v>4.86</v>
      </c>
      <c r="BB887" s="12" t="s">
        <v>76</v>
      </c>
      <c r="BC887" s="5" t="s">
        <v>76</v>
      </c>
      <c r="BD887" s="5">
        <v>149</v>
      </c>
      <c r="BE887" s="5">
        <v>0.82</v>
      </c>
      <c r="BF887" s="5">
        <v>3.1</v>
      </c>
      <c r="BG887" s="15">
        <v>36.8</v>
      </c>
      <c r="BH887" s="5">
        <v>69</v>
      </c>
      <c r="BI887" s="5">
        <v>76</v>
      </c>
      <c r="BJ887" s="5">
        <v>12</v>
      </c>
      <c r="BK887" s="5">
        <v>160</v>
      </c>
      <c r="BL887" s="5">
        <v>87</v>
      </c>
      <c r="BM887" s="5">
        <v>70</v>
      </c>
      <c r="BN887" s="5">
        <v>178</v>
      </c>
      <c r="BO887" s="5">
        <f t="shared" si="13"/>
        <v>22.0931700542861</v>
      </c>
      <c r="BP887" s="5" t="s">
        <v>438</v>
      </c>
      <c r="BQ887" s="5" t="s">
        <v>76</v>
      </c>
      <c r="BR887" s="5">
        <v>2037</v>
      </c>
    </row>
    <row r="888" s="1" customFormat="1" spans="1:70">
      <c r="A888" s="1">
        <v>3328570</v>
      </c>
      <c r="B888" s="1" t="s">
        <v>2148</v>
      </c>
      <c r="D888" s="4">
        <v>45029</v>
      </c>
      <c r="E888" s="4">
        <v>45035</v>
      </c>
      <c r="F888" s="7">
        <v>20703</v>
      </c>
      <c r="G888" s="1">
        <v>37</v>
      </c>
      <c r="H888" s="1">
        <v>9</v>
      </c>
      <c r="I888" s="1">
        <v>52</v>
      </c>
      <c r="J888" s="1">
        <v>8</v>
      </c>
      <c r="K888" s="1">
        <v>49</v>
      </c>
      <c r="L888" s="1">
        <v>25</v>
      </c>
      <c r="M888" s="1">
        <v>1.31</v>
      </c>
      <c r="N888" s="1">
        <v>11.8</v>
      </c>
      <c r="O888" s="7">
        <v>20703</v>
      </c>
      <c r="P888" s="4">
        <v>45029</v>
      </c>
      <c r="Q888" s="4">
        <v>45035</v>
      </c>
      <c r="R888" s="1" t="s">
        <v>80</v>
      </c>
      <c r="AO888" s="7">
        <v>20703</v>
      </c>
      <c r="AP888" s="5">
        <v>9.5</v>
      </c>
      <c r="AQ888" s="5">
        <v>179</v>
      </c>
      <c r="AR888" s="5">
        <v>53.9</v>
      </c>
      <c r="AS888" s="5">
        <v>7.7</v>
      </c>
      <c r="AT888" s="5">
        <v>88</v>
      </c>
      <c r="AU888" s="5">
        <v>88</v>
      </c>
      <c r="AV888" s="5">
        <v>46</v>
      </c>
      <c r="AW888" s="5">
        <v>9.49</v>
      </c>
      <c r="AX888" s="5">
        <v>84</v>
      </c>
      <c r="AY888" s="5">
        <v>97.57</v>
      </c>
      <c r="AZ888" s="5" t="s">
        <v>75</v>
      </c>
      <c r="BA888" s="5">
        <v>5.62</v>
      </c>
      <c r="BB888" s="12" t="s">
        <v>76</v>
      </c>
      <c r="BC888" s="5">
        <v>4.09</v>
      </c>
      <c r="BD888" s="5">
        <v>179</v>
      </c>
      <c r="BE888" s="5">
        <v>1.34</v>
      </c>
      <c r="BF888" s="5">
        <v>3.39</v>
      </c>
      <c r="BG888" s="15">
        <v>36.3</v>
      </c>
      <c r="BH888" s="5">
        <v>62</v>
      </c>
      <c r="BI888" s="5">
        <v>62</v>
      </c>
      <c r="BJ888" s="5">
        <v>18</v>
      </c>
      <c r="BK888" s="5">
        <v>121</v>
      </c>
      <c r="BL888" s="5">
        <v>69</v>
      </c>
      <c r="BM888" s="5">
        <v>65</v>
      </c>
      <c r="BN888" s="5">
        <v>163</v>
      </c>
      <c r="BO888" s="5">
        <f t="shared" si="13"/>
        <v>24.4646016033724</v>
      </c>
      <c r="BP888" s="5" t="s">
        <v>323</v>
      </c>
      <c r="BQ888" s="5">
        <v>5.8</v>
      </c>
      <c r="BR888" s="5">
        <v>991</v>
      </c>
    </row>
    <row r="889" s="1" customFormat="1" spans="1:70">
      <c r="A889" s="1">
        <v>3268858</v>
      </c>
      <c r="B889" s="1" t="s">
        <v>2149</v>
      </c>
      <c r="D889" s="4">
        <v>44945</v>
      </c>
      <c r="E889" s="4">
        <v>44955</v>
      </c>
      <c r="F889" s="7">
        <v>20705</v>
      </c>
      <c r="G889" s="1">
        <v>38</v>
      </c>
      <c r="H889" s="1">
        <v>10</v>
      </c>
      <c r="I889" s="1">
        <v>48</v>
      </c>
      <c r="J889" s="1">
        <v>9</v>
      </c>
      <c r="K889" s="1">
        <v>63</v>
      </c>
      <c r="L889" s="1">
        <v>34</v>
      </c>
      <c r="M889" s="1">
        <v>1.6</v>
      </c>
      <c r="N889" s="1">
        <v>10</v>
      </c>
      <c r="O889" s="7">
        <v>20705</v>
      </c>
      <c r="P889" s="4">
        <v>44945</v>
      </c>
      <c r="Q889" s="4">
        <v>44955</v>
      </c>
      <c r="R889" s="1" t="s">
        <v>73</v>
      </c>
      <c r="S889" s="1">
        <v>66</v>
      </c>
      <c r="T889" s="1" t="s">
        <v>2150</v>
      </c>
      <c r="X889" s="1">
        <v>1</v>
      </c>
      <c r="AO889" s="7">
        <v>20705</v>
      </c>
      <c r="AP889" s="5">
        <v>57</v>
      </c>
      <c r="AQ889" s="5">
        <v>89</v>
      </c>
      <c r="AR889" s="5">
        <v>60</v>
      </c>
      <c r="AS889" s="5">
        <v>3.1</v>
      </c>
      <c r="AT889" s="5">
        <v>8</v>
      </c>
      <c r="AU889" s="5">
        <v>9</v>
      </c>
      <c r="AV889" s="5">
        <v>34.8</v>
      </c>
      <c r="AW889" s="5">
        <v>10.41</v>
      </c>
      <c r="AX889" s="5">
        <v>65</v>
      </c>
      <c r="AY889" s="5">
        <v>84.08</v>
      </c>
      <c r="AZ889" s="5">
        <v>9.05</v>
      </c>
      <c r="BA889" s="5">
        <v>4.01</v>
      </c>
      <c r="BB889" s="12" t="s">
        <v>76</v>
      </c>
      <c r="BC889" s="5">
        <v>4.37</v>
      </c>
      <c r="BD889" s="5">
        <v>89</v>
      </c>
      <c r="BE889" s="5">
        <v>0.85</v>
      </c>
      <c r="BF889" s="5">
        <v>2.38</v>
      </c>
      <c r="BG889" s="15">
        <v>36.3</v>
      </c>
      <c r="BH889" s="5">
        <v>70</v>
      </c>
      <c r="BI889" s="5" t="s">
        <v>76</v>
      </c>
      <c r="BJ889" s="5">
        <v>30</v>
      </c>
      <c r="BK889" s="5">
        <v>145</v>
      </c>
      <c r="BL889" s="5">
        <v>75</v>
      </c>
      <c r="BM889" s="5">
        <v>0</v>
      </c>
      <c r="BN889" s="5">
        <v>0</v>
      </c>
      <c r="BO889" s="5" t="e">
        <f t="shared" si="13"/>
        <v>#DIV/0!</v>
      </c>
      <c r="BP889" s="5" t="s">
        <v>168</v>
      </c>
      <c r="BQ889" s="5" t="s">
        <v>76</v>
      </c>
      <c r="BR889" s="5">
        <v>4637</v>
      </c>
    </row>
    <row r="890" s="1" customFormat="1" spans="1:70">
      <c r="A890" s="1">
        <v>3326560</v>
      </c>
      <c r="B890" s="1" t="s">
        <v>2151</v>
      </c>
      <c r="D890" s="4">
        <v>45027</v>
      </c>
      <c r="E890" s="4">
        <v>45037</v>
      </c>
      <c r="F890" s="7">
        <v>20717</v>
      </c>
      <c r="G890" s="1">
        <v>41</v>
      </c>
      <c r="H890" s="1">
        <v>9</v>
      </c>
      <c r="I890" s="1">
        <v>50</v>
      </c>
      <c r="J890" s="1">
        <v>9</v>
      </c>
      <c r="K890" s="1">
        <v>40</v>
      </c>
      <c r="L890" s="1">
        <v>20</v>
      </c>
      <c r="M890" s="1">
        <v>0.57</v>
      </c>
      <c r="N890" s="1">
        <v>9.4</v>
      </c>
      <c r="O890" s="7">
        <v>20717</v>
      </c>
      <c r="P890" s="4">
        <v>45027</v>
      </c>
      <c r="Q890" s="4">
        <v>45037</v>
      </c>
      <c r="R890" s="1" t="s">
        <v>80</v>
      </c>
      <c r="AO890" s="7">
        <v>20717</v>
      </c>
      <c r="AP890" s="5">
        <v>6.4</v>
      </c>
      <c r="AQ890" s="5">
        <v>136</v>
      </c>
      <c r="AR890" s="5">
        <v>41.8</v>
      </c>
      <c r="AS890" s="5">
        <v>4</v>
      </c>
      <c r="AT890" s="5">
        <v>31</v>
      </c>
      <c r="AU890" s="5" t="s">
        <v>76</v>
      </c>
      <c r="AV890" s="5" t="s">
        <v>76</v>
      </c>
      <c r="AW890" s="5" t="s">
        <v>76</v>
      </c>
      <c r="AX890" s="5" t="s">
        <v>76</v>
      </c>
      <c r="AY890" s="5" t="s">
        <v>76</v>
      </c>
      <c r="AZ890" s="5" t="s">
        <v>76</v>
      </c>
      <c r="BA890" s="5" t="s">
        <v>76</v>
      </c>
      <c r="BB890" s="12" t="s">
        <v>76</v>
      </c>
      <c r="BC890" s="5">
        <v>4.53</v>
      </c>
      <c r="BD890" s="5">
        <v>136</v>
      </c>
      <c r="BE890" s="5" t="s">
        <v>76</v>
      </c>
      <c r="BF890" s="5" t="s">
        <v>76</v>
      </c>
      <c r="BG890" s="15">
        <v>36.5</v>
      </c>
      <c r="BH890" s="5">
        <v>68</v>
      </c>
      <c r="BI890" s="5">
        <v>74</v>
      </c>
      <c r="BJ890" s="5">
        <v>16</v>
      </c>
      <c r="BK890" s="5">
        <v>110</v>
      </c>
      <c r="BL890" s="5">
        <v>73</v>
      </c>
      <c r="BM890" s="5">
        <v>69</v>
      </c>
      <c r="BN890" s="5">
        <v>170</v>
      </c>
      <c r="BO890" s="5">
        <f t="shared" si="13"/>
        <v>23.8754325259516</v>
      </c>
      <c r="BP890" s="5" t="s">
        <v>107</v>
      </c>
      <c r="BQ890" s="5" t="s">
        <v>76</v>
      </c>
      <c r="BR890" s="5">
        <v>1810.26</v>
      </c>
    </row>
    <row r="891" s="1" customFormat="1" spans="1:70">
      <c r="A891" s="1">
        <v>3279614</v>
      </c>
      <c r="B891" s="1" t="s">
        <v>2152</v>
      </c>
      <c r="D891" s="4">
        <v>44967</v>
      </c>
      <c r="E891" s="4">
        <v>44985</v>
      </c>
      <c r="F891" s="7">
        <v>20717</v>
      </c>
      <c r="G891" s="1">
        <v>34</v>
      </c>
      <c r="H891" s="1">
        <v>10</v>
      </c>
      <c r="I891" s="1">
        <v>48</v>
      </c>
      <c r="J891" s="1">
        <v>9</v>
      </c>
      <c r="K891" s="1">
        <v>60</v>
      </c>
      <c r="L891" s="1">
        <v>31</v>
      </c>
      <c r="M891" s="1">
        <v>0.87</v>
      </c>
      <c r="N891" s="1">
        <v>9.6</v>
      </c>
      <c r="O891" s="7">
        <v>20717</v>
      </c>
      <c r="P891" s="4">
        <v>44967</v>
      </c>
      <c r="Q891" s="4">
        <v>44985</v>
      </c>
      <c r="R891" s="1" t="s">
        <v>80</v>
      </c>
      <c r="AO891" s="7">
        <v>20717</v>
      </c>
      <c r="AP891" s="5" t="s">
        <v>897</v>
      </c>
      <c r="AQ891" s="5">
        <v>95</v>
      </c>
      <c r="AR891" s="5">
        <v>40.1</v>
      </c>
      <c r="AS891" s="5">
        <v>94.3</v>
      </c>
      <c r="AT891" s="5">
        <v>93</v>
      </c>
      <c r="AU891" s="5">
        <v>65</v>
      </c>
      <c r="AV891" s="5">
        <v>47.6</v>
      </c>
      <c r="AW891" s="5">
        <v>8.54</v>
      </c>
      <c r="AX891" s="5">
        <v>69</v>
      </c>
      <c r="AY891" s="5" t="s">
        <v>125</v>
      </c>
      <c r="AZ891" s="5" t="s">
        <v>75</v>
      </c>
      <c r="BA891" s="5">
        <v>4.22</v>
      </c>
      <c r="BB891" s="12" t="s">
        <v>76</v>
      </c>
      <c r="BC891" s="5">
        <v>4.72</v>
      </c>
      <c r="BD891" s="5">
        <v>95</v>
      </c>
      <c r="BE891" s="5">
        <v>1.25</v>
      </c>
      <c r="BF891" s="5">
        <v>2.53</v>
      </c>
      <c r="BG891" s="15">
        <v>36</v>
      </c>
      <c r="BH891" s="5">
        <v>80</v>
      </c>
      <c r="BI891" s="5" t="s">
        <v>76</v>
      </c>
      <c r="BJ891" s="5">
        <v>20</v>
      </c>
      <c r="BK891" s="5">
        <v>155</v>
      </c>
      <c r="BL891" s="5">
        <v>105</v>
      </c>
      <c r="BM891" s="5">
        <v>61</v>
      </c>
      <c r="BN891" s="5">
        <v>163</v>
      </c>
      <c r="BO891" s="5">
        <f t="shared" si="13"/>
        <v>22.9590876585494</v>
      </c>
      <c r="BP891" s="5" t="s">
        <v>1450</v>
      </c>
      <c r="BQ891" s="5" t="s">
        <v>76</v>
      </c>
      <c r="BR891" s="5">
        <v>928</v>
      </c>
    </row>
    <row r="892" s="1" customFormat="1" spans="1:70">
      <c r="A892" s="1">
        <v>3337111</v>
      </c>
      <c r="B892" s="1" t="s">
        <v>2153</v>
      </c>
      <c r="D892" s="4">
        <v>45041</v>
      </c>
      <c r="E892" s="4">
        <v>45046</v>
      </c>
      <c r="F892" s="7">
        <v>20741</v>
      </c>
      <c r="G892" s="1">
        <v>40</v>
      </c>
      <c r="H892" s="1">
        <v>10</v>
      </c>
      <c r="I892" s="1">
        <v>53</v>
      </c>
      <c r="J892" s="1">
        <v>10</v>
      </c>
      <c r="K892" s="1">
        <v>53</v>
      </c>
      <c r="L892" s="1">
        <v>27</v>
      </c>
      <c r="M892" s="1">
        <v>0.82</v>
      </c>
      <c r="N892" s="1">
        <v>5.9</v>
      </c>
      <c r="O892" s="7">
        <v>20741</v>
      </c>
      <c r="P892" s="4">
        <v>45041</v>
      </c>
      <c r="Q892" s="4">
        <v>45046</v>
      </c>
      <c r="R892" s="1" t="s">
        <v>80</v>
      </c>
      <c r="AO892" s="7">
        <v>20741</v>
      </c>
      <c r="AP892" s="5">
        <v>6.5</v>
      </c>
      <c r="AQ892" s="5">
        <v>128</v>
      </c>
      <c r="AR892" s="5">
        <v>38.8</v>
      </c>
      <c r="AS892" s="5">
        <v>58.8</v>
      </c>
      <c r="AT892" s="5">
        <v>13</v>
      </c>
      <c r="AU892" s="5">
        <v>14</v>
      </c>
      <c r="AV892" s="5">
        <v>40.3</v>
      </c>
      <c r="AW892" s="5">
        <v>2.21</v>
      </c>
      <c r="AX892" s="5">
        <v>62</v>
      </c>
      <c r="AY892" s="5">
        <v>119.67</v>
      </c>
      <c r="AZ892" s="5" t="s">
        <v>75</v>
      </c>
      <c r="BA892" s="5" t="s">
        <v>76</v>
      </c>
      <c r="BB892" s="12" t="s">
        <v>76</v>
      </c>
      <c r="BC892" s="5">
        <v>3.67</v>
      </c>
      <c r="BD892" s="5">
        <v>128</v>
      </c>
      <c r="BE892" s="5" t="s">
        <v>76</v>
      </c>
      <c r="BF892" s="5" t="s">
        <v>76</v>
      </c>
      <c r="BG892" s="15">
        <v>36.2</v>
      </c>
      <c r="BH892" s="5">
        <v>79</v>
      </c>
      <c r="BI892" s="5">
        <v>79</v>
      </c>
      <c r="BJ892" s="5">
        <v>18</v>
      </c>
      <c r="BK892" s="5">
        <v>137</v>
      </c>
      <c r="BL892" s="5">
        <v>79</v>
      </c>
      <c r="BM892" s="5">
        <v>65</v>
      </c>
      <c r="BN892" s="5">
        <v>168</v>
      </c>
      <c r="BO892" s="5">
        <f t="shared" si="13"/>
        <v>23.0300453514739</v>
      </c>
      <c r="BP892" s="5" t="s">
        <v>109</v>
      </c>
      <c r="BQ892" s="5" t="s">
        <v>76</v>
      </c>
      <c r="BR892" s="5">
        <v>985</v>
      </c>
    </row>
    <row r="893" s="1" customFormat="1" spans="1:70">
      <c r="A893" s="1" t="s">
        <v>2154</v>
      </c>
      <c r="B893" s="1" t="s">
        <v>2155</v>
      </c>
      <c r="D893" s="4">
        <v>44945</v>
      </c>
      <c r="E893" s="4">
        <v>44955</v>
      </c>
      <c r="F893" s="7">
        <v>20747</v>
      </c>
      <c r="G893" s="1">
        <v>41</v>
      </c>
      <c r="H893" s="1">
        <v>9</v>
      </c>
      <c r="I893" s="1">
        <v>49</v>
      </c>
      <c r="J893" s="1">
        <v>9</v>
      </c>
      <c r="K893" s="1">
        <v>66</v>
      </c>
      <c r="L893" s="1">
        <v>36</v>
      </c>
      <c r="M893" s="1">
        <v>0.65</v>
      </c>
      <c r="N893" s="1">
        <v>13.1</v>
      </c>
      <c r="O893" s="7">
        <v>20747</v>
      </c>
      <c r="P893" s="4">
        <v>44945</v>
      </c>
      <c r="Q893" s="4">
        <v>44955</v>
      </c>
      <c r="R893" s="1" t="s">
        <v>73</v>
      </c>
      <c r="AO893" s="7">
        <v>20747</v>
      </c>
      <c r="AP893" s="5" t="s">
        <v>2156</v>
      </c>
      <c r="AQ893" s="5" t="s">
        <v>139</v>
      </c>
      <c r="AR893" s="5" t="s">
        <v>2157</v>
      </c>
      <c r="AS893" s="5" t="s">
        <v>2158</v>
      </c>
      <c r="AT893" s="5" t="s">
        <v>1000</v>
      </c>
      <c r="AU893" s="5" t="s">
        <v>171</v>
      </c>
      <c r="AV893" s="5" t="s">
        <v>808</v>
      </c>
      <c r="AW893" s="5" t="s">
        <v>2159</v>
      </c>
      <c r="AX893" s="5" t="s">
        <v>985</v>
      </c>
      <c r="AY893" s="5" t="s">
        <v>2160</v>
      </c>
      <c r="AZ893" s="5" t="s">
        <v>75</v>
      </c>
      <c r="BA893" s="5" t="s">
        <v>76</v>
      </c>
      <c r="BB893" s="12" t="s">
        <v>76</v>
      </c>
      <c r="BC893" s="5" t="s">
        <v>2161</v>
      </c>
      <c r="BD893" s="5" t="s">
        <v>139</v>
      </c>
      <c r="BE893" s="5" t="s">
        <v>76</v>
      </c>
      <c r="BF893" s="5" t="s">
        <v>76</v>
      </c>
      <c r="BG893" s="15">
        <v>36.3</v>
      </c>
      <c r="BH893" s="5" t="s">
        <v>419</v>
      </c>
      <c r="BI893" s="5" t="s">
        <v>76</v>
      </c>
      <c r="BJ893" s="5" t="s">
        <v>293</v>
      </c>
      <c r="BK893" s="5" t="s">
        <v>1090</v>
      </c>
      <c r="BL893" s="5" t="s">
        <v>336</v>
      </c>
      <c r="BM893" s="5" t="s">
        <v>422</v>
      </c>
      <c r="BN893" s="5">
        <v>158</v>
      </c>
      <c r="BO893" s="5">
        <f t="shared" si="13"/>
        <v>18.0259573786252</v>
      </c>
      <c r="BP893" s="5" t="s">
        <v>412</v>
      </c>
      <c r="BQ893" s="5" t="s">
        <v>76</v>
      </c>
      <c r="BR893" s="5">
        <v>5240</v>
      </c>
    </row>
    <row r="894" s="1" customFormat="1" spans="1:70">
      <c r="A894" s="1">
        <v>3256760</v>
      </c>
      <c r="B894" s="1" t="s">
        <v>2162</v>
      </c>
      <c r="D894" s="4">
        <v>44922</v>
      </c>
      <c r="E894" s="4">
        <v>44925</v>
      </c>
      <c r="F894" s="7">
        <v>20755</v>
      </c>
      <c r="G894" s="1">
        <v>45</v>
      </c>
      <c r="H894" s="1">
        <v>9</v>
      </c>
      <c r="I894" s="1">
        <v>55</v>
      </c>
      <c r="J894" s="1">
        <v>9</v>
      </c>
      <c r="K894" s="1">
        <v>64</v>
      </c>
      <c r="L894" s="1">
        <v>35</v>
      </c>
      <c r="M894" s="1">
        <v>0.7</v>
      </c>
      <c r="N894" s="1">
        <v>13.1</v>
      </c>
      <c r="O894" s="7">
        <v>20755</v>
      </c>
      <c r="P894" s="4">
        <v>44922</v>
      </c>
      <c r="Q894" s="4">
        <v>44925</v>
      </c>
      <c r="R894" s="1" t="s">
        <v>73</v>
      </c>
      <c r="S894" s="1">
        <v>66</v>
      </c>
      <c r="T894" s="1" t="s">
        <v>2163</v>
      </c>
      <c r="V894" s="1">
        <v>1</v>
      </c>
      <c r="Z894" s="1">
        <v>1</v>
      </c>
      <c r="AG894" s="1">
        <v>1</v>
      </c>
      <c r="AH894" s="1">
        <v>1</v>
      </c>
      <c r="AO894" s="7">
        <v>20755</v>
      </c>
      <c r="AP894" s="5">
        <v>4</v>
      </c>
      <c r="AQ894" s="5">
        <v>116</v>
      </c>
      <c r="AR894" s="5">
        <v>37.3</v>
      </c>
      <c r="AS894" s="5" t="s">
        <v>76</v>
      </c>
      <c r="AT894" s="5">
        <v>14</v>
      </c>
      <c r="AU894" s="5">
        <v>8</v>
      </c>
      <c r="AV894" s="5">
        <v>39.8</v>
      </c>
      <c r="AW894" s="5">
        <v>3.08</v>
      </c>
      <c r="AX894" s="5">
        <v>47</v>
      </c>
      <c r="AY894" s="5" t="s">
        <v>125</v>
      </c>
      <c r="AZ894" s="5" t="s">
        <v>75</v>
      </c>
      <c r="BA894" s="5">
        <v>3.83</v>
      </c>
      <c r="BB894" s="12" t="s">
        <v>76</v>
      </c>
      <c r="BC894" s="5">
        <v>3.43</v>
      </c>
      <c r="BD894" s="5">
        <v>116</v>
      </c>
      <c r="BE894" s="5">
        <v>0.95</v>
      </c>
      <c r="BF894" s="5">
        <v>2.3</v>
      </c>
      <c r="BG894" s="15">
        <v>36.6</v>
      </c>
      <c r="BH894" s="5">
        <v>60</v>
      </c>
      <c r="BI894" s="5">
        <v>60</v>
      </c>
      <c r="BJ894" s="5">
        <v>17</v>
      </c>
      <c r="BK894" s="5">
        <v>140</v>
      </c>
      <c r="BL894" s="5">
        <v>100</v>
      </c>
      <c r="BM894" s="5">
        <v>75</v>
      </c>
      <c r="BN894" s="5">
        <v>160</v>
      </c>
      <c r="BO894" s="5">
        <f t="shared" si="13"/>
        <v>29.296875</v>
      </c>
      <c r="BP894" s="5" t="s">
        <v>121</v>
      </c>
      <c r="BQ894" s="5">
        <v>5.2</v>
      </c>
      <c r="BR894" s="5">
        <v>1758</v>
      </c>
    </row>
    <row r="895" s="1" customFormat="1" spans="1:70">
      <c r="A895" s="1">
        <v>3256111</v>
      </c>
      <c r="B895" s="1" t="s">
        <v>2164</v>
      </c>
      <c r="D895" s="4">
        <v>44921</v>
      </c>
      <c r="E895" s="4">
        <v>44925</v>
      </c>
      <c r="F895" s="7">
        <v>20775</v>
      </c>
      <c r="G895" s="1">
        <v>50</v>
      </c>
      <c r="H895" s="1">
        <v>11</v>
      </c>
      <c r="I895" s="1">
        <v>78</v>
      </c>
      <c r="J895" s="1">
        <v>11</v>
      </c>
      <c r="K895" s="1">
        <v>31</v>
      </c>
      <c r="L895" s="1">
        <v>16</v>
      </c>
      <c r="M895" s="1">
        <v>0.68</v>
      </c>
      <c r="N895" s="1">
        <v>15.2</v>
      </c>
      <c r="O895" s="7">
        <v>20775</v>
      </c>
      <c r="P895" s="4">
        <v>44921</v>
      </c>
      <c r="Q895" s="4">
        <v>44925</v>
      </c>
      <c r="R895" s="1" t="s">
        <v>80</v>
      </c>
      <c r="AO895" s="7">
        <v>20775</v>
      </c>
      <c r="AP895" s="5">
        <v>5.1</v>
      </c>
      <c r="AQ895" s="5">
        <v>128</v>
      </c>
      <c r="AR895" s="5">
        <v>42.7</v>
      </c>
      <c r="AS895" s="5">
        <v>12.8</v>
      </c>
      <c r="AT895" s="5">
        <v>28</v>
      </c>
      <c r="AU895" s="5">
        <v>32</v>
      </c>
      <c r="AV895" s="5">
        <v>30.9</v>
      </c>
      <c r="AW895" s="5">
        <v>11.83</v>
      </c>
      <c r="AX895" s="5">
        <v>136</v>
      </c>
      <c r="AY895" s="5">
        <v>48.34</v>
      </c>
      <c r="AZ895" s="5">
        <v>5.32</v>
      </c>
      <c r="BA895" s="5">
        <v>4.67</v>
      </c>
      <c r="BB895" s="12" t="s">
        <v>76</v>
      </c>
      <c r="BC895" s="5">
        <v>3.79</v>
      </c>
      <c r="BD895" s="5">
        <v>128</v>
      </c>
      <c r="BE895" s="5">
        <v>0.88</v>
      </c>
      <c r="BF895" s="5">
        <v>2.72</v>
      </c>
      <c r="BG895" s="15">
        <v>36.4</v>
      </c>
      <c r="BH895" s="5">
        <v>66</v>
      </c>
      <c r="BI895" s="5">
        <v>66</v>
      </c>
      <c r="BJ895" s="5">
        <v>16</v>
      </c>
      <c r="BK895" s="5">
        <v>131</v>
      </c>
      <c r="BL895" s="5">
        <v>75</v>
      </c>
      <c r="BM895" s="5">
        <v>63</v>
      </c>
      <c r="BN895" s="5">
        <v>156</v>
      </c>
      <c r="BO895" s="5">
        <f t="shared" si="13"/>
        <v>25.887573964497</v>
      </c>
      <c r="BP895" s="5" t="s">
        <v>107</v>
      </c>
      <c r="BQ895" s="5">
        <v>6.2</v>
      </c>
      <c r="BR895" s="5">
        <v>7446</v>
      </c>
    </row>
    <row r="896" s="1" customFormat="1" spans="1:70">
      <c r="A896" s="1">
        <v>3239469</v>
      </c>
      <c r="B896" s="1" t="s">
        <v>2165</v>
      </c>
      <c r="D896" s="4">
        <v>44882</v>
      </c>
      <c r="E896" s="4">
        <v>44904</v>
      </c>
      <c r="F896" s="7">
        <v>20780</v>
      </c>
      <c r="G896" s="1">
        <v>42</v>
      </c>
      <c r="H896" s="1">
        <v>9</v>
      </c>
      <c r="I896" s="1">
        <v>51</v>
      </c>
      <c r="J896" s="1">
        <v>9</v>
      </c>
      <c r="K896" s="1">
        <v>57</v>
      </c>
      <c r="L896" s="1">
        <v>30</v>
      </c>
      <c r="M896" s="1">
        <v>0.81</v>
      </c>
      <c r="N896" s="1">
        <v>16.2</v>
      </c>
      <c r="O896" s="7">
        <v>20780</v>
      </c>
      <c r="P896" s="4">
        <v>44882</v>
      </c>
      <c r="Q896" s="4">
        <v>44904</v>
      </c>
      <c r="R896" s="1" t="s">
        <v>80</v>
      </c>
      <c r="S896" s="1">
        <v>66</v>
      </c>
      <c r="T896" s="1">
        <v>18796236190</v>
      </c>
      <c r="Z896" s="1">
        <v>1</v>
      </c>
      <c r="AJ896" s="1">
        <v>1</v>
      </c>
      <c r="AM896" s="1">
        <v>1</v>
      </c>
      <c r="AO896" s="7">
        <v>20780</v>
      </c>
      <c r="AP896" s="5">
        <v>9.9</v>
      </c>
      <c r="AQ896" s="5">
        <v>98</v>
      </c>
      <c r="AR896" s="5">
        <v>43</v>
      </c>
      <c r="AS896" s="5" t="s">
        <v>81</v>
      </c>
      <c r="AT896" s="5">
        <v>92</v>
      </c>
      <c r="AU896" s="5">
        <v>99</v>
      </c>
      <c r="AV896" s="5">
        <v>45.5</v>
      </c>
      <c r="AW896" s="5">
        <v>9.98</v>
      </c>
      <c r="AX896" s="5">
        <v>89</v>
      </c>
      <c r="AY896" s="5">
        <v>99.11</v>
      </c>
      <c r="AZ896" s="5" t="s">
        <v>75</v>
      </c>
      <c r="BA896" s="5">
        <v>2.87</v>
      </c>
      <c r="BB896" s="12" t="s">
        <v>76</v>
      </c>
      <c r="BC896" s="5">
        <v>5.11</v>
      </c>
      <c r="BD896" s="5">
        <v>98</v>
      </c>
      <c r="BE896" s="5">
        <v>0.97</v>
      </c>
      <c r="BF896" s="5">
        <v>1.54</v>
      </c>
      <c r="BG896" s="15">
        <v>36</v>
      </c>
      <c r="BH896" s="5">
        <v>72</v>
      </c>
      <c r="BI896" s="5">
        <v>72</v>
      </c>
      <c r="BJ896" s="5">
        <v>18</v>
      </c>
      <c r="BK896" s="5">
        <v>120</v>
      </c>
      <c r="BL896" s="5">
        <v>70</v>
      </c>
      <c r="BM896" s="5">
        <v>71</v>
      </c>
      <c r="BN896" s="5">
        <v>170</v>
      </c>
      <c r="BO896" s="5">
        <f t="shared" si="13"/>
        <v>24.5674740484429</v>
      </c>
      <c r="BP896" s="5" t="s">
        <v>1450</v>
      </c>
      <c r="BQ896" s="5">
        <v>5.6</v>
      </c>
      <c r="BR896" s="5">
        <v>4612</v>
      </c>
    </row>
    <row r="897" s="1" customFormat="1" spans="1:70">
      <c r="A897" s="1">
        <v>3292467</v>
      </c>
      <c r="B897" s="1" t="s">
        <v>2166</v>
      </c>
      <c r="D897" s="4">
        <v>44980</v>
      </c>
      <c r="E897" s="4">
        <v>44985</v>
      </c>
      <c r="F897" s="7">
        <v>20794</v>
      </c>
      <c r="G897" s="1">
        <v>31</v>
      </c>
      <c r="H897" s="1">
        <v>9</v>
      </c>
      <c r="I897" s="1">
        <v>45</v>
      </c>
      <c r="J897" s="1">
        <v>9</v>
      </c>
      <c r="K897" s="1">
        <v>60</v>
      </c>
      <c r="L897" s="1">
        <v>32</v>
      </c>
      <c r="M897" s="1">
        <v>0.51</v>
      </c>
      <c r="N897" s="1">
        <v>7.3</v>
      </c>
      <c r="O897" s="7">
        <v>20794</v>
      </c>
      <c r="P897" s="4">
        <v>44980</v>
      </c>
      <c r="Q897" s="4">
        <v>44985</v>
      </c>
      <c r="R897" s="1" t="s">
        <v>73</v>
      </c>
      <c r="AO897" s="7">
        <v>20794</v>
      </c>
      <c r="AP897" s="5">
        <v>8.8</v>
      </c>
      <c r="AQ897" s="5">
        <v>63</v>
      </c>
      <c r="AR897" s="5">
        <v>20</v>
      </c>
      <c r="AS897" s="5" t="s">
        <v>76</v>
      </c>
      <c r="AT897" s="5">
        <v>24</v>
      </c>
      <c r="AU897" s="5">
        <v>17</v>
      </c>
      <c r="AV897" s="5">
        <v>39.7</v>
      </c>
      <c r="AW897" s="5">
        <v>35.26</v>
      </c>
      <c r="AX897" s="5">
        <v>644</v>
      </c>
      <c r="AY897" s="5" t="s">
        <v>76</v>
      </c>
      <c r="AZ897" s="5">
        <v>6.04</v>
      </c>
      <c r="BA897" s="5">
        <v>4.14</v>
      </c>
      <c r="BB897" s="12" t="s">
        <v>76</v>
      </c>
      <c r="BC897" s="5">
        <v>3.82</v>
      </c>
      <c r="BD897" s="5">
        <v>63</v>
      </c>
      <c r="BE897" s="5" t="s">
        <v>76</v>
      </c>
      <c r="BF897" s="5" t="s">
        <v>76</v>
      </c>
      <c r="BG897" s="15">
        <v>36.1</v>
      </c>
      <c r="BH897" s="5">
        <v>84</v>
      </c>
      <c r="BI897" s="5" t="s">
        <v>76</v>
      </c>
      <c r="BJ897" s="5">
        <v>16</v>
      </c>
      <c r="BK897" s="5">
        <v>99</v>
      </c>
      <c r="BL897" s="5">
        <v>71</v>
      </c>
      <c r="BM897" s="5">
        <v>50</v>
      </c>
      <c r="BN897" s="5">
        <v>160</v>
      </c>
      <c r="BO897" s="5">
        <f t="shared" si="13"/>
        <v>19.53125</v>
      </c>
      <c r="BP897" s="5" t="s">
        <v>415</v>
      </c>
      <c r="BQ897" s="5" t="s">
        <v>76</v>
      </c>
      <c r="BR897" s="5">
        <v>1077</v>
      </c>
    </row>
    <row r="898" s="1" customFormat="1" spans="1:70">
      <c r="A898" s="1">
        <v>3314195</v>
      </c>
      <c r="B898" s="1" t="s">
        <v>2167</v>
      </c>
      <c r="D898" s="4">
        <v>45009</v>
      </c>
      <c r="E898" s="4">
        <v>45014</v>
      </c>
      <c r="F898" s="7">
        <v>20801</v>
      </c>
      <c r="G898" s="1">
        <v>28</v>
      </c>
      <c r="H898" s="1">
        <v>9</v>
      </c>
      <c r="I898" s="1">
        <v>42</v>
      </c>
      <c r="J898" s="1">
        <v>9</v>
      </c>
      <c r="K898" s="1">
        <v>64</v>
      </c>
      <c r="L898" s="1">
        <v>35</v>
      </c>
      <c r="M898" s="9">
        <v>0.8</v>
      </c>
      <c r="N898" s="1">
        <v>13.5</v>
      </c>
      <c r="O898" s="7">
        <v>20801</v>
      </c>
      <c r="P898" s="4">
        <v>45009</v>
      </c>
      <c r="Q898" s="4">
        <v>45014</v>
      </c>
      <c r="R898" s="1" t="s">
        <v>73</v>
      </c>
      <c r="AO898" s="7">
        <v>20801</v>
      </c>
      <c r="AP898" s="5">
        <v>9.6</v>
      </c>
      <c r="AQ898" s="5">
        <v>84</v>
      </c>
      <c r="AR898" s="5">
        <v>30</v>
      </c>
      <c r="AS898" s="5">
        <v>76.1</v>
      </c>
      <c r="AT898" s="5">
        <v>32</v>
      </c>
      <c r="AU898" s="5">
        <v>23</v>
      </c>
      <c r="AV898" s="5">
        <v>29.3</v>
      </c>
      <c r="AW898" s="5">
        <v>16.43</v>
      </c>
      <c r="AX898" s="5">
        <v>344</v>
      </c>
      <c r="AY898" s="5">
        <v>22.46</v>
      </c>
      <c r="AZ898" s="5" t="s">
        <v>75</v>
      </c>
      <c r="BA898" s="5">
        <v>4.22</v>
      </c>
      <c r="BB898" s="12" t="s">
        <v>76</v>
      </c>
      <c r="BC898" s="5">
        <v>3.28</v>
      </c>
      <c r="BD898" s="5">
        <v>84</v>
      </c>
      <c r="BE898" s="5" t="s">
        <v>76</v>
      </c>
      <c r="BF898" s="5" t="s">
        <v>76</v>
      </c>
      <c r="BG898" s="15">
        <v>37.2</v>
      </c>
      <c r="BH898" s="5">
        <v>90</v>
      </c>
      <c r="BI898" s="5" t="s">
        <v>76</v>
      </c>
      <c r="BJ898" s="5">
        <v>16</v>
      </c>
      <c r="BK898" s="5">
        <v>155</v>
      </c>
      <c r="BL898" s="5">
        <v>92</v>
      </c>
      <c r="BM898" s="5">
        <v>50</v>
      </c>
      <c r="BN898" s="5">
        <v>157</v>
      </c>
      <c r="BO898" s="5">
        <f t="shared" si="13"/>
        <v>20.2847985719502</v>
      </c>
      <c r="BP898" s="5" t="s">
        <v>300</v>
      </c>
      <c r="BQ898" s="5">
        <v>5.3</v>
      </c>
      <c r="BR898" s="5">
        <v>7680</v>
      </c>
    </row>
    <row r="899" s="1" customFormat="1" spans="1:70">
      <c r="A899" s="1">
        <v>3275431</v>
      </c>
      <c r="B899" s="1" t="s">
        <v>2168</v>
      </c>
      <c r="D899" s="4">
        <v>44957</v>
      </c>
      <c r="E899" s="4">
        <v>44963</v>
      </c>
      <c r="F899" s="7">
        <v>20819</v>
      </c>
      <c r="G899" s="1">
        <v>40</v>
      </c>
      <c r="H899" s="1">
        <v>10</v>
      </c>
      <c r="I899" s="1">
        <v>56</v>
      </c>
      <c r="J899" s="1">
        <v>10</v>
      </c>
      <c r="K899" s="1">
        <v>58</v>
      </c>
      <c r="L899" s="1">
        <v>31</v>
      </c>
      <c r="M899" s="1">
        <v>0.56</v>
      </c>
      <c r="N899" s="1">
        <v>12.4</v>
      </c>
      <c r="O899" s="7">
        <v>20819</v>
      </c>
      <c r="P899" s="4">
        <v>44957</v>
      </c>
      <c r="Q899" s="4">
        <v>44963</v>
      </c>
      <c r="R899" s="1" t="s">
        <v>80</v>
      </c>
      <c r="AO899" s="7">
        <v>20819</v>
      </c>
      <c r="AP899" s="5">
        <v>7</v>
      </c>
      <c r="AQ899" s="5">
        <v>152</v>
      </c>
      <c r="AR899" s="5">
        <v>44.7</v>
      </c>
      <c r="AS899" s="5">
        <v>9</v>
      </c>
      <c r="AT899" s="5">
        <v>69</v>
      </c>
      <c r="AU899" s="5">
        <v>49</v>
      </c>
      <c r="AV899" s="5">
        <v>36.3</v>
      </c>
      <c r="AW899" s="5">
        <v>5.44</v>
      </c>
      <c r="AX899" s="5">
        <v>66</v>
      </c>
      <c r="AY899" s="5" t="s">
        <v>125</v>
      </c>
      <c r="AZ899" s="5" t="s">
        <v>75</v>
      </c>
      <c r="BA899" s="5">
        <v>4.09</v>
      </c>
      <c r="BB899" s="12" t="s">
        <v>76</v>
      </c>
      <c r="BC899" s="5">
        <v>4.34</v>
      </c>
      <c r="BD899" s="5">
        <v>152</v>
      </c>
      <c r="BE899" s="5">
        <v>1.37</v>
      </c>
      <c r="BF899" s="5">
        <v>2.25</v>
      </c>
      <c r="BG899" s="15">
        <v>36.5</v>
      </c>
      <c r="BH899" s="5">
        <v>61</v>
      </c>
      <c r="BI899" s="5">
        <v>61</v>
      </c>
      <c r="BJ899" s="5">
        <v>20</v>
      </c>
      <c r="BK899" s="5">
        <v>129</v>
      </c>
      <c r="BL899" s="5">
        <v>81</v>
      </c>
      <c r="BM899" s="5">
        <v>74</v>
      </c>
      <c r="BN899" s="5">
        <v>160</v>
      </c>
      <c r="BO899" s="5">
        <f t="shared" ref="BO899:BO962" si="14">BM899/(BN899/100)^2</f>
        <v>28.90625</v>
      </c>
      <c r="BP899" s="5" t="s">
        <v>323</v>
      </c>
      <c r="BQ899" s="5">
        <v>5.7</v>
      </c>
      <c r="BR899" s="5">
        <v>953</v>
      </c>
    </row>
    <row r="900" s="1" customFormat="1" spans="1:70">
      <c r="A900" s="1">
        <v>3242426</v>
      </c>
      <c r="B900" s="1" t="s">
        <v>2169</v>
      </c>
      <c r="D900" s="4">
        <v>44887</v>
      </c>
      <c r="E900" s="4">
        <v>44894</v>
      </c>
      <c r="F900" s="7">
        <v>20826</v>
      </c>
      <c r="G900" s="1">
        <v>39</v>
      </c>
      <c r="H900" s="1">
        <v>10</v>
      </c>
      <c r="I900" s="1">
        <v>53</v>
      </c>
      <c r="J900" s="1">
        <v>9</v>
      </c>
      <c r="K900" s="1">
        <v>50</v>
      </c>
      <c r="L900" s="1">
        <v>26</v>
      </c>
      <c r="M900" s="1">
        <v>1.21</v>
      </c>
      <c r="N900" s="1">
        <v>12.4</v>
      </c>
      <c r="O900" s="7">
        <v>20826</v>
      </c>
      <c r="P900" s="4">
        <v>44887</v>
      </c>
      <c r="Q900" s="4">
        <v>44894</v>
      </c>
      <c r="R900" s="1" t="s">
        <v>73</v>
      </c>
      <c r="S900" s="1">
        <v>65</v>
      </c>
      <c r="T900" s="1" t="s">
        <v>2170</v>
      </c>
      <c r="Z900" s="1">
        <v>1</v>
      </c>
      <c r="AA900" s="1">
        <v>1</v>
      </c>
      <c r="AG900" s="1">
        <v>1</v>
      </c>
      <c r="AH900" s="1">
        <v>1</v>
      </c>
      <c r="AI900" s="1">
        <v>1</v>
      </c>
      <c r="AK900" s="1">
        <v>1</v>
      </c>
      <c r="AO900" s="7">
        <v>20826</v>
      </c>
      <c r="AP900" s="5">
        <v>5</v>
      </c>
      <c r="AQ900" s="5">
        <v>122</v>
      </c>
      <c r="AR900" s="5">
        <v>36.9</v>
      </c>
      <c r="AS900" s="5" t="s">
        <v>76</v>
      </c>
      <c r="AT900" s="5">
        <v>21</v>
      </c>
      <c r="AU900" s="5">
        <v>11</v>
      </c>
      <c r="AV900" s="5">
        <v>44.4</v>
      </c>
      <c r="AW900" s="5">
        <v>6.45</v>
      </c>
      <c r="AX900" s="5">
        <v>62</v>
      </c>
      <c r="AY900" s="5">
        <v>89.07</v>
      </c>
      <c r="AZ900" s="5" t="s">
        <v>75</v>
      </c>
      <c r="BA900" s="5">
        <v>3.74</v>
      </c>
      <c r="BB900" s="12" t="s">
        <v>76</v>
      </c>
      <c r="BC900" s="5">
        <v>4.45</v>
      </c>
      <c r="BD900" s="5">
        <v>122</v>
      </c>
      <c r="BE900" s="5">
        <v>1.22</v>
      </c>
      <c r="BF900" s="5">
        <v>1.8</v>
      </c>
      <c r="BG900" s="15">
        <v>36.5</v>
      </c>
      <c r="BH900" s="5">
        <v>76</v>
      </c>
      <c r="BI900" s="5">
        <v>76</v>
      </c>
      <c r="BJ900" s="5">
        <v>17</v>
      </c>
      <c r="BK900" s="5">
        <v>124</v>
      </c>
      <c r="BL900" s="5">
        <v>75</v>
      </c>
      <c r="BM900" s="5">
        <v>54</v>
      </c>
      <c r="BN900" s="5">
        <v>160</v>
      </c>
      <c r="BO900" s="5">
        <f t="shared" si="14"/>
        <v>21.09375</v>
      </c>
      <c r="BP900" s="5" t="s">
        <v>121</v>
      </c>
      <c r="BQ900" s="5" t="s">
        <v>76</v>
      </c>
      <c r="BR900" s="5">
        <v>1918</v>
      </c>
    </row>
    <row r="901" s="1" customFormat="1" spans="1:70">
      <c r="A901" s="1">
        <v>3282015</v>
      </c>
      <c r="B901" s="1" t="s">
        <v>2171</v>
      </c>
      <c r="D901" s="4">
        <v>44965</v>
      </c>
      <c r="E901" s="4">
        <v>44970</v>
      </c>
      <c r="F901" s="7">
        <v>20848</v>
      </c>
      <c r="G901" s="1">
        <v>34</v>
      </c>
      <c r="H901" s="1">
        <v>9</v>
      </c>
      <c r="I901" s="1">
        <v>46</v>
      </c>
      <c r="J901" s="1">
        <v>9</v>
      </c>
      <c r="K901" s="1">
        <v>58</v>
      </c>
      <c r="L901" s="1">
        <v>31</v>
      </c>
      <c r="M901" s="1">
        <v>0.86</v>
      </c>
      <c r="N901" s="1">
        <v>11.6</v>
      </c>
      <c r="O901" s="7">
        <v>20848</v>
      </c>
      <c r="P901" s="4">
        <v>44965</v>
      </c>
      <c r="Q901" s="4">
        <v>44970</v>
      </c>
      <c r="R901" s="1" t="s">
        <v>80</v>
      </c>
      <c r="AO901" s="7">
        <v>20848</v>
      </c>
      <c r="AP901" s="5">
        <v>5.8</v>
      </c>
      <c r="AQ901" s="5">
        <v>125</v>
      </c>
      <c r="AR901" s="5">
        <v>39.2</v>
      </c>
      <c r="AS901" s="5" t="s">
        <v>76</v>
      </c>
      <c r="AT901" s="5">
        <v>72</v>
      </c>
      <c r="AU901" s="5">
        <v>20</v>
      </c>
      <c r="AV901" s="5">
        <v>38.5</v>
      </c>
      <c r="AW901" s="5">
        <v>4.82</v>
      </c>
      <c r="AX901" s="5">
        <v>47</v>
      </c>
      <c r="AY901" s="5" t="s">
        <v>125</v>
      </c>
      <c r="AZ901" s="5" t="s">
        <v>75</v>
      </c>
      <c r="BA901" s="5">
        <v>2.96</v>
      </c>
      <c r="BB901" s="12" t="s">
        <v>76</v>
      </c>
      <c r="BC901" s="5">
        <v>3.93</v>
      </c>
      <c r="BD901" s="5">
        <v>125</v>
      </c>
      <c r="BE901" s="5">
        <v>1.03</v>
      </c>
      <c r="BF901" s="5">
        <v>1.53</v>
      </c>
      <c r="BG901" s="15">
        <v>36.6</v>
      </c>
      <c r="BH901" s="5">
        <v>98</v>
      </c>
      <c r="BI901" s="5">
        <v>98</v>
      </c>
      <c r="BJ901" s="5">
        <v>17</v>
      </c>
      <c r="BK901" s="5">
        <v>104</v>
      </c>
      <c r="BL901" s="5">
        <v>66</v>
      </c>
      <c r="BM901" s="5">
        <v>52</v>
      </c>
      <c r="BN901" s="5">
        <v>160</v>
      </c>
      <c r="BO901" s="5">
        <f t="shared" si="14"/>
        <v>20.3125</v>
      </c>
      <c r="BP901" s="5" t="s">
        <v>121</v>
      </c>
      <c r="BQ901" s="5" t="s">
        <v>76</v>
      </c>
      <c r="BR901" s="5">
        <v>1179</v>
      </c>
    </row>
    <row r="902" s="1" customFormat="1" spans="1:70">
      <c r="A902" s="1">
        <v>3230733</v>
      </c>
      <c r="B902" s="1" t="s">
        <v>2172</v>
      </c>
      <c r="D902" s="4">
        <v>44867</v>
      </c>
      <c r="E902" s="4">
        <v>44896</v>
      </c>
      <c r="F902" s="7">
        <v>20856</v>
      </c>
      <c r="G902" s="1">
        <v>35</v>
      </c>
      <c r="H902" s="1">
        <v>8</v>
      </c>
      <c r="I902" s="1">
        <v>11</v>
      </c>
      <c r="J902" s="1">
        <v>8</v>
      </c>
      <c r="K902" s="8">
        <v>0</v>
      </c>
      <c r="L902" s="1">
        <v>33</v>
      </c>
      <c r="M902" s="1">
        <v>0.84</v>
      </c>
      <c r="N902" s="1">
        <v>18.7</v>
      </c>
      <c r="O902" s="7">
        <v>20856</v>
      </c>
      <c r="P902" s="4">
        <v>44867</v>
      </c>
      <c r="Q902" s="4">
        <v>44896</v>
      </c>
      <c r="R902" s="1" t="s">
        <v>73</v>
      </c>
      <c r="AO902" s="7">
        <v>20856</v>
      </c>
      <c r="AP902" s="5">
        <v>95</v>
      </c>
      <c r="AQ902" s="5">
        <v>99</v>
      </c>
      <c r="AR902" s="5">
        <v>41.1</v>
      </c>
      <c r="AS902" s="5" t="s">
        <v>81</v>
      </c>
      <c r="AT902" s="5">
        <v>96</v>
      </c>
      <c r="AU902" s="5" t="s">
        <v>1696</v>
      </c>
      <c r="AV902" s="5">
        <v>42.7</v>
      </c>
      <c r="AW902" s="5">
        <v>9.92</v>
      </c>
      <c r="AX902" s="5">
        <v>69</v>
      </c>
      <c r="AY902" s="5" t="s">
        <v>125</v>
      </c>
      <c r="AZ902" s="5" t="s">
        <v>75</v>
      </c>
      <c r="BA902" s="5">
        <v>2.41</v>
      </c>
      <c r="BB902" s="12" t="s">
        <v>76</v>
      </c>
      <c r="BC902" s="5">
        <v>4.35</v>
      </c>
      <c r="BD902" s="5">
        <v>99</v>
      </c>
      <c r="BE902" s="5">
        <v>0.83</v>
      </c>
      <c r="BF902" s="5">
        <v>1.33</v>
      </c>
      <c r="BG902" s="15">
        <v>36.4</v>
      </c>
      <c r="BH902" s="5">
        <v>92</v>
      </c>
      <c r="BI902" s="5" t="s">
        <v>76</v>
      </c>
      <c r="BJ902" s="5">
        <v>14</v>
      </c>
      <c r="BK902" s="5">
        <v>132</v>
      </c>
      <c r="BL902" s="5">
        <v>73</v>
      </c>
      <c r="BM902" s="5">
        <v>48</v>
      </c>
      <c r="BN902" s="5">
        <v>156</v>
      </c>
      <c r="BO902" s="5">
        <f t="shared" si="14"/>
        <v>19.723865877712</v>
      </c>
      <c r="BP902" s="5" t="s">
        <v>1450</v>
      </c>
      <c r="BQ902" s="5">
        <v>5.6</v>
      </c>
      <c r="BR902" s="5">
        <v>8900</v>
      </c>
    </row>
    <row r="903" s="1" customFormat="1" spans="1:70">
      <c r="A903" s="1">
        <v>3280917</v>
      </c>
      <c r="B903" s="1" t="s">
        <v>2173</v>
      </c>
      <c r="D903" s="4">
        <v>44964</v>
      </c>
      <c r="E903" s="4">
        <v>44970</v>
      </c>
      <c r="F903" s="7">
        <v>20859</v>
      </c>
      <c r="G903" s="1">
        <v>32</v>
      </c>
      <c r="H903" s="1">
        <v>10</v>
      </c>
      <c r="I903" s="1">
        <v>47</v>
      </c>
      <c r="J903" s="1">
        <v>10</v>
      </c>
      <c r="K903" s="1">
        <v>60</v>
      </c>
      <c r="L903" s="1">
        <v>31</v>
      </c>
      <c r="M903" s="1">
        <v>0.62</v>
      </c>
      <c r="N903" s="1">
        <v>11.8</v>
      </c>
      <c r="O903" s="7">
        <v>20859</v>
      </c>
      <c r="P903" s="4">
        <v>44964</v>
      </c>
      <c r="Q903" s="4">
        <v>44970</v>
      </c>
      <c r="R903" s="1" t="s">
        <v>80</v>
      </c>
      <c r="AO903" s="7">
        <v>20859</v>
      </c>
      <c r="AP903" s="5">
        <v>6.9</v>
      </c>
      <c r="AQ903" s="5">
        <v>126</v>
      </c>
      <c r="AR903" s="5">
        <v>39.4</v>
      </c>
      <c r="AS903" s="5">
        <v>31.1</v>
      </c>
      <c r="AT903" s="5">
        <v>15</v>
      </c>
      <c r="AU903" s="5">
        <v>6</v>
      </c>
      <c r="AV903" s="5">
        <v>41.4</v>
      </c>
      <c r="AW903" s="5">
        <v>14.11</v>
      </c>
      <c r="AX903" s="5">
        <v>316</v>
      </c>
      <c r="AY903" s="5">
        <v>18.27</v>
      </c>
      <c r="AZ903" s="5">
        <v>6.4</v>
      </c>
      <c r="BA903" s="5">
        <v>3.14</v>
      </c>
      <c r="BB903" s="12" t="s">
        <v>76</v>
      </c>
      <c r="BC903" s="5">
        <v>3.89</v>
      </c>
      <c r="BD903" s="5">
        <v>126</v>
      </c>
      <c r="BE903" s="5">
        <v>1.11</v>
      </c>
      <c r="BF903" s="5">
        <v>1.45</v>
      </c>
      <c r="BG903" s="15">
        <v>36.3</v>
      </c>
      <c r="BH903" s="5">
        <v>75</v>
      </c>
      <c r="BI903" s="5" t="s">
        <v>76</v>
      </c>
      <c r="BJ903" s="5">
        <v>16</v>
      </c>
      <c r="BK903" s="5">
        <v>130</v>
      </c>
      <c r="BL903" s="5">
        <v>75</v>
      </c>
      <c r="BM903" s="5">
        <v>47.5</v>
      </c>
      <c r="BN903" s="5">
        <v>160</v>
      </c>
      <c r="BO903" s="5">
        <f t="shared" si="14"/>
        <v>18.5546875</v>
      </c>
      <c r="BP903" s="5" t="s">
        <v>300</v>
      </c>
      <c r="BQ903" s="5">
        <v>7.1</v>
      </c>
      <c r="BR903" s="5">
        <v>1321</v>
      </c>
    </row>
    <row r="904" s="1" customFormat="1" spans="1:70">
      <c r="A904" s="1" t="s">
        <v>2174</v>
      </c>
      <c r="B904" s="1" t="s">
        <v>2175</v>
      </c>
      <c r="D904" s="4">
        <v>44954</v>
      </c>
      <c r="E904" s="4">
        <v>44964</v>
      </c>
      <c r="F904" s="7">
        <v>20866</v>
      </c>
      <c r="G904" s="1">
        <v>53</v>
      </c>
      <c r="H904" s="1">
        <v>10</v>
      </c>
      <c r="I904" s="1">
        <v>66</v>
      </c>
      <c r="J904" s="1">
        <v>10</v>
      </c>
      <c r="K904" s="1">
        <v>41</v>
      </c>
      <c r="L904" s="1">
        <v>20</v>
      </c>
      <c r="N904" s="1">
        <v>0.2</v>
      </c>
      <c r="O904" s="7">
        <v>20866</v>
      </c>
      <c r="P904" s="4">
        <v>44954</v>
      </c>
      <c r="Q904" s="4">
        <v>44964</v>
      </c>
      <c r="R904" s="1" t="s">
        <v>80</v>
      </c>
      <c r="AO904" s="7">
        <v>20866</v>
      </c>
      <c r="AP904" s="5" t="s">
        <v>283</v>
      </c>
      <c r="AQ904" s="5" t="s">
        <v>103</v>
      </c>
      <c r="AR904" s="5" t="s">
        <v>741</v>
      </c>
      <c r="AS904" s="5" t="s">
        <v>76</v>
      </c>
      <c r="AT904" s="5" t="s">
        <v>606</v>
      </c>
      <c r="AU904" s="5" t="s">
        <v>240</v>
      </c>
      <c r="AV904" s="5" t="s">
        <v>2082</v>
      </c>
      <c r="AW904" s="5" t="s">
        <v>2176</v>
      </c>
      <c r="AX904" s="5" t="s">
        <v>482</v>
      </c>
      <c r="AY904" s="5" t="s">
        <v>2177</v>
      </c>
      <c r="AZ904" s="5" t="s">
        <v>75</v>
      </c>
      <c r="BA904" s="5" t="s">
        <v>76</v>
      </c>
      <c r="BB904" s="12" t="s">
        <v>76</v>
      </c>
      <c r="BC904" s="5" t="s">
        <v>2178</v>
      </c>
      <c r="BD904" s="5" t="s">
        <v>103</v>
      </c>
      <c r="BE904" s="5" t="s">
        <v>76</v>
      </c>
      <c r="BF904" s="5" t="s">
        <v>76</v>
      </c>
      <c r="BG904" s="15">
        <v>36.4</v>
      </c>
      <c r="BH904" s="5" t="s">
        <v>347</v>
      </c>
      <c r="BI904" s="5" t="s">
        <v>232</v>
      </c>
      <c r="BJ904" s="5" t="s">
        <v>293</v>
      </c>
      <c r="BK904" s="5" t="s">
        <v>1113</v>
      </c>
      <c r="BL904" s="5" t="s">
        <v>347</v>
      </c>
      <c r="BM904" s="5" t="s">
        <v>140</v>
      </c>
      <c r="BN904" s="5">
        <v>170</v>
      </c>
      <c r="BO904" s="5">
        <f t="shared" si="14"/>
        <v>27.681660899654</v>
      </c>
      <c r="BP904" s="5" t="s">
        <v>296</v>
      </c>
      <c r="BQ904" s="5" t="s">
        <v>76</v>
      </c>
      <c r="BR904" s="5">
        <v>2213</v>
      </c>
    </row>
    <row r="905" s="1" customFormat="1" spans="1:70">
      <c r="A905" s="1">
        <v>3266110</v>
      </c>
      <c r="B905" s="1" t="s">
        <v>2179</v>
      </c>
      <c r="D905" s="4">
        <v>44938</v>
      </c>
      <c r="E905" s="4">
        <v>44944</v>
      </c>
      <c r="F905" s="7">
        <v>20869</v>
      </c>
      <c r="G905" s="1">
        <v>52</v>
      </c>
      <c r="H905" s="1">
        <v>10</v>
      </c>
      <c r="I905" s="1">
        <v>72</v>
      </c>
      <c r="J905" s="1">
        <v>9</v>
      </c>
      <c r="K905" s="1">
        <v>38</v>
      </c>
      <c r="L905" s="1">
        <v>19</v>
      </c>
      <c r="M905" s="1">
        <v>2.29</v>
      </c>
      <c r="N905" s="1">
        <v>24.6</v>
      </c>
      <c r="O905" s="7">
        <v>20869</v>
      </c>
      <c r="P905" s="4">
        <v>44938</v>
      </c>
      <c r="Q905" s="4">
        <v>44944</v>
      </c>
      <c r="R905" s="1" t="s">
        <v>80</v>
      </c>
      <c r="AO905" s="7">
        <v>20869</v>
      </c>
      <c r="AP905" s="5">
        <v>9</v>
      </c>
      <c r="AQ905" s="5">
        <v>145</v>
      </c>
      <c r="AR905" s="5">
        <v>43.6</v>
      </c>
      <c r="AS905" s="5">
        <v>0.7</v>
      </c>
      <c r="AT905" s="5">
        <v>25</v>
      </c>
      <c r="AU905" s="5">
        <v>27</v>
      </c>
      <c r="AV905" s="5">
        <v>36.8</v>
      </c>
      <c r="AW905" s="5">
        <v>7.12</v>
      </c>
      <c r="AX905" s="5">
        <v>119</v>
      </c>
      <c r="AY905" s="5">
        <v>56.57</v>
      </c>
      <c r="AZ905" s="5" t="s">
        <v>75</v>
      </c>
      <c r="BA905" s="5">
        <v>5.05</v>
      </c>
      <c r="BB905" s="12" t="s">
        <v>76</v>
      </c>
      <c r="BC905" s="5">
        <v>3.44</v>
      </c>
      <c r="BD905" s="5">
        <v>145</v>
      </c>
      <c r="BE905" s="5">
        <v>0.8</v>
      </c>
      <c r="BF905" s="5">
        <v>3.51</v>
      </c>
      <c r="BG905" s="15">
        <v>36.4</v>
      </c>
      <c r="BH905" s="5">
        <v>70</v>
      </c>
      <c r="BI905" s="5">
        <v>70</v>
      </c>
      <c r="BJ905" s="5">
        <v>16</v>
      </c>
      <c r="BK905" s="5">
        <v>130</v>
      </c>
      <c r="BL905" s="5">
        <v>70</v>
      </c>
      <c r="BM905" s="5">
        <v>92</v>
      </c>
      <c r="BN905" s="5">
        <v>182</v>
      </c>
      <c r="BO905" s="5">
        <f t="shared" si="14"/>
        <v>27.774423378819</v>
      </c>
      <c r="BP905" s="5" t="s">
        <v>121</v>
      </c>
      <c r="BQ905" s="5" t="s">
        <v>76</v>
      </c>
      <c r="BR905" s="5">
        <v>2031</v>
      </c>
    </row>
    <row r="906" s="1" customFormat="1" spans="1:70">
      <c r="A906" s="1">
        <v>3250265</v>
      </c>
      <c r="B906" s="1" t="s">
        <v>2180</v>
      </c>
      <c r="D906" s="4">
        <v>44901</v>
      </c>
      <c r="E906" s="4">
        <v>44910</v>
      </c>
      <c r="F906" s="7">
        <v>20873</v>
      </c>
      <c r="G906" s="1">
        <v>75</v>
      </c>
      <c r="H906" s="1">
        <v>10</v>
      </c>
      <c r="I906" s="1">
        <v>51</v>
      </c>
      <c r="J906" s="1">
        <v>10</v>
      </c>
      <c r="K906" s="1">
        <v>57</v>
      </c>
      <c r="L906" s="1">
        <v>30</v>
      </c>
      <c r="O906" s="7">
        <v>20873</v>
      </c>
      <c r="P906" s="4">
        <v>44901</v>
      </c>
      <c r="Q906" s="4">
        <v>44910</v>
      </c>
      <c r="R906" s="1" t="s">
        <v>80</v>
      </c>
      <c r="AO906" s="7">
        <v>20873</v>
      </c>
      <c r="AP906" s="5">
        <v>5.1</v>
      </c>
      <c r="AQ906" s="5">
        <v>146</v>
      </c>
      <c r="AR906" s="5">
        <v>46.8</v>
      </c>
      <c r="AS906" s="5" t="s">
        <v>76</v>
      </c>
      <c r="AT906" s="5">
        <v>23</v>
      </c>
      <c r="AU906" s="5">
        <v>19</v>
      </c>
      <c r="AV906" s="5">
        <v>40</v>
      </c>
      <c r="AW906" s="5">
        <v>7.57</v>
      </c>
      <c r="AX906" s="5">
        <v>75</v>
      </c>
      <c r="AY906" s="5" t="s">
        <v>76</v>
      </c>
      <c r="AZ906" s="5" t="s">
        <v>75</v>
      </c>
      <c r="BA906" s="5" t="s">
        <v>76</v>
      </c>
      <c r="BB906" s="12" t="s">
        <v>76</v>
      </c>
      <c r="BC906" s="5">
        <v>4.17</v>
      </c>
      <c r="BD906" s="5">
        <v>146</v>
      </c>
      <c r="BE906" s="5" t="s">
        <v>76</v>
      </c>
      <c r="BF906" s="5" t="s">
        <v>76</v>
      </c>
      <c r="BG906" s="15">
        <v>36.6</v>
      </c>
      <c r="BH906" s="5">
        <v>80</v>
      </c>
      <c r="BI906" s="5" t="s">
        <v>76</v>
      </c>
      <c r="BJ906" s="5">
        <v>18</v>
      </c>
      <c r="BK906" s="5">
        <v>122</v>
      </c>
      <c r="BL906" s="5">
        <v>60</v>
      </c>
      <c r="BM906" s="5">
        <v>59</v>
      </c>
      <c r="BN906" s="5">
        <v>160</v>
      </c>
      <c r="BO906" s="5">
        <f t="shared" si="14"/>
        <v>23.046875</v>
      </c>
      <c r="BP906" s="5" t="s">
        <v>1450</v>
      </c>
      <c r="BQ906" s="5" t="s">
        <v>76</v>
      </c>
      <c r="BR906" s="5">
        <v>4090</v>
      </c>
    </row>
    <row r="907" s="1" customFormat="1" spans="1:70">
      <c r="A907" s="1">
        <v>3274001</v>
      </c>
      <c r="B907" s="1" t="s">
        <v>2180</v>
      </c>
      <c r="D907" s="4">
        <v>44956</v>
      </c>
      <c r="E907" s="4">
        <v>44968</v>
      </c>
      <c r="F907" s="7">
        <v>20873</v>
      </c>
      <c r="G907" s="1">
        <v>109</v>
      </c>
      <c r="H907" s="1">
        <v>9</v>
      </c>
      <c r="I907" s="1">
        <v>48</v>
      </c>
      <c r="J907" s="1">
        <v>9</v>
      </c>
      <c r="K907" s="1">
        <v>62</v>
      </c>
      <c r="L907" s="1">
        <v>34</v>
      </c>
      <c r="O907" s="7">
        <v>20873</v>
      </c>
      <c r="P907" s="4">
        <v>44956</v>
      </c>
      <c r="Q907" s="4">
        <v>44968</v>
      </c>
      <c r="R907" s="1" t="s">
        <v>80</v>
      </c>
      <c r="AO907" s="7">
        <v>20873</v>
      </c>
      <c r="AP907" s="5">
        <v>9.6</v>
      </c>
      <c r="AQ907" s="5">
        <v>121</v>
      </c>
      <c r="AR907" s="5">
        <v>36.5</v>
      </c>
      <c r="AS907" s="5">
        <v>80.2</v>
      </c>
      <c r="AT907" s="5">
        <v>42</v>
      </c>
      <c r="AU907" s="5">
        <v>32</v>
      </c>
      <c r="AV907" s="5">
        <v>40.8</v>
      </c>
      <c r="AW907" s="5">
        <v>9.46</v>
      </c>
      <c r="AX907" s="5">
        <v>96</v>
      </c>
      <c r="AY907" s="5" t="s">
        <v>125</v>
      </c>
      <c r="AZ907" s="5" t="s">
        <v>75</v>
      </c>
      <c r="BA907" s="5" t="s">
        <v>76</v>
      </c>
      <c r="BB907" s="12" t="s">
        <v>76</v>
      </c>
      <c r="BC907" s="5">
        <v>4.61</v>
      </c>
      <c r="BD907" s="5">
        <v>121</v>
      </c>
      <c r="BE907" s="5" t="s">
        <v>76</v>
      </c>
      <c r="BF907" s="5" t="s">
        <v>76</v>
      </c>
      <c r="BG907" s="15">
        <v>36</v>
      </c>
      <c r="BH907" s="5">
        <v>70</v>
      </c>
      <c r="BI907" s="5">
        <v>70</v>
      </c>
      <c r="BJ907" s="5">
        <v>17</v>
      </c>
      <c r="BK907" s="5">
        <v>124</v>
      </c>
      <c r="BL907" s="5">
        <v>60</v>
      </c>
      <c r="BM907" s="5">
        <v>53</v>
      </c>
      <c r="BN907" s="5">
        <v>155</v>
      </c>
      <c r="BO907" s="5">
        <f t="shared" si="14"/>
        <v>22.0603537981269</v>
      </c>
      <c r="BP907" s="5" t="s">
        <v>1450</v>
      </c>
      <c r="BQ907" s="5" t="s">
        <v>76</v>
      </c>
      <c r="BR907" s="5">
        <v>6453</v>
      </c>
    </row>
    <row r="908" s="1" customFormat="1" spans="1:70">
      <c r="A908" s="1">
        <v>3329502</v>
      </c>
      <c r="B908" s="1" t="s">
        <v>2181</v>
      </c>
      <c r="D908" s="4">
        <v>45031</v>
      </c>
      <c r="E908" s="4">
        <v>45037</v>
      </c>
      <c r="F908" s="7">
        <v>20879</v>
      </c>
      <c r="G908" s="1">
        <v>52</v>
      </c>
      <c r="H908" s="1">
        <v>11</v>
      </c>
      <c r="I908" s="1">
        <v>69</v>
      </c>
      <c r="J908" s="1">
        <v>11</v>
      </c>
      <c r="K908" s="1">
        <v>41</v>
      </c>
      <c r="L908" s="1">
        <v>21</v>
      </c>
      <c r="O908" s="7">
        <v>20879</v>
      </c>
      <c r="P908" s="4">
        <v>45031</v>
      </c>
      <c r="Q908" s="4">
        <v>45037</v>
      </c>
      <c r="R908" s="1" t="s">
        <v>80</v>
      </c>
      <c r="AO908" s="7">
        <v>20879</v>
      </c>
      <c r="AP908" s="5">
        <v>9.8</v>
      </c>
      <c r="AQ908" s="5">
        <v>185</v>
      </c>
      <c r="AR908" s="5">
        <v>56.8</v>
      </c>
      <c r="AS908" s="5">
        <v>50.3</v>
      </c>
      <c r="AT908" s="5">
        <v>89</v>
      </c>
      <c r="AU908" s="5">
        <v>9</v>
      </c>
      <c r="AV908" s="5">
        <v>35.5</v>
      </c>
      <c r="AW908" s="5">
        <v>24.5</v>
      </c>
      <c r="AX908" s="5">
        <v>239</v>
      </c>
      <c r="AY908" s="5" t="s">
        <v>76</v>
      </c>
      <c r="AZ908" s="5" t="s">
        <v>75</v>
      </c>
      <c r="BA908" s="5" t="s">
        <v>76</v>
      </c>
      <c r="BB908" s="12" t="s">
        <v>76</v>
      </c>
      <c r="BC908" s="5">
        <v>5.47</v>
      </c>
      <c r="BD908" s="5">
        <v>185</v>
      </c>
      <c r="BE908" s="5" t="s">
        <v>76</v>
      </c>
      <c r="BF908" s="5" t="s">
        <v>76</v>
      </c>
      <c r="BG908" s="15">
        <v>36.8</v>
      </c>
      <c r="BH908" s="5" t="s">
        <v>76</v>
      </c>
      <c r="BI908" s="5">
        <v>96</v>
      </c>
      <c r="BJ908" s="5">
        <v>30</v>
      </c>
      <c r="BK908" s="5">
        <v>111</v>
      </c>
      <c r="BL908" s="5">
        <v>86</v>
      </c>
      <c r="BM908" s="5">
        <v>80</v>
      </c>
      <c r="BN908" s="5">
        <v>170</v>
      </c>
      <c r="BO908" s="5">
        <f t="shared" si="14"/>
        <v>27.681660899654</v>
      </c>
      <c r="BP908" s="5" t="s">
        <v>394</v>
      </c>
      <c r="BQ908" s="5" t="s">
        <v>76</v>
      </c>
      <c r="BR908" s="5" t="s">
        <v>118</v>
      </c>
    </row>
    <row r="909" s="1" customFormat="1" spans="1:70">
      <c r="A909" s="1">
        <v>3253274</v>
      </c>
      <c r="B909" s="1" t="s">
        <v>2182</v>
      </c>
      <c r="D909" s="4">
        <v>44908</v>
      </c>
      <c r="E909" s="4">
        <v>44912</v>
      </c>
      <c r="F909" s="7">
        <v>20883</v>
      </c>
      <c r="G909" s="1">
        <v>50</v>
      </c>
      <c r="I909" s="1">
        <v>43</v>
      </c>
      <c r="K909" s="1">
        <v>57</v>
      </c>
      <c r="N909" s="1">
        <v>10.6</v>
      </c>
      <c r="O909" s="7">
        <v>20883</v>
      </c>
      <c r="P909" s="4">
        <v>44908</v>
      </c>
      <c r="Q909" s="4">
        <v>44912</v>
      </c>
      <c r="R909" s="1" t="s">
        <v>80</v>
      </c>
      <c r="AO909" s="7">
        <v>20883</v>
      </c>
      <c r="AP909" s="5">
        <v>7.2</v>
      </c>
      <c r="AQ909" s="5">
        <v>128</v>
      </c>
      <c r="AR909" s="5">
        <v>41.6</v>
      </c>
      <c r="AS909" s="5">
        <v>0.6</v>
      </c>
      <c r="AT909" s="5">
        <v>15</v>
      </c>
      <c r="AU909" s="5">
        <v>15</v>
      </c>
      <c r="AV909" s="5">
        <v>33.9</v>
      </c>
      <c r="AW909" s="5">
        <v>5.79</v>
      </c>
      <c r="AX909" s="5">
        <v>79</v>
      </c>
      <c r="AY909" s="5">
        <v>90.76</v>
      </c>
      <c r="AZ909" s="5" t="s">
        <v>75</v>
      </c>
      <c r="BA909" s="5">
        <v>2.37</v>
      </c>
      <c r="BB909" s="12" t="s">
        <v>76</v>
      </c>
      <c r="BC909" s="5">
        <v>4.31</v>
      </c>
      <c r="BD909" s="5">
        <v>128</v>
      </c>
      <c r="BE909" s="5">
        <v>0.96</v>
      </c>
      <c r="BF909" s="5">
        <v>1.28</v>
      </c>
      <c r="BG909" s="15">
        <v>36.3</v>
      </c>
      <c r="BH909" s="5">
        <v>63</v>
      </c>
      <c r="BI909" s="5" t="s">
        <v>76</v>
      </c>
      <c r="BJ909" s="5">
        <v>12</v>
      </c>
      <c r="BK909" s="5">
        <v>154</v>
      </c>
      <c r="BL909" s="5">
        <v>86</v>
      </c>
      <c r="BM909" s="5">
        <v>64</v>
      </c>
      <c r="BN909" s="5">
        <v>168</v>
      </c>
      <c r="BO909" s="5">
        <f t="shared" si="14"/>
        <v>22.6757369614512</v>
      </c>
      <c r="BP909" s="5" t="s">
        <v>438</v>
      </c>
      <c r="BQ909" s="5">
        <v>5.8</v>
      </c>
      <c r="BR909" s="5">
        <v>4687</v>
      </c>
    </row>
    <row r="910" s="1" customFormat="1" spans="1:70">
      <c r="A910" s="1">
        <v>3497271</v>
      </c>
      <c r="B910" s="1" t="s">
        <v>2183</v>
      </c>
      <c r="D910" s="4">
        <v>45264</v>
      </c>
      <c r="E910" s="4">
        <v>45275</v>
      </c>
      <c r="F910" s="7">
        <v>20895</v>
      </c>
      <c r="G910" s="1">
        <v>30</v>
      </c>
      <c r="H910" s="1">
        <v>8</v>
      </c>
      <c r="I910" s="1">
        <v>50</v>
      </c>
      <c r="J910" s="1">
        <v>8</v>
      </c>
      <c r="K910" s="1">
        <v>58</v>
      </c>
      <c r="L910" s="1">
        <v>31</v>
      </c>
      <c r="M910" s="1">
        <v>0.84</v>
      </c>
      <c r="N910" s="1">
        <v>7.1</v>
      </c>
      <c r="O910" s="7">
        <v>20895</v>
      </c>
      <c r="P910" s="4">
        <v>45264</v>
      </c>
      <c r="Q910" s="4">
        <v>45275</v>
      </c>
      <c r="R910" s="1" t="s">
        <v>80</v>
      </c>
      <c r="AO910" s="7">
        <v>20895</v>
      </c>
      <c r="AP910" s="5">
        <v>8.3</v>
      </c>
      <c r="AQ910" s="5">
        <v>133</v>
      </c>
      <c r="AR910" s="5">
        <v>40.5</v>
      </c>
      <c r="AS910" s="5">
        <v>141</v>
      </c>
      <c r="AT910" s="5">
        <v>43</v>
      </c>
      <c r="AU910" s="5">
        <v>66</v>
      </c>
      <c r="AV910" s="5">
        <v>35.5</v>
      </c>
      <c r="AW910" s="5">
        <v>5.7</v>
      </c>
      <c r="AX910" s="5">
        <v>36</v>
      </c>
      <c r="AY910" s="5" t="s">
        <v>125</v>
      </c>
      <c r="AZ910" s="5">
        <v>5.57</v>
      </c>
      <c r="BA910" s="5">
        <v>3.53</v>
      </c>
      <c r="BB910" s="12" t="s">
        <v>76</v>
      </c>
      <c r="BC910" s="5">
        <v>4.31</v>
      </c>
      <c r="BD910" s="5">
        <v>133</v>
      </c>
      <c r="BE910" s="5">
        <v>0.88</v>
      </c>
      <c r="BF910" s="5">
        <v>1.67</v>
      </c>
      <c r="BG910" s="15">
        <v>36.4</v>
      </c>
      <c r="BH910" s="5">
        <v>72</v>
      </c>
      <c r="BI910" s="5">
        <v>72</v>
      </c>
      <c r="BJ910" s="5">
        <v>16</v>
      </c>
      <c r="BK910" s="5">
        <v>138</v>
      </c>
      <c r="BL910" s="5">
        <v>80</v>
      </c>
      <c r="BM910" s="5">
        <v>55</v>
      </c>
      <c r="BN910" s="5">
        <v>173</v>
      </c>
      <c r="BO910" s="5">
        <f t="shared" si="14"/>
        <v>18.3768251528618</v>
      </c>
      <c r="BP910" s="5" t="s">
        <v>1450</v>
      </c>
      <c r="BQ910" s="5" t="s">
        <v>76</v>
      </c>
      <c r="BR910" s="5">
        <v>907</v>
      </c>
    </row>
    <row r="911" s="1" customFormat="1" spans="1:70">
      <c r="A911" s="1" t="s">
        <v>2184</v>
      </c>
      <c r="B911" s="1" t="s">
        <v>2185</v>
      </c>
      <c r="D911" s="4">
        <v>44901</v>
      </c>
      <c r="E911" s="4">
        <v>44911</v>
      </c>
      <c r="F911" s="7">
        <v>20903</v>
      </c>
      <c r="G911" s="1">
        <v>28</v>
      </c>
      <c r="H911" s="1">
        <v>9</v>
      </c>
      <c r="I911" s="1">
        <v>46</v>
      </c>
      <c r="J911" s="1">
        <v>9</v>
      </c>
      <c r="K911" s="1">
        <v>70</v>
      </c>
      <c r="L911" s="1">
        <v>40</v>
      </c>
      <c r="M911" s="1">
        <v>0.85</v>
      </c>
      <c r="N911" s="1">
        <v>11.6</v>
      </c>
      <c r="O911" s="7">
        <v>20903</v>
      </c>
      <c r="P911" s="4">
        <v>44901</v>
      </c>
      <c r="Q911" s="4">
        <v>44911</v>
      </c>
      <c r="R911" s="1" t="s">
        <v>73</v>
      </c>
      <c r="AO911" s="7">
        <v>20903</v>
      </c>
      <c r="AP911" s="5" t="s">
        <v>442</v>
      </c>
      <c r="AQ911" s="5" t="s">
        <v>318</v>
      </c>
      <c r="AR911" s="5" t="s">
        <v>1338</v>
      </c>
      <c r="AS911" s="5" t="s">
        <v>2186</v>
      </c>
      <c r="AT911" s="5" t="s">
        <v>613</v>
      </c>
      <c r="AU911" s="5" t="s">
        <v>599</v>
      </c>
      <c r="AV911" s="5" t="s">
        <v>2187</v>
      </c>
      <c r="AW911" s="5" t="s">
        <v>2188</v>
      </c>
      <c r="AX911" s="5" t="s">
        <v>755</v>
      </c>
      <c r="AY911" s="5" t="s">
        <v>2189</v>
      </c>
      <c r="AZ911" s="5" t="s">
        <v>507</v>
      </c>
      <c r="BA911" s="5" t="s">
        <v>76</v>
      </c>
      <c r="BB911" s="12" t="s">
        <v>76</v>
      </c>
      <c r="BC911" s="5" t="s">
        <v>2190</v>
      </c>
      <c r="BD911" s="5" t="s">
        <v>318</v>
      </c>
      <c r="BE911" s="5" t="s">
        <v>76</v>
      </c>
      <c r="BF911" s="5" t="s">
        <v>76</v>
      </c>
      <c r="BG911" s="15">
        <v>38</v>
      </c>
      <c r="BH911" s="5" t="s">
        <v>76</v>
      </c>
      <c r="BI911" s="5" t="s">
        <v>327</v>
      </c>
      <c r="BJ911" s="5" t="s">
        <v>475</v>
      </c>
      <c r="BK911" s="5" t="s">
        <v>1763</v>
      </c>
      <c r="BL911" s="5" t="s">
        <v>295</v>
      </c>
      <c r="BM911" s="5" t="s">
        <v>215</v>
      </c>
      <c r="BN911" s="5">
        <v>160</v>
      </c>
      <c r="BO911" s="5">
        <f t="shared" si="14"/>
        <v>23.4375</v>
      </c>
      <c r="BP911" s="5" t="s">
        <v>986</v>
      </c>
      <c r="BQ911" s="5" t="s">
        <v>982</v>
      </c>
      <c r="BR911" s="5">
        <v>2463</v>
      </c>
    </row>
    <row r="912" s="1" customFormat="1" spans="1:70">
      <c r="A912" s="1">
        <v>3255131</v>
      </c>
      <c r="B912" s="1" t="s">
        <v>2191</v>
      </c>
      <c r="D912" s="4">
        <v>44917</v>
      </c>
      <c r="E912" s="4">
        <v>44957</v>
      </c>
      <c r="F912" s="7">
        <v>20916</v>
      </c>
      <c r="G912" s="1">
        <v>32</v>
      </c>
      <c r="H912" s="1">
        <v>10</v>
      </c>
      <c r="I912" s="1">
        <v>44</v>
      </c>
      <c r="J912" s="1">
        <v>10</v>
      </c>
      <c r="K912" s="1">
        <v>58</v>
      </c>
      <c r="L912" s="1">
        <v>31</v>
      </c>
      <c r="M912" s="1">
        <v>0.69</v>
      </c>
      <c r="N912" s="1">
        <v>5</v>
      </c>
      <c r="O912" s="7">
        <v>20916</v>
      </c>
      <c r="P912" s="4">
        <v>44917</v>
      </c>
      <c r="Q912" s="4">
        <v>44957</v>
      </c>
      <c r="R912" s="1" t="s">
        <v>80</v>
      </c>
      <c r="AO912" s="7">
        <v>20916</v>
      </c>
      <c r="AP912" s="5">
        <v>9.9</v>
      </c>
      <c r="AQ912" s="5">
        <v>94</v>
      </c>
      <c r="AR912" s="5">
        <v>41.7</v>
      </c>
      <c r="AS912" s="5">
        <v>7.1</v>
      </c>
      <c r="AT912" s="5">
        <v>59</v>
      </c>
      <c r="AU912" s="5">
        <v>9</v>
      </c>
      <c r="AV912" s="5">
        <v>32.3</v>
      </c>
      <c r="AW912" s="5">
        <v>70.27</v>
      </c>
      <c r="AX912" s="5">
        <v>502</v>
      </c>
      <c r="AY912" s="5">
        <v>23.06</v>
      </c>
      <c r="AZ912" s="5">
        <v>9.2</v>
      </c>
      <c r="BA912" s="5">
        <v>4.53</v>
      </c>
      <c r="BB912" s="12" t="s">
        <v>76</v>
      </c>
      <c r="BC912" s="5">
        <v>6.48</v>
      </c>
      <c r="BD912" s="5">
        <v>94</v>
      </c>
      <c r="BE912" s="5" t="s">
        <v>76</v>
      </c>
      <c r="BF912" s="5" t="s">
        <v>76</v>
      </c>
      <c r="BG912" s="15">
        <v>36</v>
      </c>
      <c r="BH912" s="5" t="s">
        <v>76</v>
      </c>
      <c r="BI912" s="5">
        <v>90</v>
      </c>
      <c r="BJ912" s="5">
        <v>20</v>
      </c>
      <c r="BK912" s="5">
        <v>125</v>
      </c>
      <c r="BL912" s="5">
        <v>73</v>
      </c>
      <c r="BM912" s="5" t="s">
        <v>77</v>
      </c>
      <c r="BN912" s="5" t="s">
        <v>77</v>
      </c>
      <c r="BO912" s="5" t="e">
        <f t="shared" si="14"/>
        <v>#VALUE!</v>
      </c>
      <c r="BP912" s="5" t="s">
        <v>85</v>
      </c>
      <c r="BQ912" s="5">
        <v>7.8</v>
      </c>
      <c r="BR912" s="5">
        <v>8999</v>
      </c>
    </row>
    <row r="913" s="1" customFormat="1" spans="1:70">
      <c r="A913" s="1">
        <v>3248446</v>
      </c>
      <c r="B913" s="1" t="s">
        <v>2192</v>
      </c>
      <c r="D913" s="4">
        <v>44897</v>
      </c>
      <c r="E913" s="4">
        <v>44943</v>
      </c>
      <c r="F913" s="7">
        <v>20946</v>
      </c>
      <c r="G913" s="1">
        <v>34</v>
      </c>
      <c r="H913" s="1">
        <v>14</v>
      </c>
      <c r="I913" s="1">
        <v>45</v>
      </c>
      <c r="J913" s="1">
        <v>13</v>
      </c>
      <c r="K913" s="1">
        <v>74</v>
      </c>
      <c r="L913" s="1">
        <v>43</v>
      </c>
      <c r="M913" s="1">
        <v>0.67</v>
      </c>
      <c r="N913" s="1">
        <v>10.1</v>
      </c>
      <c r="O913" s="7">
        <v>20946</v>
      </c>
      <c r="P913" s="4">
        <v>44897</v>
      </c>
      <c r="Q913" s="4">
        <v>44943</v>
      </c>
      <c r="R913" s="1" t="s">
        <v>80</v>
      </c>
      <c r="S913" s="1">
        <v>65</v>
      </c>
      <c r="T913" s="1" t="s">
        <v>2193</v>
      </c>
      <c r="Z913" s="1">
        <v>1</v>
      </c>
      <c r="AG913" s="1">
        <v>1</v>
      </c>
      <c r="AI913" s="1">
        <v>1</v>
      </c>
      <c r="AM913" s="1">
        <v>1</v>
      </c>
      <c r="AO913" s="7">
        <v>20946</v>
      </c>
      <c r="AP913" s="5">
        <v>9.9</v>
      </c>
      <c r="AQ913" s="5">
        <v>99</v>
      </c>
      <c r="AR913" s="5">
        <v>50</v>
      </c>
      <c r="AS913" s="5">
        <v>99.7</v>
      </c>
      <c r="AT913" s="5">
        <v>951</v>
      </c>
      <c r="AU913" s="5">
        <v>98</v>
      </c>
      <c r="AV913" s="5">
        <v>43.2</v>
      </c>
      <c r="AW913" s="5">
        <v>9.4</v>
      </c>
      <c r="AX913" s="5">
        <v>90</v>
      </c>
      <c r="AY913" s="5" t="s">
        <v>125</v>
      </c>
      <c r="AZ913" s="5" t="s">
        <v>75</v>
      </c>
      <c r="BA913" s="5">
        <v>3.67</v>
      </c>
      <c r="BB913" s="12" t="s">
        <v>76</v>
      </c>
      <c r="BC913" s="5">
        <v>5.23</v>
      </c>
      <c r="BD913" s="5">
        <v>99</v>
      </c>
      <c r="BE913" s="5">
        <v>0.62</v>
      </c>
      <c r="BF913" s="5">
        <v>2.39</v>
      </c>
      <c r="BG913" s="15">
        <v>36.6</v>
      </c>
      <c r="BH913" s="5">
        <v>78</v>
      </c>
      <c r="BI913" s="5">
        <v>78</v>
      </c>
      <c r="BJ913" s="5">
        <v>20</v>
      </c>
      <c r="BK913" s="5">
        <v>120</v>
      </c>
      <c r="BL913" s="5">
        <v>70</v>
      </c>
      <c r="BM913" s="5">
        <v>60</v>
      </c>
      <c r="BN913" s="5">
        <v>162</v>
      </c>
      <c r="BO913" s="5">
        <f t="shared" si="14"/>
        <v>22.8623685413809</v>
      </c>
      <c r="BP913" s="5" t="s">
        <v>85</v>
      </c>
      <c r="BQ913" s="5">
        <v>5.2</v>
      </c>
      <c r="BR913" s="5">
        <v>973</v>
      </c>
    </row>
    <row r="914" s="1" customFormat="1" spans="1:70">
      <c r="A914" s="1" t="s">
        <v>2194</v>
      </c>
      <c r="B914" s="1" t="s">
        <v>2195</v>
      </c>
      <c r="D914" s="4">
        <v>44924</v>
      </c>
      <c r="E914" s="4">
        <v>44930</v>
      </c>
      <c r="F914" s="7">
        <v>20953</v>
      </c>
      <c r="G914" s="1">
        <v>36</v>
      </c>
      <c r="H914" s="1">
        <v>9</v>
      </c>
      <c r="I914" s="1">
        <v>50</v>
      </c>
      <c r="J914" s="1">
        <v>9</v>
      </c>
      <c r="K914" s="1">
        <v>43</v>
      </c>
      <c r="L914" s="1">
        <v>22</v>
      </c>
      <c r="M914" s="1">
        <v>0.74</v>
      </c>
      <c r="N914" s="1">
        <v>21.3</v>
      </c>
      <c r="O914" s="7">
        <v>20953</v>
      </c>
      <c r="P914" s="4">
        <v>44924</v>
      </c>
      <c r="Q914" s="4">
        <v>44930</v>
      </c>
      <c r="R914" s="1" t="s">
        <v>73</v>
      </c>
      <c r="AO914" s="7">
        <v>20953</v>
      </c>
      <c r="AP914" s="5" t="s">
        <v>472</v>
      </c>
      <c r="AQ914" s="5" t="s">
        <v>138</v>
      </c>
      <c r="AR914" s="5" t="s">
        <v>2196</v>
      </c>
      <c r="AS914" s="5" t="s">
        <v>2006</v>
      </c>
      <c r="AT914" s="5" t="s">
        <v>131</v>
      </c>
      <c r="AU914" s="5" t="s">
        <v>606</v>
      </c>
      <c r="AV914" s="5" t="s">
        <v>2197</v>
      </c>
      <c r="AW914" s="5" t="s">
        <v>2198</v>
      </c>
      <c r="AX914" s="5" t="s">
        <v>352</v>
      </c>
      <c r="AY914" s="5" t="s">
        <v>76</v>
      </c>
      <c r="AZ914" s="5" t="s">
        <v>76</v>
      </c>
      <c r="BA914" s="5" t="s">
        <v>76</v>
      </c>
      <c r="BB914" s="12" t="s">
        <v>76</v>
      </c>
      <c r="BC914" s="5" t="s">
        <v>2199</v>
      </c>
      <c r="BD914" s="5" t="s">
        <v>138</v>
      </c>
      <c r="BE914" s="5" t="s">
        <v>76</v>
      </c>
      <c r="BF914" s="5" t="s">
        <v>76</v>
      </c>
      <c r="BG914" s="15">
        <v>36.5</v>
      </c>
      <c r="BH914" s="5" t="s">
        <v>192</v>
      </c>
      <c r="BI914" s="5" t="s">
        <v>76</v>
      </c>
      <c r="BJ914" s="5" t="s">
        <v>101</v>
      </c>
      <c r="BK914" s="5" t="s">
        <v>138</v>
      </c>
      <c r="BL914" s="5" t="s">
        <v>419</v>
      </c>
      <c r="BM914" s="5" t="s">
        <v>295</v>
      </c>
      <c r="BN914" s="5">
        <v>160</v>
      </c>
      <c r="BO914" s="5">
        <f t="shared" si="14"/>
        <v>32.03125</v>
      </c>
      <c r="BP914" s="5" t="s">
        <v>799</v>
      </c>
      <c r="BQ914" s="5" t="s">
        <v>76</v>
      </c>
      <c r="BR914" s="5">
        <v>2195</v>
      </c>
    </row>
    <row r="915" s="1" customFormat="1" spans="1:70">
      <c r="A915" s="1">
        <v>3511033</v>
      </c>
      <c r="B915" s="1" t="s">
        <v>2200</v>
      </c>
      <c r="D915" s="4">
        <v>45281</v>
      </c>
      <c r="E915" s="4">
        <v>45289</v>
      </c>
      <c r="F915" s="7">
        <v>20954</v>
      </c>
      <c r="G915" s="1">
        <v>53</v>
      </c>
      <c r="H915" s="1">
        <v>10</v>
      </c>
      <c r="I915" s="1">
        <v>72</v>
      </c>
      <c r="J915" s="1">
        <v>10</v>
      </c>
      <c r="K915" s="1">
        <v>24</v>
      </c>
      <c r="L915" s="1">
        <v>12</v>
      </c>
      <c r="M915" s="1">
        <v>0.61</v>
      </c>
      <c r="N915" s="1">
        <v>11.6</v>
      </c>
      <c r="O915" s="7">
        <v>20954</v>
      </c>
      <c r="P915" s="4">
        <v>45281</v>
      </c>
      <c r="Q915" s="4">
        <v>45289</v>
      </c>
      <c r="R915" s="1" t="s">
        <v>73</v>
      </c>
      <c r="AO915" s="7">
        <v>20954</v>
      </c>
      <c r="AP915" s="5">
        <v>4.7</v>
      </c>
      <c r="AQ915" s="5">
        <v>92</v>
      </c>
      <c r="AR915" s="5">
        <v>28.4</v>
      </c>
      <c r="AS915" s="5">
        <v>39.9</v>
      </c>
      <c r="AT915" s="5">
        <v>25</v>
      </c>
      <c r="AU915" s="5">
        <v>31</v>
      </c>
      <c r="AV915" s="5">
        <v>30.3</v>
      </c>
      <c r="AW915" s="5">
        <v>4.69</v>
      </c>
      <c r="AX915" s="5">
        <v>48</v>
      </c>
      <c r="AY915" s="5">
        <v>119.31</v>
      </c>
      <c r="AZ915" s="5" t="s">
        <v>804</v>
      </c>
      <c r="BA915" s="5">
        <v>4.01</v>
      </c>
      <c r="BB915" s="12" t="s">
        <v>76</v>
      </c>
      <c r="BC915" s="5">
        <v>3.88</v>
      </c>
      <c r="BD915" s="5">
        <v>92</v>
      </c>
      <c r="BE915" s="5" t="s">
        <v>76</v>
      </c>
      <c r="BF915" s="5" t="s">
        <v>76</v>
      </c>
      <c r="BG915" s="15">
        <v>36.6</v>
      </c>
      <c r="BH915" s="5">
        <v>82</v>
      </c>
      <c r="BI915" s="5">
        <v>82</v>
      </c>
      <c r="BJ915" s="5">
        <v>24</v>
      </c>
      <c r="BK915" s="5">
        <v>119</v>
      </c>
      <c r="BL915" s="5">
        <v>59</v>
      </c>
      <c r="BM915" s="5">
        <v>75</v>
      </c>
      <c r="BN915" s="5">
        <v>165</v>
      </c>
      <c r="BO915" s="5">
        <f t="shared" si="14"/>
        <v>27.5482093663912</v>
      </c>
      <c r="BP915" s="5" t="s">
        <v>107</v>
      </c>
      <c r="BQ915" s="5">
        <v>11.4</v>
      </c>
      <c r="BR915" s="5">
        <v>5919.9</v>
      </c>
    </row>
    <row r="916" s="1" customFormat="1" spans="1:70">
      <c r="A916" s="1">
        <v>3327100</v>
      </c>
      <c r="B916" s="1" t="s">
        <v>2201</v>
      </c>
      <c r="D916" s="4">
        <v>45028</v>
      </c>
      <c r="E916" s="4">
        <v>45035</v>
      </c>
      <c r="F916" s="7">
        <v>20981</v>
      </c>
      <c r="G916" s="1">
        <v>31</v>
      </c>
      <c r="H916" s="1">
        <v>10</v>
      </c>
      <c r="I916" s="1">
        <v>50</v>
      </c>
      <c r="J916" s="1">
        <v>10</v>
      </c>
      <c r="K916" s="1">
        <v>44</v>
      </c>
      <c r="L916" s="1">
        <v>22</v>
      </c>
      <c r="M916" s="1">
        <v>0.28</v>
      </c>
      <c r="N916" s="1">
        <v>8.6</v>
      </c>
      <c r="O916" s="7">
        <v>20981</v>
      </c>
      <c r="P916" s="4">
        <v>45028</v>
      </c>
      <c r="Q916" s="4">
        <v>45035</v>
      </c>
      <c r="R916" s="1" t="s">
        <v>73</v>
      </c>
      <c r="AO916" s="7">
        <v>20981</v>
      </c>
      <c r="AP916" s="5">
        <v>9.4</v>
      </c>
      <c r="AQ916" s="5">
        <v>162</v>
      </c>
      <c r="AR916" s="5">
        <v>49.5</v>
      </c>
      <c r="AS916" s="5" t="s">
        <v>81</v>
      </c>
      <c r="AT916" s="5">
        <v>27</v>
      </c>
      <c r="AU916" s="5">
        <v>25</v>
      </c>
      <c r="AV916" s="5">
        <v>43</v>
      </c>
      <c r="AW916" s="5">
        <v>16.35</v>
      </c>
      <c r="AX916" s="5">
        <v>99</v>
      </c>
      <c r="AY916" s="5">
        <v>59.46</v>
      </c>
      <c r="AZ916" s="5" t="s">
        <v>375</v>
      </c>
      <c r="BA916" s="5">
        <v>3.47</v>
      </c>
      <c r="BB916" s="12" t="s">
        <v>76</v>
      </c>
      <c r="BC916" s="5">
        <v>3.97</v>
      </c>
      <c r="BD916" s="5">
        <v>162</v>
      </c>
      <c r="BE916" s="5">
        <v>1.12</v>
      </c>
      <c r="BF916" s="5">
        <v>1.47</v>
      </c>
      <c r="BG916" s="15">
        <v>36.1</v>
      </c>
      <c r="BH916" s="5">
        <v>79</v>
      </c>
      <c r="BI916" s="5">
        <v>79</v>
      </c>
      <c r="BJ916" s="5">
        <v>18</v>
      </c>
      <c r="BK916" s="5">
        <v>145</v>
      </c>
      <c r="BL916" s="5">
        <v>77</v>
      </c>
      <c r="BM916" s="5">
        <v>54</v>
      </c>
      <c r="BN916" s="5">
        <v>156</v>
      </c>
      <c r="BO916" s="5">
        <f t="shared" si="14"/>
        <v>22.189349112426</v>
      </c>
      <c r="BP916" s="5" t="s">
        <v>323</v>
      </c>
      <c r="BQ916" s="5">
        <v>10.8</v>
      </c>
      <c r="BR916" s="5">
        <v>4552</v>
      </c>
    </row>
    <row r="917" s="1" customFormat="1" spans="1:70">
      <c r="A917" s="1">
        <v>3290246</v>
      </c>
      <c r="B917" s="1" t="s">
        <v>2202</v>
      </c>
      <c r="D917" s="4">
        <v>44977</v>
      </c>
      <c r="E917" s="4">
        <v>44991</v>
      </c>
      <c r="F917" s="7">
        <v>20991</v>
      </c>
      <c r="G917" s="1">
        <v>35</v>
      </c>
      <c r="H917" s="1">
        <v>12</v>
      </c>
      <c r="I917" s="1">
        <v>51</v>
      </c>
      <c r="J917" s="1">
        <v>10</v>
      </c>
      <c r="K917" s="1">
        <v>58</v>
      </c>
      <c r="L917" s="1">
        <v>31</v>
      </c>
      <c r="M917" s="1">
        <v>0.64</v>
      </c>
      <c r="O917" s="7">
        <v>20991</v>
      </c>
      <c r="P917" s="4">
        <v>44977</v>
      </c>
      <c r="Q917" s="4">
        <v>44991</v>
      </c>
      <c r="R917" s="1" t="s">
        <v>80</v>
      </c>
      <c r="AO917" s="7">
        <v>20991</v>
      </c>
      <c r="AP917" s="5">
        <v>9.5</v>
      </c>
      <c r="AQ917" s="5">
        <v>154</v>
      </c>
      <c r="AR917" s="5">
        <v>51.1</v>
      </c>
      <c r="AS917" s="5" t="s">
        <v>1481</v>
      </c>
      <c r="AT917" s="5">
        <v>46</v>
      </c>
      <c r="AU917" s="5">
        <v>39</v>
      </c>
      <c r="AV917" s="5">
        <v>40.8</v>
      </c>
      <c r="AW917" s="5">
        <v>9.68</v>
      </c>
      <c r="AX917" s="5">
        <v>69</v>
      </c>
      <c r="AY917" s="5" t="s">
        <v>125</v>
      </c>
      <c r="AZ917" s="5" t="s">
        <v>75</v>
      </c>
      <c r="BA917" s="5" t="s">
        <v>76</v>
      </c>
      <c r="BB917" s="12" t="s">
        <v>76</v>
      </c>
      <c r="BC917" s="5">
        <v>4.15</v>
      </c>
      <c r="BD917" s="5">
        <v>154</v>
      </c>
      <c r="BE917" s="5" t="s">
        <v>76</v>
      </c>
      <c r="BF917" s="5" t="s">
        <v>76</v>
      </c>
      <c r="BG917" s="15">
        <v>37</v>
      </c>
      <c r="BH917" s="5" t="s">
        <v>76</v>
      </c>
      <c r="BI917" s="5">
        <v>80</v>
      </c>
      <c r="BJ917" s="5">
        <v>33</v>
      </c>
      <c r="BK917" s="5">
        <v>107</v>
      </c>
      <c r="BL917" s="5">
        <v>71</v>
      </c>
      <c r="BM917" s="5" t="s">
        <v>77</v>
      </c>
      <c r="BN917" s="5" t="s">
        <v>77</v>
      </c>
      <c r="BO917" s="5" t="e">
        <f t="shared" si="14"/>
        <v>#VALUE!</v>
      </c>
      <c r="BP917" s="5" t="s">
        <v>117</v>
      </c>
      <c r="BQ917" s="5">
        <v>5.9</v>
      </c>
      <c r="BR917" s="5">
        <v>926</v>
      </c>
    </row>
    <row r="918" s="1" customFormat="1" spans="1:70">
      <c r="A918" s="1">
        <v>3304760</v>
      </c>
      <c r="B918" s="1" t="s">
        <v>2203</v>
      </c>
      <c r="D918" s="4">
        <v>44998</v>
      </c>
      <c r="E918" s="4">
        <v>45016</v>
      </c>
      <c r="F918" s="7">
        <v>20991</v>
      </c>
      <c r="G918" s="1">
        <v>34</v>
      </c>
      <c r="H918" s="1">
        <v>10</v>
      </c>
      <c r="I918" s="1">
        <v>46</v>
      </c>
      <c r="J918" s="1">
        <v>9</v>
      </c>
      <c r="K918" s="1">
        <v>59</v>
      </c>
      <c r="L918" s="1">
        <v>31</v>
      </c>
      <c r="M918" s="1">
        <v>1.05</v>
      </c>
      <c r="N918" s="1">
        <v>8.4</v>
      </c>
      <c r="O918" s="7">
        <v>20991</v>
      </c>
      <c r="P918" s="4">
        <v>44998</v>
      </c>
      <c r="Q918" s="4">
        <v>45016</v>
      </c>
      <c r="R918" s="1" t="s">
        <v>80</v>
      </c>
      <c r="AO918" s="7">
        <v>20991</v>
      </c>
      <c r="AP918" s="5">
        <v>9.8</v>
      </c>
      <c r="AQ918" s="5">
        <v>98</v>
      </c>
      <c r="AR918" s="5">
        <v>46.2</v>
      </c>
      <c r="AS918" s="5">
        <v>80</v>
      </c>
      <c r="AT918" s="5">
        <v>43</v>
      </c>
      <c r="AU918" s="5">
        <v>55</v>
      </c>
      <c r="AV918" s="5">
        <v>43.3</v>
      </c>
      <c r="AW918" s="5">
        <v>9.66</v>
      </c>
      <c r="AX918" s="5">
        <v>98</v>
      </c>
      <c r="AY918" s="5" t="s">
        <v>125</v>
      </c>
      <c r="AZ918" s="5" t="s">
        <v>75</v>
      </c>
      <c r="BA918" s="5">
        <v>4.54</v>
      </c>
      <c r="BB918" s="12" t="s">
        <v>76</v>
      </c>
      <c r="BC918" s="5">
        <v>4.89</v>
      </c>
      <c r="BD918" s="5">
        <v>98</v>
      </c>
      <c r="BE918" s="5">
        <v>1.67</v>
      </c>
      <c r="BF918" s="5">
        <v>2.31</v>
      </c>
      <c r="BG918" s="15">
        <v>36.5</v>
      </c>
      <c r="BH918" s="5">
        <v>81</v>
      </c>
      <c r="BI918" s="5">
        <v>81</v>
      </c>
      <c r="BJ918" s="5">
        <v>16</v>
      </c>
      <c r="BK918" s="5">
        <v>162</v>
      </c>
      <c r="BL918" s="5">
        <v>84</v>
      </c>
      <c r="BM918" s="5">
        <v>57</v>
      </c>
      <c r="BN918" s="5">
        <v>167</v>
      </c>
      <c r="BO918" s="5">
        <f t="shared" si="14"/>
        <v>20.4381655849977</v>
      </c>
      <c r="BP918" s="5" t="s">
        <v>1450</v>
      </c>
      <c r="BQ918" s="5">
        <v>5.8</v>
      </c>
      <c r="BR918" s="5">
        <v>924</v>
      </c>
    </row>
    <row r="919" s="1" customFormat="1" spans="1:70">
      <c r="A919" s="1">
        <v>3269469</v>
      </c>
      <c r="B919" s="1" t="s">
        <v>2204</v>
      </c>
      <c r="D919" s="4">
        <v>44949</v>
      </c>
      <c r="E919" s="4">
        <v>44984</v>
      </c>
      <c r="F919" s="7">
        <v>20995</v>
      </c>
      <c r="G919" s="1">
        <v>41</v>
      </c>
      <c r="H919" s="1">
        <v>10</v>
      </c>
      <c r="I919" s="1">
        <v>54</v>
      </c>
      <c r="J919" s="1">
        <v>10</v>
      </c>
      <c r="K919" s="1">
        <v>40</v>
      </c>
      <c r="L919" s="1">
        <v>20</v>
      </c>
      <c r="M919" s="1">
        <v>0.64</v>
      </c>
      <c r="N919" s="1">
        <v>13.7</v>
      </c>
      <c r="O919" s="7">
        <v>20995</v>
      </c>
      <c r="P919" s="4">
        <v>44949</v>
      </c>
      <c r="Q919" s="4">
        <v>44984</v>
      </c>
      <c r="R919" s="1" t="s">
        <v>80</v>
      </c>
      <c r="AO919" s="7">
        <v>20995</v>
      </c>
      <c r="AP919" s="5">
        <v>9.8</v>
      </c>
      <c r="AQ919" s="5">
        <v>97</v>
      </c>
      <c r="AR919" s="5">
        <v>47.4</v>
      </c>
      <c r="AS919" s="5" t="s">
        <v>81</v>
      </c>
      <c r="AT919" s="5">
        <v>36</v>
      </c>
      <c r="AU919" s="5">
        <v>48</v>
      </c>
      <c r="AV919" s="5">
        <v>44.2</v>
      </c>
      <c r="AW919" s="5">
        <v>8.68</v>
      </c>
      <c r="AX919" s="5">
        <v>67</v>
      </c>
      <c r="AY919" s="5" t="s">
        <v>125</v>
      </c>
      <c r="AZ919" s="5">
        <v>7.8</v>
      </c>
      <c r="BA919" s="5">
        <v>4.7</v>
      </c>
      <c r="BB919" s="12" t="s">
        <v>76</v>
      </c>
      <c r="BC919" s="5">
        <v>5.17</v>
      </c>
      <c r="BD919" s="5">
        <v>97</v>
      </c>
      <c r="BE919" s="5">
        <v>0.99</v>
      </c>
      <c r="BF919" s="5">
        <v>3.22</v>
      </c>
      <c r="BG919" s="15">
        <v>36.5</v>
      </c>
      <c r="BH919" s="5" t="s">
        <v>76</v>
      </c>
      <c r="BI919" s="5">
        <v>97</v>
      </c>
      <c r="BJ919" s="5">
        <v>20</v>
      </c>
      <c r="BK919" s="5">
        <v>140</v>
      </c>
      <c r="BL919" s="5">
        <v>80</v>
      </c>
      <c r="BM919" s="5">
        <v>70</v>
      </c>
      <c r="BN919" s="5">
        <v>175</v>
      </c>
      <c r="BO919" s="5">
        <f t="shared" si="14"/>
        <v>22.8571428571429</v>
      </c>
      <c r="BP919" s="5" t="s">
        <v>1450</v>
      </c>
      <c r="BQ919" s="5">
        <v>10.6</v>
      </c>
      <c r="BR919" s="5">
        <v>969</v>
      </c>
    </row>
    <row r="920" s="1" customFormat="1" spans="1:70">
      <c r="A920" s="1">
        <v>3505847</v>
      </c>
      <c r="B920" s="1" t="s">
        <v>2205</v>
      </c>
      <c r="D920" s="4">
        <v>45274</v>
      </c>
      <c r="E920" s="4">
        <v>45280</v>
      </c>
      <c r="F920" s="7">
        <v>21024</v>
      </c>
      <c r="G920" s="1">
        <v>45</v>
      </c>
      <c r="H920" s="1">
        <v>10</v>
      </c>
      <c r="I920" s="1">
        <v>43</v>
      </c>
      <c r="J920" s="1">
        <v>10</v>
      </c>
      <c r="K920" s="1">
        <v>59</v>
      </c>
      <c r="L920" s="1">
        <v>32</v>
      </c>
      <c r="M920" s="1">
        <v>0.72</v>
      </c>
      <c r="N920" s="1">
        <v>15.7</v>
      </c>
      <c r="O920" s="7">
        <v>21024</v>
      </c>
      <c r="P920" s="4">
        <v>45274</v>
      </c>
      <c r="Q920" s="4">
        <v>45280</v>
      </c>
      <c r="R920" s="1" t="s">
        <v>73</v>
      </c>
      <c r="AO920" s="7">
        <v>21024</v>
      </c>
      <c r="AP920" s="5">
        <v>11.4</v>
      </c>
      <c r="AQ920" s="5">
        <v>94</v>
      </c>
      <c r="AR920" s="5">
        <v>30.9</v>
      </c>
      <c r="AS920" s="5" t="s">
        <v>76</v>
      </c>
      <c r="AT920" s="5">
        <v>15</v>
      </c>
      <c r="AU920" s="5">
        <v>13</v>
      </c>
      <c r="AV920" s="5">
        <v>38</v>
      </c>
      <c r="AW920" s="5">
        <v>7.43</v>
      </c>
      <c r="AX920" s="5">
        <v>89</v>
      </c>
      <c r="AY920" s="5" t="s">
        <v>76</v>
      </c>
      <c r="AZ920" s="5">
        <v>9.8</v>
      </c>
      <c r="BA920" s="5">
        <v>6.48</v>
      </c>
      <c r="BB920" s="12" t="s">
        <v>76</v>
      </c>
      <c r="BC920" s="5">
        <v>4.34</v>
      </c>
      <c r="BD920" s="5">
        <v>94</v>
      </c>
      <c r="BE920" s="5" t="s">
        <v>76</v>
      </c>
      <c r="BF920" s="5" t="s">
        <v>76</v>
      </c>
      <c r="BG920" s="15">
        <v>36.5</v>
      </c>
      <c r="BH920" s="5">
        <v>76</v>
      </c>
      <c r="BI920" s="5">
        <v>76</v>
      </c>
      <c r="BJ920" s="5">
        <v>15</v>
      </c>
      <c r="BK920" s="5">
        <v>160</v>
      </c>
      <c r="BL920" s="5">
        <v>85</v>
      </c>
      <c r="BM920" s="5">
        <v>55</v>
      </c>
      <c r="BN920" s="5">
        <v>155</v>
      </c>
      <c r="BO920" s="5">
        <f t="shared" si="14"/>
        <v>22.8928199791883</v>
      </c>
      <c r="BP920" s="5" t="s">
        <v>639</v>
      </c>
      <c r="BQ920" s="5" t="s">
        <v>76</v>
      </c>
      <c r="BR920" s="5">
        <v>2514</v>
      </c>
    </row>
    <row r="921" s="1" customFormat="1" spans="1:70">
      <c r="A921" s="1">
        <v>3283441</v>
      </c>
      <c r="B921" s="1" t="s">
        <v>2206</v>
      </c>
      <c r="D921" s="4">
        <v>44967</v>
      </c>
      <c r="E921" s="4">
        <v>44973</v>
      </c>
      <c r="F921" s="7">
        <v>21028</v>
      </c>
      <c r="G921" s="1">
        <v>37</v>
      </c>
      <c r="H921" s="1">
        <v>10</v>
      </c>
      <c r="I921" s="1">
        <v>45</v>
      </c>
      <c r="J921" s="1">
        <v>10</v>
      </c>
      <c r="K921" s="1">
        <v>66</v>
      </c>
      <c r="L921" s="1">
        <v>36</v>
      </c>
      <c r="M921" s="1">
        <v>1.16</v>
      </c>
      <c r="N921" s="1">
        <v>14.5</v>
      </c>
      <c r="O921" s="7">
        <v>21028</v>
      </c>
      <c r="P921" s="4">
        <v>44967</v>
      </c>
      <c r="Q921" s="4">
        <v>44973</v>
      </c>
      <c r="R921" s="1" t="s">
        <v>73</v>
      </c>
      <c r="AO921" s="7">
        <v>21028</v>
      </c>
      <c r="AP921" s="5">
        <v>7</v>
      </c>
      <c r="AQ921" s="5">
        <v>87</v>
      </c>
      <c r="AR921" s="5">
        <v>29</v>
      </c>
      <c r="AS921" s="5">
        <v>0.9</v>
      </c>
      <c r="AT921" s="5">
        <v>16</v>
      </c>
      <c r="AU921" s="5">
        <v>11</v>
      </c>
      <c r="AV921" s="5">
        <v>34.2</v>
      </c>
      <c r="AW921" s="5">
        <v>19.73</v>
      </c>
      <c r="AX921" s="5">
        <v>177</v>
      </c>
      <c r="AY921" s="5">
        <v>27.81</v>
      </c>
      <c r="AZ921" s="5" t="s">
        <v>75</v>
      </c>
      <c r="BA921" s="5">
        <v>6.17</v>
      </c>
      <c r="BB921" s="12" t="s">
        <v>76</v>
      </c>
      <c r="BC921" s="5">
        <v>5.48</v>
      </c>
      <c r="BD921" s="5">
        <v>87</v>
      </c>
      <c r="BE921" s="5">
        <v>1.17</v>
      </c>
      <c r="BF921" s="5">
        <v>4.5</v>
      </c>
      <c r="BG921" s="15">
        <v>36.2</v>
      </c>
      <c r="BH921" s="5">
        <v>69</v>
      </c>
      <c r="BI921" s="5" t="s">
        <v>76</v>
      </c>
      <c r="BJ921" s="5">
        <v>15</v>
      </c>
      <c r="BK921" s="5">
        <v>142</v>
      </c>
      <c r="BL921" s="5">
        <v>64</v>
      </c>
      <c r="BM921" s="5">
        <v>60</v>
      </c>
      <c r="BN921" s="5">
        <v>162</v>
      </c>
      <c r="BO921" s="5">
        <f t="shared" si="14"/>
        <v>22.8623685413809</v>
      </c>
      <c r="BP921" s="5" t="s">
        <v>415</v>
      </c>
      <c r="BQ921" s="5">
        <v>7.6</v>
      </c>
      <c r="BR921" s="5">
        <v>2886</v>
      </c>
    </row>
    <row r="922" s="1" customFormat="1" spans="1:70">
      <c r="A922" s="1" t="s">
        <v>2207</v>
      </c>
      <c r="B922" s="1" t="s">
        <v>2208</v>
      </c>
      <c r="D922" s="4">
        <v>44981</v>
      </c>
      <c r="E922" s="4">
        <v>44988</v>
      </c>
      <c r="F922" s="7">
        <v>21029</v>
      </c>
      <c r="G922" s="1">
        <v>36</v>
      </c>
      <c r="H922" s="1">
        <v>10</v>
      </c>
      <c r="I922" s="1">
        <v>50</v>
      </c>
      <c r="J922" s="1">
        <v>9</v>
      </c>
      <c r="K922" s="1">
        <v>59</v>
      </c>
      <c r="L922" s="1">
        <v>31</v>
      </c>
      <c r="M922" s="1">
        <v>0.67</v>
      </c>
      <c r="N922" s="1">
        <v>9.3</v>
      </c>
      <c r="O922" s="7">
        <v>21029</v>
      </c>
      <c r="P922" s="4">
        <v>44981</v>
      </c>
      <c r="Q922" s="4">
        <v>44988</v>
      </c>
      <c r="R922" s="1" t="s">
        <v>80</v>
      </c>
      <c r="AO922" s="7">
        <v>21029</v>
      </c>
      <c r="AP922" s="5" t="s">
        <v>404</v>
      </c>
      <c r="AQ922" s="5" t="s">
        <v>290</v>
      </c>
      <c r="AR922" s="5" t="s">
        <v>511</v>
      </c>
      <c r="AS922" s="5" t="s">
        <v>2209</v>
      </c>
      <c r="AT922" s="5" t="s">
        <v>525</v>
      </c>
      <c r="AU922" s="5" t="s">
        <v>225</v>
      </c>
      <c r="AV922" s="5" t="s">
        <v>552</v>
      </c>
      <c r="AW922" s="5" t="s">
        <v>2210</v>
      </c>
      <c r="AX922" s="5" t="s">
        <v>2211</v>
      </c>
      <c r="AY922" s="5" t="s">
        <v>2212</v>
      </c>
      <c r="AZ922" s="5" t="s">
        <v>1011</v>
      </c>
      <c r="BA922" s="5" t="s">
        <v>76</v>
      </c>
      <c r="BB922" s="12" t="s">
        <v>76</v>
      </c>
      <c r="BC922" s="5" t="s">
        <v>2213</v>
      </c>
      <c r="BD922" s="5" t="s">
        <v>290</v>
      </c>
      <c r="BE922" s="5" t="s">
        <v>76</v>
      </c>
      <c r="BF922" s="5" t="s">
        <v>76</v>
      </c>
      <c r="BG922" s="15">
        <v>36.2</v>
      </c>
      <c r="BH922" s="5" t="s">
        <v>103</v>
      </c>
      <c r="BI922" s="5" t="s">
        <v>103</v>
      </c>
      <c r="BJ922" s="5" t="s">
        <v>293</v>
      </c>
      <c r="BK922" s="5" t="s">
        <v>473</v>
      </c>
      <c r="BL922" s="5" t="s">
        <v>233</v>
      </c>
      <c r="BM922" s="5" t="s">
        <v>233</v>
      </c>
      <c r="BN922" s="5">
        <v>172</v>
      </c>
      <c r="BO922" s="5">
        <f t="shared" si="14"/>
        <v>22.3093564088697</v>
      </c>
      <c r="BP922" s="5" t="s">
        <v>573</v>
      </c>
      <c r="BQ922" s="5" t="s">
        <v>76</v>
      </c>
      <c r="BR922" s="5">
        <v>2565</v>
      </c>
    </row>
    <row r="923" s="1" customFormat="1" spans="1:70">
      <c r="A923" s="1">
        <v>3503164</v>
      </c>
      <c r="B923" s="1" t="s">
        <v>2214</v>
      </c>
      <c r="D923" s="4">
        <v>45271</v>
      </c>
      <c r="E923" s="4">
        <v>45280</v>
      </c>
      <c r="F923" s="7">
        <v>21035</v>
      </c>
      <c r="G923" s="1">
        <v>43</v>
      </c>
      <c r="H923" s="1">
        <v>9</v>
      </c>
      <c r="I923" s="1">
        <v>41</v>
      </c>
      <c r="J923" s="1">
        <v>9</v>
      </c>
      <c r="K923" s="1">
        <v>57</v>
      </c>
      <c r="L923" s="1">
        <v>30</v>
      </c>
      <c r="N923" s="1">
        <v>6.8</v>
      </c>
      <c r="O923" s="7">
        <v>21035</v>
      </c>
      <c r="P923" s="4">
        <v>45271</v>
      </c>
      <c r="Q923" s="4">
        <v>45280</v>
      </c>
      <c r="R923" s="1" t="s">
        <v>80</v>
      </c>
      <c r="AO923" s="7">
        <v>21035</v>
      </c>
      <c r="AP923" s="5">
        <v>7.2</v>
      </c>
      <c r="AQ923" s="5">
        <v>147</v>
      </c>
      <c r="AR923" s="5">
        <v>47</v>
      </c>
      <c r="AS923" s="5">
        <v>4.6</v>
      </c>
      <c r="AT923" s="5">
        <v>15</v>
      </c>
      <c r="AU923" s="5">
        <v>13</v>
      </c>
      <c r="AV923" s="5">
        <v>35.8</v>
      </c>
      <c r="AW923" s="5">
        <v>3.44</v>
      </c>
      <c r="AX923" s="5">
        <v>60</v>
      </c>
      <c r="AY923" s="5" t="s">
        <v>125</v>
      </c>
      <c r="AZ923" s="5" t="s">
        <v>75</v>
      </c>
      <c r="BA923" s="5">
        <v>3.84</v>
      </c>
      <c r="BB923" s="12" t="s">
        <v>76</v>
      </c>
      <c r="BC923" s="5">
        <v>3.8</v>
      </c>
      <c r="BD923" s="5">
        <v>147</v>
      </c>
      <c r="BE923" s="5">
        <v>1.02</v>
      </c>
      <c r="BF923" s="5">
        <v>2.27</v>
      </c>
      <c r="BG923" s="15">
        <v>36.7</v>
      </c>
      <c r="BH923" s="5">
        <v>110</v>
      </c>
      <c r="BI923" s="5">
        <v>118</v>
      </c>
      <c r="BJ923" s="5">
        <v>16</v>
      </c>
      <c r="BK923" s="5">
        <v>134</v>
      </c>
      <c r="BL923" s="5">
        <v>83</v>
      </c>
      <c r="BM923" s="5">
        <v>67</v>
      </c>
      <c r="BN923" s="5">
        <v>170</v>
      </c>
      <c r="BO923" s="5">
        <f t="shared" si="14"/>
        <v>23.1833910034602</v>
      </c>
      <c r="BP923" s="5" t="s">
        <v>1872</v>
      </c>
      <c r="BQ923" s="5">
        <v>6.8</v>
      </c>
      <c r="BR923" s="5">
        <v>1844</v>
      </c>
    </row>
    <row r="924" s="1" customFormat="1" spans="1:70">
      <c r="A924" s="1" t="s">
        <v>2215</v>
      </c>
      <c r="B924" s="1" t="s">
        <v>2216</v>
      </c>
      <c r="D924" s="4">
        <v>45253</v>
      </c>
      <c r="E924" s="4">
        <v>45267</v>
      </c>
      <c r="F924" s="7">
        <v>21035</v>
      </c>
      <c r="G924" s="1">
        <v>36</v>
      </c>
      <c r="H924" s="1">
        <v>10</v>
      </c>
      <c r="I924" s="1">
        <v>48</v>
      </c>
      <c r="J924" s="1">
        <v>10</v>
      </c>
      <c r="K924" s="1">
        <v>66</v>
      </c>
      <c r="L924" s="1">
        <v>37</v>
      </c>
      <c r="M924" s="1">
        <v>1.13</v>
      </c>
      <c r="O924" s="7">
        <v>21035</v>
      </c>
      <c r="P924" s="4">
        <v>45253</v>
      </c>
      <c r="Q924" s="4">
        <v>45267</v>
      </c>
      <c r="R924" s="1" t="s">
        <v>73</v>
      </c>
      <c r="AO924" s="7">
        <v>21035</v>
      </c>
      <c r="AP924" s="5" t="s">
        <v>941</v>
      </c>
      <c r="AQ924" s="5" t="s">
        <v>318</v>
      </c>
      <c r="AR924" s="5" t="s">
        <v>2217</v>
      </c>
      <c r="AS924" s="5" t="s">
        <v>807</v>
      </c>
      <c r="AT924" s="5" t="s">
        <v>1000</v>
      </c>
      <c r="AU924" s="5" t="s">
        <v>171</v>
      </c>
      <c r="AV924" s="5" t="s">
        <v>1219</v>
      </c>
      <c r="AW924" s="5" t="s">
        <v>2218</v>
      </c>
      <c r="AX924" s="5" t="s">
        <v>1455</v>
      </c>
      <c r="AY924" s="5" t="s">
        <v>76</v>
      </c>
      <c r="AZ924" s="5" t="s">
        <v>75</v>
      </c>
      <c r="BA924" s="5" t="s">
        <v>951</v>
      </c>
      <c r="BB924" s="12" t="s">
        <v>76</v>
      </c>
      <c r="BC924" s="5" t="s">
        <v>2219</v>
      </c>
      <c r="BD924" s="5" t="s">
        <v>318</v>
      </c>
      <c r="BE924" s="5" t="s">
        <v>76</v>
      </c>
      <c r="BF924" s="5" t="s">
        <v>76</v>
      </c>
      <c r="BG924" s="15">
        <v>36</v>
      </c>
      <c r="BH924" s="5" t="s">
        <v>658</v>
      </c>
      <c r="BI924" s="5" t="s">
        <v>658</v>
      </c>
      <c r="BJ924" s="5" t="s">
        <v>293</v>
      </c>
      <c r="BK924" s="5" t="s">
        <v>2220</v>
      </c>
      <c r="BL924" s="5" t="s">
        <v>96</v>
      </c>
      <c r="BM924" s="5" t="s">
        <v>195</v>
      </c>
      <c r="BN924" s="5">
        <v>158</v>
      </c>
      <c r="BO924" s="5">
        <f t="shared" si="14"/>
        <v>20.0288415318058</v>
      </c>
      <c r="BP924" s="5" t="s">
        <v>1268</v>
      </c>
      <c r="BQ924" s="5" t="s">
        <v>76</v>
      </c>
      <c r="BR924" s="5">
        <v>6271</v>
      </c>
    </row>
    <row r="925" s="1" customFormat="1" spans="1:70">
      <c r="A925" s="1">
        <v>3315104</v>
      </c>
      <c r="B925" s="1" t="s">
        <v>2221</v>
      </c>
      <c r="D925" s="4">
        <v>45015</v>
      </c>
      <c r="E925" s="4">
        <v>45026</v>
      </c>
      <c r="F925" s="7">
        <v>21047</v>
      </c>
      <c r="G925" s="1">
        <v>43</v>
      </c>
      <c r="H925" s="1">
        <v>10</v>
      </c>
      <c r="I925" s="1">
        <v>61</v>
      </c>
      <c r="J925" s="1">
        <v>10</v>
      </c>
      <c r="K925" s="1">
        <v>24</v>
      </c>
      <c r="L925" s="1">
        <v>11</v>
      </c>
      <c r="N925" s="1">
        <v>13.9</v>
      </c>
      <c r="O925" s="7">
        <v>21047</v>
      </c>
      <c r="P925" s="4">
        <v>45015</v>
      </c>
      <c r="Q925" s="4">
        <v>45026</v>
      </c>
      <c r="R925" s="1" t="s">
        <v>80</v>
      </c>
      <c r="AO925" s="7">
        <v>21047</v>
      </c>
      <c r="AP925" s="5">
        <v>6.5</v>
      </c>
      <c r="AQ925" s="5">
        <v>150</v>
      </c>
      <c r="AR925" s="5">
        <v>50.3</v>
      </c>
      <c r="AS925" s="5">
        <v>4.5</v>
      </c>
      <c r="AT925" s="5">
        <v>25</v>
      </c>
      <c r="AU925" s="5">
        <v>54</v>
      </c>
      <c r="AV925" s="5">
        <v>36.5</v>
      </c>
      <c r="AW925" s="5">
        <v>9.2</v>
      </c>
      <c r="AX925" s="5">
        <v>69</v>
      </c>
      <c r="AY925" s="5">
        <v>113.67</v>
      </c>
      <c r="AZ925" s="5" t="s">
        <v>75</v>
      </c>
      <c r="BA925" s="5">
        <v>4.17</v>
      </c>
      <c r="BB925" s="12" t="s">
        <v>76</v>
      </c>
      <c r="BC925" s="5">
        <v>4.8</v>
      </c>
      <c r="BD925" s="5">
        <v>150</v>
      </c>
      <c r="BE925" s="5">
        <v>0.84</v>
      </c>
      <c r="BF925" s="5">
        <v>2.86</v>
      </c>
      <c r="BG925" s="15">
        <v>36.3</v>
      </c>
      <c r="BH925" s="5">
        <v>80</v>
      </c>
      <c r="BI925" s="5">
        <v>80</v>
      </c>
      <c r="BJ925" s="5">
        <v>20</v>
      </c>
      <c r="BK925" s="5">
        <v>126</v>
      </c>
      <c r="BL925" s="5">
        <v>96</v>
      </c>
      <c r="BM925" s="5">
        <v>60</v>
      </c>
      <c r="BN925" s="5">
        <v>165</v>
      </c>
      <c r="BO925" s="5">
        <f t="shared" si="14"/>
        <v>22.038567493113</v>
      </c>
      <c r="BP925" s="5" t="s">
        <v>156</v>
      </c>
      <c r="BQ925" s="5" t="s">
        <v>76</v>
      </c>
      <c r="BR925" s="5">
        <v>8065</v>
      </c>
    </row>
    <row r="926" s="1" customFormat="1" spans="1:70">
      <c r="A926" s="1">
        <v>3302445</v>
      </c>
      <c r="B926" s="1" t="s">
        <v>2222</v>
      </c>
      <c r="D926" s="4">
        <v>44994</v>
      </c>
      <c r="E926" s="4">
        <v>44998</v>
      </c>
      <c r="F926" s="7">
        <v>21048</v>
      </c>
      <c r="G926" s="1">
        <v>41</v>
      </c>
      <c r="H926" s="1">
        <v>10</v>
      </c>
      <c r="I926" s="1">
        <v>55</v>
      </c>
      <c r="J926" s="1">
        <v>10</v>
      </c>
      <c r="K926" s="1">
        <v>53</v>
      </c>
      <c r="L926" s="1">
        <v>28</v>
      </c>
      <c r="M926" s="1">
        <v>1.35</v>
      </c>
      <c r="N926" s="1">
        <v>17.8</v>
      </c>
      <c r="O926" s="7">
        <v>21048</v>
      </c>
      <c r="P926" s="4">
        <v>44994</v>
      </c>
      <c r="Q926" s="4">
        <v>44998</v>
      </c>
      <c r="R926" s="1" t="s">
        <v>80</v>
      </c>
      <c r="AO926" s="7">
        <v>21048</v>
      </c>
      <c r="AP926" s="5">
        <v>8.2</v>
      </c>
      <c r="AQ926" s="5">
        <v>136</v>
      </c>
      <c r="AR926" s="5">
        <v>39.8</v>
      </c>
      <c r="AS926" s="5">
        <v>66.5</v>
      </c>
      <c r="AT926" s="5">
        <v>61</v>
      </c>
      <c r="AU926" s="5">
        <v>49</v>
      </c>
      <c r="AV926" s="5">
        <v>35.7</v>
      </c>
      <c r="AW926" s="5">
        <v>6.42</v>
      </c>
      <c r="AX926" s="5">
        <v>61</v>
      </c>
      <c r="AY926" s="5" t="s">
        <v>125</v>
      </c>
      <c r="AZ926" s="5">
        <v>8.69</v>
      </c>
      <c r="BA926" s="5">
        <v>3.17</v>
      </c>
      <c r="BB926" s="12" t="s">
        <v>76</v>
      </c>
      <c r="BC926" s="5">
        <v>3.97</v>
      </c>
      <c r="BD926" s="5">
        <v>136</v>
      </c>
      <c r="BE926" s="5">
        <v>0.84</v>
      </c>
      <c r="BF926" s="5">
        <v>2.01</v>
      </c>
      <c r="BG926" s="15">
        <v>36.5</v>
      </c>
      <c r="BH926" s="5">
        <v>84</v>
      </c>
      <c r="BI926" s="5">
        <v>84</v>
      </c>
      <c r="BJ926" s="5">
        <v>16</v>
      </c>
      <c r="BK926" s="5">
        <v>121</v>
      </c>
      <c r="BL926" s="5">
        <v>86</v>
      </c>
      <c r="BM926" s="5">
        <v>80</v>
      </c>
      <c r="BN926" s="5">
        <v>170</v>
      </c>
      <c r="BO926" s="5">
        <f t="shared" si="14"/>
        <v>27.681660899654</v>
      </c>
      <c r="BP926" s="5" t="s">
        <v>323</v>
      </c>
      <c r="BQ926" s="5" t="s">
        <v>76</v>
      </c>
      <c r="BR926" s="5">
        <v>4331</v>
      </c>
    </row>
    <row r="927" s="1" customFormat="1" spans="1:70">
      <c r="A927" s="1">
        <v>3254187</v>
      </c>
      <c r="B927" s="1" t="s">
        <v>2223</v>
      </c>
      <c r="D927" s="4">
        <v>44911</v>
      </c>
      <c r="E927" s="4">
        <v>44926</v>
      </c>
      <c r="F927" s="7">
        <v>21048</v>
      </c>
      <c r="G927" s="1">
        <v>54</v>
      </c>
      <c r="H927" s="1">
        <v>9</v>
      </c>
      <c r="I927" s="1">
        <v>50</v>
      </c>
      <c r="J927" s="1">
        <v>9</v>
      </c>
      <c r="K927" s="1">
        <v>65</v>
      </c>
      <c r="L927" s="1">
        <v>35</v>
      </c>
      <c r="O927" s="7">
        <v>21048</v>
      </c>
      <c r="P927" s="4">
        <v>44911</v>
      </c>
      <c r="Q927" s="4">
        <v>44926</v>
      </c>
      <c r="R927" s="1" t="s">
        <v>73</v>
      </c>
      <c r="AO927" s="7">
        <v>21048</v>
      </c>
      <c r="AP927" s="5">
        <v>9.7</v>
      </c>
      <c r="AQ927" s="5">
        <v>77</v>
      </c>
      <c r="AR927" s="5">
        <v>35</v>
      </c>
      <c r="AS927" s="5">
        <v>98.8</v>
      </c>
      <c r="AT927" s="5">
        <v>87</v>
      </c>
      <c r="AU927" s="5">
        <v>9</v>
      </c>
      <c r="AV927" s="5">
        <v>39.3</v>
      </c>
      <c r="AW927" s="5">
        <v>9.9</v>
      </c>
      <c r="AX927" s="5">
        <v>63</v>
      </c>
      <c r="AY927" s="5" t="s">
        <v>125</v>
      </c>
      <c r="AZ927" s="5" t="s">
        <v>75</v>
      </c>
      <c r="BA927" s="5" t="s">
        <v>76</v>
      </c>
      <c r="BB927" s="12" t="s">
        <v>76</v>
      </c>
      <c r="BC927" s="5">
        <v>4.62</v>
      </c>
      <c r="BD927" s="5">
        <v>77</v>
      </c>
      <c r="BE927" s="5" t="s">
        <v>76</v>
      </c>
      <c r="BF927" s="5" t="s">
        <v>76</v>
      </c>
      <c r="BG927" s="15">
        <v>36.9</v>
      </c>
      <c r="BH927" s="5">
        <v>55</v>
      </c>
      <c r="BI927" s="5">
        <v>69</v>
      </c>
      <c r="BJ927" s="5">
        <v>30</v>
      </c>
      <c r="BK927" s="5">
        <v>69</v>
      </c>
      <c r="BL927" s="5">
        <v>53</v>
      </c>
      <c r="BM927" s="5" t="s">
        <v>77</v>
      </c>
      <c r="BN927" s="5" t="s">
        <v>77</v>
      </c>
      <c r="BO927" s="5" t="e">
        <f t="shared" si="14"/>
        <v>#VALUE!</v>
      </c>
      <c r="BP927" s="5" t="s">
        <v>117</v>
      </c>
      <c r="BQ927" s="5" t="s">
        <v>76</v>
      </c>
      <c r="BR927" s="5">
        <v>4036</v>
      </c>
    </row>
    <row r="928" s="1" customFormat="1" spans="1:70">
      <c r="A928" s="1">
        <v>3490057</v>
      </c>
      <c r="B928" s="1" t="s">
        <v>2224</v>
      </c>
      <c r="D928" s="4">
        <v>45253</v>
      </c>
      <c r="E928" s="4">
        <v>45264</v>
      </c>
      <c r="F928" s="7">
        <v>21050</v>
      </c>
      <c r="G928" s="1">
        <v>42</v>
      </c>
      <c r="H928" s="1">
        <v>8</v>
      </c>
      <c r="I928" s="1">
        <v>57</v>
      </c>
      <c r="J928" s="1">
        <v>8</v>
      </c>
      <c r="K928" s="1">
        <v>39</v>
      </c>
      <c r="L928" s="1">
        <v>19</v>
      </c>
      <c r="M928" s="1">
        <v>1.56</v>
      </c>
      <c r="N928" s="1">
        <v>10.2</v>
      </c>
      <c r="O928" s="7">
        <v>21050</v>
      </c>
      <c r="P928" s="4">
        <v>45253</v>
      </c>
      <c r="Q928" s="4">
        <v>45264</v>
      </c>
      <c r="R928" s="1" t="s">
        <v>80</v>
      </c>
      <c r="AO928" s="7">
        <v>21050</v>
      </c>
      <c r="AP928" s="5">
        <v>4.6</v>
      </c>
      <c r="AQ928" s="5">
        <v>111</v>
      </c>
      <c r="AR928" s="5">
        <v>34</v>
      </c>
      <c r="AS928" s="5">
        <v>4.4</v>
      </c>
      <c r="AT928" s="5">
        <v>18</v>
      </c>
      <c r="AU928" s="5">
        <v>11</v>
      </c>
      <c r="AV928" s="5">
        <v>36.3</v>
      </c>
      <c r="AW928" s="5" t="s">
        <v>76</v>
      </c>
      <c r="AX928" s="5" t="s">
        <v>76</v>
      </c>
      <c r="AY928" s="5" t="s">
        <v>76</v>
      </c>
      <c r="AZ928" s="5" t="s">
        <v>75</v>
      </c>
      <c r="BA928" s="5" t="s">
        <v>76</v>
      </c>
      <c r="BB928" s="12" t="s">
        <v>76</v>
      </c>
      <c r="BC928" s="5">
        <v>3.91</v>
      </c>
      <c r="BD928" s="5">
        <v>111</v>
      </c>
      <c r="BE928" s="5" t="s">
        <v>76</v>
      </c>
      <c r="BF928" s="5" t="s">
        <v>76</v>
      </c>
      <c r="BG928" s="15">
        <v>36.2</v>
      </c>
      <c r="BH928" s="5">
        <v>76</v>
      </c>
      <c r="BI928" s="5">
        <v>114</v>
      </c>
      <c r="BJ928" s="5">
        <v>18</v>
      </c>
      <c r="BK928" s="5">
        <v>113</v>
      </c>
      <c r="BL928" s="5">
        <v>88</v>
      </c>
      <c r="BM928" s="5">
        <v>65</v>
      </c>
      <c r="BN928" s="5">
        <v>170</v>
      </c>
      <c r="BO928" s="5">
        <f t="shared" si="14"/>
        <v>22.4913494809689</v>
      </c>
      <c r="BP928" s="5" t="s">
        <v>164</v>
      </c>
      <c r="BQ928" s="5" t="s">
        <v>76</v>
      </c>
      <c r="BR928" s="5">
        <v>6373</v>
      </c>
    </row>
    <row r="929" s="1" customFormat="1" spans="1:70">
      <c r="A929" s="1">
        <v>3269701</v>
      </c>
      <c r="B929" s="1" t="s">
        <v>2225</v>
      </c>
      <c r="D929" s="4">
        <v>44950</v>
      </c>
      <c r="E929" s="4">
        <v>44958</v>
      </c>
      <c r="F929" s="7">
        <v>21050</v>
      </c>
      <c r="G929" s="1">
        <v>42</v>
      </c>
      <c r="H929" s="1">
        <v>12</v>
      </c>
      <c r="I929" s="1">
        <v>46</v>
      </c>
      <c r="J929" s="1">
        <v>12</v>
      </c>
      <c r="K929" s="1">
        <v>63</v>
      </c>
      <c r="L929" s="1">
        <v>34</v>
      </c>
      <c r="M929" s="1">
        <v>0.81</v>
      </c>
      <c r="N929" s="1">
        <v>8.9</v>
      </c>
      <c r="O929" s="7">
        <v>21050</v>
      </c>
      <c r="P929" s="4">
        <v>44950</v>
      </c>
      <c r="Q929" s="4">
        <v>44958</v>
      </c>
      <c r="R929" s="1" t="s">
        <v>80</v>
      </c>
      <c r="AO929" s="7">
        <v>21050</v>
      </c>
      <c r="AP929" s="5">
        <v>5.4</v>
      </c>
      <c r="AQ929" s="5">
        <v>96</v>
      </c>
      <c r="AR929" s="5">
        <v>31.4</v>
      </c>
      <c r="AS929" s="5" t="s">
        <v>881</v>
      </c>
      <c r="AT929" s="5">
        <v>10</v>
      </c>
      <c r="AU929" s="5" t="s">
        <v>171</v>
      </c>
      <c r="AV929" s="5">
        <v>38.9</v>
      </c>
      <c r="AW929" s="5">
        <v>16.5</v>
      </c>
      <c r="AX929" s="5">
        <v>356</v>
      </c>
      <c r="AY929" s="5">
        <v>18.06</v>
      </c>
      <c r="AZ929" s="5" t="s">
        <v>75</v>
      </c>
      <c r="BA929" s="5">
        <v>3.04</v>
      </c>
      <c r="BB929" s="12" t="s">
        <v>76</v>
      </c>
      <c r="BC929" s="5">
        <v>4.53</v>
      </c>
      <c r="BD929" s="5">
        <v>96</v>
      </c>
      <c r="BE929" s="5">
        <v>1.21</v>
      </c>
      <c r="BF929" s="5">
        <v>1.25</v>
      </c>
      <c r="BG929" s="15">
        <v>36.6</v>
      </c>
      <c r="BH929" s="5">
        <v>78</v>
      </c>
      <c r="BI929" s="5" t="s">
        <v>76</v>
      </c>
      <c r="BJ929" s="5">
        <v>15</v>
      </c>
      <c r="BK929" s="5">
        <v>142</v>
      </c>
      <c r="BL929" s="5">
        <v>79</v>
      </c>
      <c r="BM929" s="5">
        <v>55</v>
      </c>
      <c r="BN929" s="5">
        <v>170</v>
      </c>
      <c r="BO929" s="5">
        <f t="shared" si="14"/>
        <v>19.0311418685121</v>
      </c>
      <c r="BP929" s="5" t="s">
        <v>300</v>
      </c>
      <c r="BQ929" s="5">
        <v>4.9</v>
      </c>
      <c r="BR929" s="5">
        <v>1105</v>
      </c>
    </row>
    <row r="930" s="1" customFormat="1" spans="1:70">
      <c r="A930" s="1">
        <v>3269067</v>
      </c>
      <c r="B930" s="1" t="s">
        <v>2226</v>
      </c>
      <c r="D930" s="4">
        <v>44946</v>
      </c>
      <c r="E930" s="4">
        <v>44952</v>
      </c>
      <c r="F930" s="7">
        <v>21052</v>
      </c>
      <c r="G930" s="1">
        <v>45</v>
      </c>
      <c r="H930" s="1">
        <v>9</v>
      </c>
      <c r="I930" s="1">
        <v>54</v>
      </c>
      <c r="K930" s="1">
        <v>58</v>
      </c>
      <c r="L930" s="1">
        <v>31</v>
      </c>
      <c r="N930" s="1">
        <v>27.3</v>
      </c>
      <c r="O930" s="7">
        <v>21052</v>
      </c>
      <c r="P930" s="4">
        <v>44946</v>
      </c>
      <c r="Q930" s="4">
        <v>44952</v>
      </c>
      <c r="R930" s="1" t="s">
        <v>80</v>
      </c>
      <c r="AO930" s="7">
        <v>21052</v>
      </c>
      <c r="AP930" s="5">
        <v>4.6</v>
      </c>
      <c r="AQ930" s="5">
        <v>128</v>
      </c>
      <c r="AR930" s="5">
        <v>41.1</v>
      </c>
      <c r="AS930" s="5" t="s">
        <v>81</v>
      </c>
      <c r="AT930" s="5">
        <v>17</v>
      </c>
      <c r="AU930" s="5">
        <v>8</v>
      </c>
      <c r="AV930" s="5">
        <v>39.7</v>
      </c>
      <c r="AW930" s="5">
        <v>3.9</v>
      </c>
      <c r="AX930" s="5">
        <v>91</v>
      </c>
      <c r="AY930" s="5">
        <v>77.09</v>
      </c>
      <c r="AZ930" s="5" t="s">
        <v>75</v>
      </c>
      <c r="BA930" s="5">
        <v>3.79</v>
      </c>
      <c r="BB930" s="12" t="s">
        <v>76</v>
      </c>
      <c r="BC930" s="5">
        <v>4.11</v>
      </c>
      <c r="BD930" s="5">
        <v>128</v>
      </c>
      <c r="BE930" s="5">
        <v>1.21</v>
      </c>
      <c r="BF930" s="5">
        <v>2.14</v>
      </c>
      <c r="BG930" s="15">
        <v>36.5</v>
      </c>
      <c r="BH930" s="5">
        <v>61</v>
      </c>
      <c r="BI930" s="5">
        <v>61</v>
      </c>
      <c r="BJ930" s="5">
        <v>20</v>
      </c>
      <c r="BK930" s="5">
        <v>146</v>
      </c>
      <c r="BL930" s="5">
        <v>88</v>
      </c>
      <c r="BM930" s="5">
        <v>72</v>
      </c>
      <c r="BN930" s="5">
        <v>170</v>
      </c>
      <c r="BO930" s="5">
        <f t="shared" si="14"/>
        <v>24.9134948096886</v>
      </c>
      <c r="BP930" s="5" t="s">
        <v>161</v>
      </c>
      <c r="BQ930" s="5">
        <v>6</v>
      </c>
      <c r="BR930" s="5">
        <v>1695</v>
      </c>
    </row>
    <row r="931" s="1" customFormat="1" spans="1:70">
      <c r="A931" s="1">
        <v>3510180</v>
      </c>
      <c r="B931" s="1" t="s">
        <v>2227</v>
      </c>
      <c r="D931" s="4">
        <v>45280</v>
      </c>
      <c r="E931" s="4">
        <v>45286</v>
      </c>
      <c r="F931" s="7">
        <v>21083</v>
      </c>
      <c r="G931" s="1">
        <v>36</v>
      </c>
      <c r="H931" s="1">
        <v>10</v>
      </c>
      <c r="I931" s="1">
        <v>57</v>
      </c>
      <c r="J931" s="1">
        <v>10</v>
      </c>
      <c r="K931" s="1">
        <v>45</v>
      </c>
      <c r="L931" s="1">
        <v>22</v>
      </c>
      <c r="O931" s="7">
        <v>21083</v>
      </c>
      <c r="P931" s="4">
        <v>45280</v>
      </c>
      <c r="Q931" s="4">
        <v>45286</v>
      </c>
      <c r="R931" s="1" t="s">
        <v>80</v>
      </c>
      <c r="AO931" s="7">
        <v>21083</v>
      </c>
      <c r="AP931" s="5">
        <v>6.6</v>
      </c>
      <c r="AQ931" s="5">
        <v>98</v>
      </c>
      <c r="AR931" s="5">
        <v>45</v>
      </c>
      <c r="AS931" s="5">
        <v>56.7</v>
      </c>
      <c r="AT931" s="5">
        <v>68</v>
      </c>
      <c r="AU931" s="5">
        <v>630</v>
      </c>
      <c r="AV931" s="5">
        <v>35</v>
      </c>
      <c r="AW931" s="5">
        <v>9.16</v>
      </c>
      <c r="AX931" s="5" t="s">
        <v>1455</v>
      </c>
      <c r="AY931" s="5" t="s">
        <v>125</v>
      </c>
      <c r="AZ931" s="5">
        <v>9.6</v>
      </c>
      <c r="BA931" s="5" t="s">
        <v>76</v>
      </c>
      <c r="BB931" s="12" t="s">
        <v>76</v>
      </c>
      <c r="BC931" s="5">
        <v>4.57</v>
      </c>
      <c r="BD931" s="5">
        <v>98</v>
      </c>
      <c r="BE931" s="5" t="s">
        <v>76</v>
      </c>
      <c r="BF931" s="5" t="s">
        <v>76</v>
      </c>
      <c r="BG931" s="15">
        <v>39.5</v>
      </c>
      <c r="BH931" s="5" t="s">
        <v>76</v>
      </c>
      <c r="BI931" s="5">
        <v>102</v>
      </c>
      <c r="BJ931" s="5">
        <v>15</v>
      </c>
      <c r="BK931" s="5">
        <v>126</v>
      </c>
      <c r="BL931" s="5">
        <v>65</v>
      </c>
      <c r="BM931" s="5" t="s">
        <v>77</v>
      </c>
      <c r="BN931" s="5" t="s">
        <v>77</v>
      </c>
      <c r="BO931" s="5" t="e">
        <f t="shared" si="14"/>
        <v>#VALUE!</v>
      </c>
      <c r="BP931" s="5" t="s">
        <v>369</v>
      </c>
      <c r="BQ931" s="5">
        <v>6</v>
      </c>
      <c r="BR931" s="5">
        <v>7115</v>
      </c>
    </row>
    <row r="932" s="1" customFormat="1" spans="1:70">
      <c r="A932" s="1">
        <v>3325225</v>
      </c>
      <c r="B932" s="1" t="s">
        <v>2228</v>
      </c>
      <c r="D932" s="4">
        <v>45026</v>
      </c>
      <c r="E932" s="4">
        <v>45029</v>
      </c>
      <c r="F932" s="7">
        <v>21097</v>
      </c>
      <c r="G932" s="1">
        <v>49</v>
      </c>
      <c r="H932" s="1">
        <v>10</v>
      </c>
      <c r="I932" s="1">
        <v>47</v>
      </c>
      <c r="J932" s="1">
        <v>10</v>
      </c>
      <c r="K932" s="1">
        <v>61</v>
      </c>
      <c r="L932" s="1">
        <v>33</v>
      </c>
      <c r="N932" s="1">
        <v>7.6</v>
      </c>
      <c r="O932" s="7">
        <v>21097</v>
      </c>
      <c r="P932" s="4">
        <v>45026</v>
      </c>
      <c r="Q932" s="4">
        <v>45029</v>
      </c>
      <c r="R932" s="1" t="s">
        <v>80</v>
      </c>
      <c r="AO932" s="7">
        <v>21097</v>
      </c>
      <c r="AP932" s="5">
        <v>4.3</v>
      </c>
      <c r="AQ932" s="5">
        <v>149</v>
      </c>
      <c r="AR932" s="5">
        <v>42.6</v>
      </c>
      <c r="AS932" s="5" t="s">
        <v>76</v>
      </c>
      <c r="AT932" s="5">
        <v>24</v>
      </c>
      <c r="AU932" s="5">
        <v>29</v>
      </c>
      <c r="AV932" s="5">
        <v>40.7</v>
      </c>
      <c r="AW932" s="5">
        <v>6.7</v>
      </c>
      <c r="AX932" s="5">
        <v>62</v>
      </c>
      <c r="AY932" s="5" t="s">
        <v>125</v>
      </c>
      <c r="AZ932" s="5" t="s">
        <v>75</v>
      </c>
      <c r="BA932" s="5">
        <v>5.08</v>
      </c>
      <c r="BB932" s="12" t="s">
        <v>76</v>
      </c>
      <c r="BC932" s="5">
        <v>4.31</v>
      </c>
      <c r="BD932" s="5">
        <v>149</v>
      </c>
      <c r="BE932" s="5">
        <v>1.33</v>
      </c>
      <c r="BF932" s="5">
        <v>3.52</v>
      </c>
      <c r="BG932" s="15">
        <v>36.5</v>
      </c>
      <c r="BH932" s="5">
        <v>63</v>
      </c>
      <c r="BI932" s="5">
        <v>63</v>
      </c>
      <c r="BJ932" s="5">
        <v>18</v>
      </c>
      <c r="BK932" s="5">
        <v>120</v>
      </c>
      <c r="BL932" s="5">
        <v>80</v>
      </c>
      <c r="BM932" s="5">
        <v>79</v>
      </c>
      <c r="BN932" s="5">
        <v>170</v>
      </c>
      <c r="BO932" s="5">
        <f t="shared" si="14"/>
        <v>27.3356401384083</v>
      </c>
      <c r="BP932" s="5" t="s">
        <v>156</v>
      </c>
      <c r="BQ932" s="5">
        <v>5.5</v>
      </c>
      <c r="BR932" s="5">
        <v>943</v>
      </c>
    </row>
    <row r="933" s="1" customFormat="1" spans="1:70">
      <c r="A933" s="1" t="s">
        <v>2229</v>
      </c>
      <c r="B933" s="1" t="s">
        <v>2230</v>
      </c>
      <c r="C933" s="1">
        <v>1</v>
      </c>
      <c r="D933" s="4">
        <v>45278</v>
      </c>
      <c r="E933" s="4">
        <v>45297</v>
      </c>
      <c r="F933" s="7">
        <v>21097</v>
      </c>
      <c r="G933" s="1">
        <v>45</v>
      </c>
      <c r="H933" s="1">
        <v>14</v>
      </c>
      <c r="I933" s="1">
        <v>40</v>
      </c>
      <c r="J933" s="1">
        <v>14</v>
      </c>
      <c r="K933" s="1">
        <v>65</v>
      </c>
      <c r="L933" s="1">
        <v>35</v>
      </c>
      <c r="M933" s="1">
        <v>2.48</v>
      </c>
      <c r="N933" s="1">
        <v>29.5</v>
      </c>
      <c r="O933" s="7">
        <v>21097</v>
      </c>
      <c r="P933" s="4">
        <v>45278</v>
      </c>
      <c r="Q933" s="4">
        <v>45297</v>
      </c>
      <c r="R933" s="1" t="s">
        <v>73</v>
      </c>
      <c r="AO933" s="7">
        <v>21097</v>
      </c>
      <c r="AP933" s="5" t="s">
        <v>442</v>
      </c>
      <c r="AQ933" s="5" t="s">
        <v>1558</v>
      </c>
      <c r="AR933" s="5" t="s">
        <v>405</v>
      </c>
      <c r="AS933" s="5" t="s">
        <v>2231</v>
      </c>
      <c r="AT933" s="5" t="s">
        <v>182</v>
      </c>
      <c r="AU933" s="5" t="s">
        <v>93</v>
      </c>
      <c r="AV933" s="5" t="s">
        <v>567</v>
      </c>
      <c r="AW933" s="5" t="s">
        <v>2232</v>
      </c>
      <c r="AX933" s="5" t="s">
        <v>214</v>
      </c>
      <c r="AY933" s="5" t="s">
        <v>2233</v>
      </c>
      <c r="AZ933" s="5" t="s">
        <v>2234</v>
      </c>
      <c r="BA933" s="5" t="s">
        <v>76</v>
      </c>
      <c r="BB933" s="12" t="s">
        <v>76</v>
      </c>
      <c r="BC933" s="5" t="s">
        <v>4</v>
      </c>
      <c r="BD933" s="5" t="s">
        <v>1558</v>
      </c>
      <c r="BE933" s="5" t="s">
        <v>76</v>
      </c>
      <c r="BF933" s="5" t="s">
        <v>76</v>
      </c>
      <c r="BG933" s="15">
        <v>36</v>
      </c>
      <c r="BH933" s="5" t="s">
        <v>207</v>
      </c>
      <c r="BI933" s="5" t="s">
        <v>173</v>
      </c>
      <c r="BJ933" s="5" t="s">
        <v>246</v>
      </c>
      <c r="BK933" s="5" t="s">
        <v>572</v>
      </c>
      <c r="BL933" s="5" t="s">
        <v>483</v>
      </c>
      <c r="BM933" s="5" t="s">
        <v>96</v>
      </c>
      <c r="BN933" s="5">
        <v>159</v>
      </c>
      <c r="BO933" s="5">
        <f t="shared" si="14"/>
        <v>23.3376844270401</v>
      </c>
      <c r="BP933" s="5" t="s">
        <v>542</v>
      </c>
      <c r="BQ933" s="5" t="s">
        <v>76</v>
      </c>
      <c r="BR933" s="5">
        <v>9437</v>
      </c>
    </row>
    <row r="934" s="1" customFormat="1" spans="1:70">
      <c r="A934" s="1">
        <v>3508804</v>
      </c>
      <c r="B934" s="1" t="s">
        <v>2235</v>
      </c>
      <c r="D934" s="4">
        <v>45278</v>
      </c>
      <c r="E934" s="4">
        <v>45285</v>
      </c>
      <c r="F934" s="7">
        <v>21114</v>
      </c>
      <c r="G934" s="1">
        <v>35</v>
      </c>
      <c r="I934" s="1">
        <v>53</v>
      </c>
      <c r="J934" s="1">
        <v>9</v>
      </c>
      <c r="K934" s="1">
        <v>41</v>
      </c>
      <c r="L934" s="1">
        <v>20</v>
      </c>
      <c r="M934" s="1">
        <v>1.33</v>
      </c>
      <c r="O934" s="7">
        <v>21114</v>
      </c>
      <c r="P934" s="4">
        <v>45278</v>
      </c>
      <c r="Q934" s="4">
        <v>45285</v>
      </c>
      <c r="R934" s="1" t="s">
        <v>80</v>
      </c>
      <c r="AO934" s="7">
        <v>21114</v>
      </c>
      <c r="AP934" s="5">
        <v>9.6</v>
      </c>
      <c r="AQ934" s="5">
        <v>174</v>
      </c>
      <c r="AR934" s="5">
        <v>56</v>
      </c>
      <c r="AS934" s="5">
        <v>62</v>
      </c>
      <c r="AT934" s="5">
        <v>74</v>
      </c>
      <c r="AU934" s="5">
        <v>81</v>
      </c>
      <c r="AV934" s="5">
        <v>37.8</v>
      </c>
      <c r="AW934" s="5">
        <v>18.93</v>
      </c>
      <c r="AX934" s="5">
        <v>160</v>
      </c>
      <c r="AY934" s="5">
        <v>65.88</v>
      </c>
      <c r="AZ934" s="5" t="s">
        <v>75</v>
      </c>
      <c r="BA934" s="5">
        <v>6.12</v>
      </c>
      <c r="BB934" s="12" t="s">
        <v>76</v>
      </c>
      <c r="BC934" s="5">
        <v>4.22</v>
      </c>
      <c r="BD934" s="5">
        <v>174</v>
      </c>
      <c r="BE934" s="5" t="s">
        <v>76</v>
      </c>
      <c r="BF934" s="5" t="s">
        <v>76</v>
      </c>
      <c r="BG934" s="15">
        <v>37.4</v>
      </c>
      <c r="BH934" s="5">
        <v>92</v>
      </c>
      <c r="BI934" s="5">
        <v>92</v>
      </c>
      <c r="BJ934" s="5">
        <v>20</v>
      </c>
      <c r="BK934" s="5">
        <v>113</v>
      </c>
      <c r="BL934" s="5">
        <v>76</v>
      </c>
      <c r="BM934" s="5">
        <v>65</v>
      </c>
      <c r="BN934" s="5">
        <v>165</v>
      </c>
      <c r="BO934" s="5">
        <f t="shared" si="14"/>
        <v>23.8751147842057</v>
      </c>
      <c r="BP934" s="5" t="s">
        <v>117</v>
      </c>
      <c r="BQ934" s="5">
        <v>6.9</v>
      </c>
      <c r="BR934" s="5">
        <v>9665.27</v>
      </c>
    </row>
    <row r="935" s="1" customFormat="1" spans="1:70">
      <c r="A935" s="1">
        <v>3504344</v>
      </c>
      <c r="B935" s="1" t="s">
        <v>2236</v>
      </c>
      <c r="D935" s="4">
        <v>45272</v>
      </c>
      <c r="E935" s="4">
        <v>45280</v>
      </c>
      <c r="F935" s="7">
        <v>21125</v>
      </c>
      <c r="G935" s="1">
        <v>53</v>
      </c>
      <c r="H935" s="1">
        <v>11</v>
      </c>
      <c r="I935" s="1">
        <v>68</v>
      </c>
      <c r="J935" s="1">
        <v>10</v>
      </c>
      <c r="K935" s="1">
        <v>44</v>
      </c>
      <c r="L935" s="1">
        <v>22</v>
      </c>
      <c r="N935" s="1">
        <v>10.3</v>
      </c>
      <c r="O935" s="7">
        <v>21125</v>
      </c>
      <c r="P935" s="4">
        <v>45272</v>
      </c>
      <c r="Q935" s="4">
        <v>45280</v>
      </c>
      <c r="R935" s="1" t="s">
        <v>80</v>
      </c>
      <c r="AO935" s="7">
        <v>21125</v>
      </c>
      <c r="AP935" s="5">
        <v>5.8</v>
      </c>
      <c r="AQ935" s="5">
        <v>170</v>
      </c>
      <c r="AR935" s="5">
        <v>52.6</v>
      </c>
      <c r="AS935" s="5" t="s">
        <v>81</v>
      </c>
      <c r="AT935" s="5">
        <v>93</v>
      </c>
      <c r="AU935" s="5">
        <v>64</v>
      </c>
      <c r="AV935" s="5">
        <v>38.3</v>
      </c>
      <c r="AW935" s="5">
        <v>9.04</v>
      </c>
      <c r="AX935" s="5">
        <v>69</v>
      </c>
      <c r="AY935" s="5" t="s">
        <v>125</v>
      </c>
      <c r="AZ935" s="5" t="s">
        <v>75</v>
      </c>
      <c r="BA935" s="5">
        <v>3.19</v>
      </c>
      <c r="BB935" s="12" t="s">
        <v>76</v>
      </c>
      <c r="BC935" s="5" t="s">
        <v>4</v>
      </c>
      <c r="BD935" s="5">
        <v>170</v>
      </c>
      <c r="BE935" s="5">
        <v>0.79</v>
      </c>
      <c r="BF935" s="5">
        <v>1.87</v>
      </c>
      <c r="BG935" s="15">
        <v>36.7</v>
      </c>
      <c r="BH935" s="5">
        <v>40</v>
      </c>
      <c r="BI935" s="5">
        <v>46</v>
      </c>
      <c r="BJ935" s="5">
        <v>18</v>
      </c>
      <c r="BK935" s="5">
        <v>125</v>
      </c>
      <c r="BL935" s="5">
        <v>77</v>
      </c>
      <c r="BM935" s="5">
        <v>75</v>
      </c>
      <c r="BN935" s="5">
        <v>173</v>
      </c>
      <c r="BO935" s="5">
        <f t="shared" si="14"/>
        <v>25.0593070266297</v>
      </c>
      <c r="BP935" s="5" t="s">
        <v>78</v>
      </c>
      <c r="BQ935" s="5">
        <v>6.1</v>
      </c>
      <c r="BR935" s="5">
        <v>917</v>
      </c>
    </row>
    <row r="936" s="1" customFormat="1" spans="1:70">
      <c r="A936" s="1">
        <v>3318087</v>
      </c>
      <c r="B936" s="1" t="s">
        <v>2237</v>
      </c>
      <c r="D936" s="4">
        <v>45015</v>
      </c>
      <c r="E936" s="4">
        <v>45036</v>
      </c>
      <c r="F936" s="7">
        <v>21139</v>
      </c>
      <c r="G936" s="1">
        <v>50</v>
      </c>
      <c r="H936" s="1">
        <v>13</v>
      </c>
      <c r="I936" s="1">
        <v>40</v>
      </c>
      <c r="J936" s="1">
        <v>12</v>
      </c>
      <c r="K936" s="1">
        <v>68</v>
      </c>
      <c r="L936" s="1">
        <v>38</v>
      </c>
      <c r="N936" s="1">
        <v>8.5</v>
      </c>
      <c r="O936" s="7">
        <v>21139</v>
      </c>
      <c r="P936" s="4">
        <v>45015</v>
      </c>
      <c r="Q936" s="4">
        <v>45036</v>
      </c>
      <c r="R936" s="1" t="s">
        <v>80</v>
      </c>
      <c r="AO936" s="7">
        <v>21139</v>
      </c>
      <c r="AP936" s="5">
        <v>8.1</v>
      </c>
      <c r="AQ936" s="5">
        <v>169</v>
      </c>
      <c r="AR936" s="5">
        <v>52.1</v>
      </c>
      <c r="AS936" s="5" t="s">
        <v>81</v>
      </c>
      <c r="AT936" s="5">
        <v>18</v>
      </c>
      <c r="AU936" s="5">
        <v>17</v>
      </c>
      <c r="AV936" s="5">
        <v>50.4</v>
      </c>
      <c r="AW936" s="5">
        <v>7.53</v>
      </c>
      <c r="AX936" s="5">
        <v>91</v>
      </c>
      <c r="AY936" s="5">
        <v>92.1</v>
      </c>
      <c r="AZ936" s="5">
        <v>8.34</v>
      </c>
      <c r="BA936" s="5">
        <v>4</v>
      </c>
      <c r="BB936" s="12" t="s">
        <v>76</v>
      </c>
      <c r="BC936" s="5">
        <v>4.3</v>
      </c>
      <c r="BD936" s="5">
        <v>169</v>
      </c>
      <c r="BE936" s="5">
        <v>1.1</v>
      </c>
      <c r="BF936" s="5">
        <v>2.28</v>
      </c>
      <c r="BG936" s="15">
        <v>36.7</v>
      </c>
      <c r="BH936" s="5">
        <v>60</v>
      </c>
      <c r="BI936" s="5">
        <v>60</v>
      </c>
      <c r="BJ936" s="5">
        <v>18</v>
      </c>
      <c r="BK936" s="5">
        <v>140</v>
      </c>
      <c r="BL936" s="5">
        <v>90</v>
      </c>
      <c r="BM936" s="5">
        <v>84</v>
      </c>
      <c r="BN936" s="5">
        <v>182</v>
      </c>
      <c r="BO936" s="5">
        <f t="shared" si="14"/>
        <v>25.3592561284869</v>
      </c>
      <c r="BP936" s="5" t="s">
        <v>457</v>
      </c>
      <c r="BQ936" s="5">
        <v>6.9</v>
      </c>
      <c r="BR936" s="5">
        <v>2093</v>
      </c>
    </row>
    <row r="937" s="1" customFormat="1" spans="1:70">
      <c r="A937" s="1">
        <v>3328326</v>
      </c>
      <c r="B937" s="1" t="s">
        <v>2238</v>
      </c>
      <c r="D937" s="4">
        <v>45029</v>
      </c>
      <c r="E937" s="4">
        <v>45040</v>
      </c>
      <c r="F937" s="7">
        <v>21146</v>
      </c>
      <c r="G937" s="1">
        <v>39</v>
      </c>
      <c r="H937" s="1">
        <v>10</v>
      </c>
      <c r="I937" s="1">
        <v>53</v>
      </c>
      <c r="J937" s="1">
        <v>10</v>
      </c>
      <c r="K937" s="1">
        <v>57</v>
      </c>
      <c r="L937" s="1">
        <v>30</v>
      </c>
      <c r="M937" s="1">
        <v>0.72</v>
      </c>
      <c r="N937" s="1">
        <v>11.2</v>
      </c>
      <c r="O937" s="7">
        <v>21146</v>
      </c>
      <c r="P937" s="4">
        <v>45029</v>
      </c>
      <c r="Q937" s="4">
        <v>45040</v>
      </c>
      <c r="R937" s="1" t="s">
        <v>80</v>
      </c>
      <c r="S937" s="1">
        <v>65</v>
      </c>
      <c r="T937" s="1" t="s">
        <v>2239</v>
      </c>
      <c r="V937" s="1" t="s">
        <v>155</v>
      </c>
      <c r="AA937" s="1" t="s">
        <v>155</v>
      </c>
      <c r="AN937" s="1">
        <v>1</v>
      </c>
      <c r="AO937" s="7">
        <v>21146</v>
      </c>
      <c r="AP937" s="5">
        <v>8.9</v>
      </c>
      <c r="AQ937" s="5">
        <v>88</v>
      </c>
      <c r="AR937" s="5">
        <v>37.5</v>
      </c>
      <c r="AS937" s="5">
        <v>91.8</v>
      </c>
      <c r="AT937" s="5">
        <v>53</v>
      </c>
      <c r="AU937" s="5">
        <v>78</v>
      </c>
      <c r="AV937" s="5">
        <v>42.8</v>
      </c>
      <c r="AW937" s="5">
        <v>8.86</v>
      </c>
      <c r="AX937" s="5">
        <v>217</v>
      </c>
      <c r="AY937" s="5">
        <v>42.01</v>
      </c>
      <c r="AZ937" s="5">
        <v>6.4</v>
      </c>
      <c r="BA937" s="5">
        <v>4.91</v>
      </c>
      <c r="BB937" s="12" t="s">
        <v>76</v>
      </c>
      <c r="BC937" s="5" t="s">
        <v>4</v>
      </c>
      <c r="BD937" s="5">
        <v>88</v>
      </c>
      <c r="BE937" s="5">
        <v>0.68</v>
      </c>
      <c r="BF937" s="5">
        <v>2.84</v>
      </c>
      <c r="BG937" s="15">
        <v>36.8</v>
      </c>
      <c r="BH937" s="5">
        <v>76</v>
      </c>
      <c r="BI937" s="5">
        <v>76</v>
      </c>
      <c r="BJ937" s="5">
        <v>23</v>
      </c>
      <c r="BK937" s="5">
        <v>134</v>
      </c>
      <c r="BL937" s="5">
        <v>66</v>
      </c>
      <c r="BM937" s="5">
        <v>70</v>
      </c>
      <c r="BN937" s="5">
        <v>170</v>
      </c>
      <c r="BO937" s="5">
        <f t="shared" si="14"/>
        <v>24.2214532871972</v>
      </c>
      <c r="BP937" s="5" t="s">
        <v>168</v>
      </c>
      <c r="BQ937" s="5" t="s">
        <v>76</v>
      </c>
      <c r="BR937" s="5">
        <v>2997</v>
      </c>
    </row>
    <row r="938" s="1" customFormat="1" spans="1:70">
      <c r="A938" s="1" t="s">
        <v>2240</v>
      </c>
      <c r="B938" s="1" t="s">
        <v>2241</v>
      </c>
      <c r="D938" s="4">
        <v>44921</v>
      </c>
      <c r="E938" s="4">
        <v>44939</v>
      </c>
      <c r="F938" s="7">
        <v>21155</v>
      </c>
      <c r="G938" s="1">
        <v>39</v>
      </c>
      <c r="H938" s="1">
        <v>10</v>
      </c>
      <c r="I938" s="1">
        <v>46</v>
      </c>
      <c r="J938" s="1">
        <v>10</v>
      </c>
      <c r="K938" s="1">
        <v>53</v>
      </c>
      <c r="L938" s="1">
        <v>28</v>
      </c>
      <c r="M938" s="1">
        <v>0.75</v>
      </c>
      <c r="N938" s="1">
        <v>7.6</v>
      </c>
      <c r="O938" s="7">
        <v>21155</v>
      </c>
      <c r="P938" s="4">
        <v>44921</v>
      </c>
      <c r="Q938" s="4">
        <v>44939</v>
      </c>
      <c r="R938" s="1" t="s">
        <v>73</v>
      </c>
      <c r="AO938" s="7">
        <v>21155</v>
      </c>
      <c r="AP938" s="5" t="s">
        <v>1300</v>
      </c>
      <c r="AQ938" s="5" t="s">
        <v>89</v>
      </c>
      <c r="AR938" s="5" t="s">
        <v>490</v>
      </c>
      <c r="AS938" s="5" t="s">
        <v>844</v>
      </c>
      <c r="AT938" s="5" t="s">
        <v>309</v>
      </c>
      <c r="AU938" s="5" t="s">
        <v>171</v>
      </c>
      <c r="AV938" s="5" t="s">
        <v>241</v>
      </c>
      <c r="AW938" s="5" t="s">
        <v>2242</v>
      </c>
      <c r="AX938" s="5" t="s">
        <v>658</v>
      </c>
      <c r="AY938" s="5" t="s">
        <v>2243</v>
      </c>
      <c r="AZ938" s="5" t="s">
        <v>75</v>
      </c>
      <c r="BA938" s="5" t="s">
        <v>2244</v>
      </c>
      <c r="BB938" s="12" t="s">
        <v>76</v>
      </c>
      <c r="BC938" s="5" t="s">
        <v>1032</v>
      </c>
      <c r="BD938" s="5" t="s">
        <v>89</v>
      </c>
      <c r="BE938" s="5" t="s">
        <v>2245</v>
      </c>
      <c r="BF938" s="5" t="s">
        <v>1236</v>
      </c>
      <c r="BG938" s="15">
        <v>36.7</v>
      </c>
      <c r="BH938" s="5" t="s">
        <v>137</v>
      </c>
      <c r="BI938" s="5" t="s">
        <v>137</v>
      </c>
      <c r="BJ938" s="5" t="s">
        <v>193</v>
      </c>
      <c r="BK938" s="5" t="s">
        <v>350</v>
      </c>
      <c r="BL938" s="5" t="s">
        <v>425</v>
      </c>
      <c r="BM938" s="5" t="s">
        <v>425</v>
      </c>
      <c r="BN938" s="5">
        <v>165</v>
      </c>
      <c r="BO938" s="5">
        <f t="shared" si="14"/>
        <v>25.7116620752984</v>
      </c>
      <c r="BP938" s="5" t="s">
        <v>501</v>
      </c>
      <c r="BQ938" s="5" t="s">
        <v>76</v>
      </c>
      <c r="BR938" s="5">
        <v>9060</v>
      </c>
    </row>
    <row r="939" s="1" customFormat="1" spans="1:70">
      <c r="A939" s="1" t="s">
        <v>2246</v>
      </c>
      <c r="B939" s="1" t="s">
        <v>2247</v>
      </c>
      <c r="D939" s="4">
        <v>45264</v>
      </c>
      <c r="E939" s="4">
        <v>45274</v>
      </c>
      <c r="F939" s="7">
        <v>21155</v>
      </c>
      <c r="G939" s="1">
        <v>39</v>
      </c>
      <c r="H939" s="1">
        <v>9</v>
      </c>
      <c r="I939" s="1">
        <v>48</v>
      </c>
      <c r="J939" s="1">
        <v>9</v>
      </c>
      <c r="K939" s="1">
        <v>61</v>
      </c>
      <c r="L939" s="1">
        <v>33</v>
      </c>
      <c r="M939" s="1">
        <v>1.19</v>
      </c>
      <c r="N939" s="1">
        <v>17.7</v>
      </c>
      <c r="O939" s="7">
        <v>21155</v>
      </c>
      <c r="P939" s="4">
        <v>45264</v>
      </c>
      <c r="Q939" s="4">
        <v>45274</v>
      </c>
      <c r="R939" s="1" t="s">
        <v>73</v>
      </c>
      <c r="AO939" s="7">
        <v>21155</v>
      </c>
      <c r="AP939" s="5" t="s">
        <v>2248</v>
      </c>
      <c r="AQ939" s="5" t="s">
        <v>137</v>
      </c>
      <c r="AR939" s="5" t="s">
        <v>2249</v>
      </c>
      <c r="AS939" s="5" t="s">
        <v>608</v>
      </c>
      <c r="AT939" s="5" t="s">
        <v>769</v>
      </c>
      <c r="AU939" s="5" t="s">
        <v>171</v>
      </c>
      <c r="AV939" s="5" t="s">
        <v>989</v>
      </c>
      <c r="AW939" s="5" t="s">
        <v>289</v>
      </c>
      <c r="AX939" s="5" t="s">
        <v>2250</v>
      </c>
      <c r="AY939" s="5" t="s">
        <v>2251</v>
      </c>
      <c r="AZ939" s="5" t="s">
        <v>136</v>
      </c>
      <c r="BA939" s="5" t="s">
        <v>76</v>
      </c>
      <c r="BB939" s="12" t="s">
        <v>76</v>
      </c>
      <c r="BC939" s="5" t="s">
        <v>4</v>
      </c>
      <c r="BD939" s="5" t="s">
        <v>137</v>
      </c>
      <c r="BE939" s="5" t="s">
        <v>76</v>
      </c>
      <c r="BF939" s="5" t="s">
        <v>76</v>
      </c>
      <c r="BG939" s="15">
        <v>36.2</v>
      </c>
      <c r="BH939" s="5" t="s">
        <v>760</v>
      </c>
      <c r="BI939" s="5" t="s">
        <v>760</v>
      </c>
      <c r="BJ939" s="5" t="s">
        <v>246</v>
      </c>
      <c r="BK939" s="5" t="s">
        <v>473</v>
      </c>
      <c r="BL939" s="5" t="s">
        <v>614</v>
      </c>
      <c r="BM939" s="5" t="s">
        <v>96</v>
      </c>
      <c r="BN939" s="5">
        <v>163</v>
      </c>
      <c r="BO939" s="5">
        <f t="shared" si="14"/>
        <v>22.206330686138</v>
      </c>
      <c r="BP939" s="5" t="s">
        <v>1167</v>
      </c>
      <c r="BQ939" s="5" t="s">
        <v>76</v>
      </c>
      <c r="BR939" s="5">
        <v>2355</v>
      </c>
    </row>
    <row r="940" s="1" customFormat="1" spans="1:70">
      <c r="A940" s="1">
        <v>3479263</v>
      </c>
      <c r="B940" s="1" t="s">
        <v>2252</v>
      </c>
      <c r="D940" s="4">
        <v>45238</v>
      </c>
      <c r="E940" s="4">
        <v>45286</v>
      </c>
      <c r="F940" s="7">
        <v>21170</v>
      </c>
      <c r="G940" s="1">
        <v>40</v>
      </c>
      <c r="H940" s="1">
        <v>8</v>
      </c>
      <c r="I940" s="1">
        <v>48</v>
      </c>
      <c r="J940" s="1">
        <v>8</v>
      </c>
      <c r="K940" s="1">
        <v>56</v>
      </c>
      <c r="L940" s="1">
        <v>31</v>
      </c>
      <c r="M940" s="1">
        <v>0.73</v>
      </c>
      <c r="N940" s="1">
        <v>10.7</v>
      </c>
      <c r="O940" s="7">
        <v>21170</v>
      </c>
      <c r="P940" s="4">
        <v>45238</v>
      </c>
      <c r="Q940" s="4">
        <v>45286</v>
      </c>
      <c r="R940" s="1" t="s">
        <v>80</v>
      </c>
      <c r="S940" s="1">
        <v>65</v>
      </c>
      <c r="T940" s="1" t="s">
        <v>2253</v>
      </c>
      <c r="Z940" s="1">
        <v>1</v>
      </c>
      <c r="AG940" s="1">
        <v>1</v>
      </c>
      <c r="AH940" s="1">
        <v>1</v>
      </c>
      <c r="AI940" s="1">
        <v>1</v>
      </c>
      <c r="AO940" s="7">
        <v>21170</v>
      </c>
      <c r="AP940" s="5">
        <v>9</v>
      </c>
      <c r="AQ940" s="5">
        <v>98</v>
      </c>
      <c r="AR940" s="5">
        <v>46.2</v>
      </c>
      <c r="AS940" s="5">
        <v>80</v>
      </c>
      <c r="AT940" s="5">
        <v>65</v>
      </c>
      <c r="AU940" s="5">
        <v>89</v>
      </c>
      <c r="AV940" s="5">
        <v>42.4</v>
      </c>
      <c r="AW940" s="5">
        <v>9.24</v>
      </c>
      <c r="AX940" s="5">
        <v>75</v>
      </c>
      <c r="AY940" s="5" t="s">
        <v>125</v>
      </c>
      <c r="AZ940" s="5" t="s">
        <v>75</v>
      </c>
      <c r="BA940" s="5">
        <v>4.94</v>
      </c>
      <c r="BB940" s="12" t="s">
        <v>76</v>
      </c>
      <c r="BC940" s="5">
        <v>4.59</v>
      </c>
      <c r="BD940" s="5">
        <v>98</v>
      </c>
      <c r="BE940" s="5">
        <v>0.8</v>
      </c>
      <c r="BF940" s="5">
        <v>2.74</v>
      </c>
      <c r="BG940" s="15">
        <v>36.2</v>
      </c>
      <c r="BH940" s="5">
        <v>52</v>
      </c>
      <c r="BI940" s="5">
        <v>52</v>
      </c>
      <c r="BJ940" s="5">
        <v>18</v>
      </c>
      <c r="BK940" s="5">
        <v>151</v>
      </c>
      <c r="BL940" s="5">
        <v>90</v>
      </c>
      <c r="BM940" s="5">
        <v>70</v>
      </c>
      <c r="BN940" s="5">
        <v>165</v>
      </c>
      <c r="BO940" s="5">
        <f t="shared" si="14"/>
        <v>25.7116620752984</v>
      </c>
      <c r="BP940" s="5" t="s">
        <v>639</v>
      </c>
      <c r="BQ940" s="5">
        <v>5.8</v>
      </c>
      <c r="BR940" s="5">
        <v>953</v>
      </c>
    </row>
    <row r="941" s="1" customFormat="1" spans="1:70">
      <c r="A941" s="1">
        <v>3268596</v>
      </c>
      <c r="B941" s="1" t="s">
        <v>2254</v>
      </c>
      <c r="D941" s="4">
        <v>44944</v>
      </c>
      <c r="E941" s="4">
        <v>44950</v>
      </c>
      <c r="F941" s="7">
        <v>21177</v>
      </c>
      <c r="G941" s="1">
        <v>30</v>
      </c>
      <c r="H941" s="1">
        <v>8</v>
      </c>
      <c r="I941" s="1">
        <v>39</v>
      </c>
      <c r="J941" s="1">
        <v>8</v>
      </c>
      <c r="K941" s="1">
        <v>66</v>
      </c>
      <c r="L941" s="1">
        <v>35</v>
      </c>
      <c r="M941" s="1">
        <v>1.11</v>
      </c>
      <c r="O941" s="7">
        <v>21177</v>
      </c>
      <c r="P941" s="4">
        <v>44944</v>
      </c>
      <c r="Q941" s="4">
        <v>44950</v>
      </c>
      <c r="R941" s="1" t="s">
        <v>73</v>
      </c>
      <c r="AO941" s="7">
        <v>21177</v>
      </c>
      <c r="AP941" s="5">
        <v>6.1</v>
      </c>
      <c r="AQ941" s="5">
        <v>98</v>
      </c>
      <c r="AR941" s="5">
        <v>35</v>
      </c>
      <c r="AS941" s="5">
        <v>82.6</v>
      </c>
      <c r="AT941" s="5">
        <v>81</v>
      </c>
      <c r="AU941" s="5">
        <v>799</v>
      </c>
      <c r="AV941" s="5">
        <v>33.8</v>
      </c>
      <c r="AW941" s="5">
        <v>31.64</v>
      </c>
      <c r="AX941" s="5">
        <v>290</v>
      </c>
      <c r="AY941" s="5">
        <v>19.72</v>
      </c>
      <c r="AZ941" s="5" t="s">
        <v>2255</v>
      </c>
      <c r="BA941" s="5" t="s">
        <v>76</v>
      </c>
      <c r="BB941" s="12" t="s">
        <v>76</v>
      </c>
      <c r="BC941" s="5">
        <v>5.36</v>
      </c>
      <c r="BD941" s="5">
        <v>98</v>
      </c>
      <c r="BE941" s="5" t="s">
        <v>76</v>
      </c>
      <c r="BF941" s="5" t="s">
        <v>76</v>
      </c>
      <c r="BG941" s="15">
        <v>36.5</v>
      </c>
      <c r="BH941" s="5" t="s">
        <v>76</v>
      </c>
      <c r="BI941" s="5">
        <v>76</v>
      </c>
      <c r="BJ941" s="5">
        <v>18</v>
      </c>
      <c r="BK941" s="5">
        <v>112</v>
      </c>
      <c r="BL941" s="5">
        <v>51</v>
      </c>
      <c r="BM941" s="5" t="s">
        <v>77</v>
      </c>
      <c r="BN941" s="5" t="s">
        <v>77</v>
      </c>
      <c r="BO941" s="5" t="e">
        <f t="shared" si="14"/>
        <v>#VALUE!</v>
      </c>
      <c r="BP941" s="5" t="s">
        <v>117</v>
      </c>
      <c r="BQ941" s="5" t="s">
        <v>76</v>
      </c>
      <c r="BR941" s="5">
        <v>8892</v>
      </c>
    </row>
    <row r="942" s="1" customFormat="1" spans="1:70">
      <c r="A942" s="1">
        <v>3304427</v>
      </c>
      <c r="B942" s="1" t="s">
        <v>2256</v>
      </c>
      <c r="D942" s="4">
        <v>44997</v>
      </c>
      <c r="E942" s="4">
        <v>45039</v>
      </c>
      <c r="F942" s="7">
        <v>21191</v>
      </c>
      <c r="G942" s="1">
        <v>57</v>
      </c>
      <c r="H942" s="1">
        <v>10</v>
      </c>
      <c r="I942" s="1">
        <v>53</v>
      </c>
      <c r="J942" s="1">
        <v>10</v>
      </c>
      <c r="K942" s="1">
        <v>50</v>
      </c>
      <c r="L942" s="1">
        <v>25</v>
      </c>
      <c r="M942" s="1">
        <v>2.16</v>
      </c>
      <c r="N942" s="1">
        <v>25.9</v>
      </c>
      <c r="O942" s="7">
        <v>21191</v>
      </c>
      <c r="P942" s="4">
        <v>44997</v>
      </c>
      <c r="Q942" s="4">
        <v>45039</v>
      </c>
      <c r="R942" s="1" t="s">
        <v>80</v>
      </c>
      <c r="AO942" s="7">
        <v>21191</v>
      </c>
      <c r="AP942" s="5">
        <v>9.6</v>
      </c>
      <c r="AQ942" s="5">
        <v>99</v>
      </c>
      <c r="AR942" s="5">
        <v>45.9</v>
      </c>
      <c r="AS942" s="5">
        <v>98.8</v>
      </c>
      <c r="AT942" s="5">
        <v>95</v>
      </c>
      <c r="AU942" s="5">
        <v>96</v>
      </c>
      <c r="AV942" s="5">
        <v>42.1</v>
      </c>
      <c r="AW942" s="5">
        <v>9.03</v>
      </c>
      <c r="AX942" s="5">
        <v>99</v>
      </c>
      <c r="AY942" s="5">
        <v>79.1</v>
      </c>
      <c r="AZ942" s="5" t="s">
        <v>75</v>
      </c>
      <c r="BA942" s="5">
        <v>2.44</v>
      </c>
      <c r="BB942" s="12" t="s">
        <v>76</v>
      </c>
      <c r="BC942" s="5">
        <v>5.09</v>
      </c>
      <c r="BD942" s="5">
        <v>99</v>
      </c>
      <c r="BE942" s="5" t="s">
        <v>76</v>
      </c>
      <c r="BF942" s="5" t="s">
        <v>76</v>
      </c>
      <c r="BG942" s="15">
        <v>36.5</v>
      </c>
      <c r="BH942" s="5">
        <v>80</v>
      </c>
      <c r="BI942" s="5">
        <v>80</v>
      </c>
      <c r="BJ942" s="5">
        <v>18</v>
      </c>
      <c r="BK942" s="5">
        <v>130</v>
      </c>
      <c r="BL942" s="5">
        <v>80</v>
      </c>
      <c r="BM942" s="5">
        <v>72</v>
      </c>
      <c r="BN942" s="5">
        <v>156</v>
      </c>
      <c r="BO942" s="5">
        <f t="shared" si="14"/>
        <v>29.585798816568</v>
      </c>
      <c r="BP942" s="5" t="s">
        <v>1450</v>
      </c>
      <c r="BQ942" s="5" t="s">
        <v>76</v>
      </c>
      <c r="BR942" s="5">
        <v>8290</v>
      </c>
    </row>
    <row r="943" s="1" customFormat="1" spans="1:70">
      <c r="A943" s="1">
        <v>3257854</v>
      </c>
      <c r="B943" s="1" t="s">
        <v>2257</v>
      </c>
      <c r="D943" s="4">
        <v>44924</v>
      </c>
      <c r="E943" s="4">
        <v>44932</v>
      </c>
      <c r="F943" s="7">
        <v>21210</v>
      </c>
      <c r="G943" s="1">
        <v>46</v>
      </c>
      <c r="H943" s="1">
        <v>10</v>
      </c>
      <c r="I943" s="1">
        <v>61</v>
      </c>
      <c r="J943" s="1">
        <v>9</v>
      </c>
      <c r="K943" s="1">
        <v>47</v>
      </c>
      <c r="L943" s="1">
        <v>24</v>
      </c>
      <c r="M943" s="1">
        <v>0.81</v>
      </c>
      <c r="N943" s="1">
        <v>19.6</v>
      </c>
      <c r="O943" s="7">
        <v>21210</v>
      </c>
      <c r="P943" s="4">
        <v>44924</v>
      </c>
      <c r="Q943" s="4">
        <v>44932</v>
      </c>
      <c r="R943" s="1" t="s">
        <v>80</v>
      </c>
      <c r="AO943" s="7">
        <v>21210</v>
      </c>
      <c r="AP943" s="5">
        <v>4.6</v>
      </c>
      <c r="AQ943" s="5">
        <v>138</v>
      </c>
      <c r="AR943" s="5">
        <v>43</v>
      </c>
      <c r="AS943" s="5" t="s">
        <v>76</v>
      </c>
      <c r="AT943" s="5">
        <v>21</v>
      </c>
      <c r="AU943" s="5">
        <v>26</v>
      </c>
      <c r="AV943" s="5">
        <v>36.2</v>
      </c>
      <c r="AW943" s="5">
        <v>6.11</v>
      </c>
      <c r="AX943" s="5">
        <v>53</v>
      </c>
      <c r="AY943" s="5" t="s">
        <v>76</v>
      </c>
      <c r="AZ943" s="5">
        <v>5.56</v>
      </c>
      <c r="BA943" s="5" t="s">
        <v>76</v>
      </c>
      <c r="BB943" s="12" t="s">
        <v>76</v>
      </c>
      <c r="BC943" s="5">
        <v>3.83</v>
      </c>
      <c r="BD943" s="5">
        <v>138</v>
      </c>
      <c r="BE943" s="5" t="s">
        <v>76</v>
      </c>
      <c r="BF943" s="5" t="s">
        <v>76</v>
      </c>
      <c r="BG943" s="15">
        <v>36.5</v>
      </c>
      <c r="BH943" s="5">
        <v>63</v>
      </c>
      <c r="BI943" s="5" t="s">
        <v>76</v>
      </c>
      <c r="BJ943" s="5">
        <v>18</v>
      </c>
      <c r="BK943" s="5">
        <v>135</v>
      </c>
      <c r="BL943" s="5">
        <v>65</v>
      </c>
      <c r="BM943" s="5">
        <v>80</v>
      </c>
      <c r="BN943" s="5">
        <v>170</v>
      </c>
      <c r="BO943" s="5">
        <f t="shared" si="14"/>
        <v>27.681660899654</v>
      </c>
      <c r="BP943" s="5" t="s">
        <v>107</v>
      </c>
      <c r="BQ943" s="5" t="s">
        <v>76</v>
      </c>
      <c r="BR943" s="5">
        <v>1162</v>
      </c>
    </row>
    <row r="944" s="1" customFormat="1" spans="1:70">
      <c r="A944" s="1">
        <v>3295459</v>
      </c>
      <c r="B944" s="1" t="s">
        <v>2258</v>
      </c>
      <c r="D944" s="4">
        <v>44985</v>
      </c>
      <c r="E944" s="4">
        <v>44992</v>
      </c>
      <c r="F944" s="7">
        <v>21222</v>
      </c>
      <c r="G944" s="1">
        <v>45</v>
      </c>
      <c r="H944" s="1">
        <v>9</v>
      </c>
      <c r="I944" s="1">
        <v>48</v>
      </c>
      <c r="J944" s="1">
        <v>9</v>
      </c>
      <c r="K944" s="1">
        <v>62</v>
      </c>
      <c r="L944" s="1">
        <v>33</v>
      </c>
      <c r="N944" s="1">
        <v>9.9</v>
      </c>
      <c r="O944" s="7">
        <v>21222</v>
      </c>
      <c r="P944" s="4">
        <v>44985</v>
      </c>
      <c r="Q944" s="4">
        <v>44992</v>
      </c>
      <c r="R944" s="1" t="s">
        <v>80</v>
      </c>
      <c r="AO944" s="7">
        <v>21222</v>
      </c>
      <c r="AP944" s="5">
        <v>11</v>
      </c>
      <c r="AQ944" s="5">
        <v>168</v>
      </c>
      <c r="AR944" s="5">
        <v>53.7</v>
      </c>
      <c r="AS944" s="5">
        <v>5.5</v>
      </c>
      <c r="AT944" s="5">
        <v>25</v>
      </c>
      <c r="AU944" s="5">
        <v>41</v>
      </c>
      <c r="AV944" s="5">
        <v>46.4</v>
      </c>
      <c r="AW944" s="5">
        <v>9.04</v>
      </c>
      <c r="AX944" s="5">
        <v>71</v>
      </c>
      <c r="AY944" s="5" t="s">
        <v>125</v>
      </c>
      <c r="AZ944" s="5">
        <v>6.43</v>
      </c>
      <c r="BA944" s="5" t="s">
        <v>76</v>
      </c>
      <c r="BB944" s="12" t="s">
        <v>76</v>
      </c>
      <c r="BC944" s="5">
        <v>4.41</v>
      </c>
      <c r="BD944" s="5">
        <v>168</v>
      </c>
      <c r="BE944" s="5" t="s">
        <v>76</v>
      </c>
      <c r="BF944" s="5" t="s">
        <v>76</v>
      </c>
      <c r="BG944" s="15">
        <v>36.7</v>
      </c>
      <c r="BH944" s="5">
        <v>85</v>
      </c>
      <c r="BI944" s="5" t="s">
        <v>76</v>
      </c>
      <c r="BJ944" s="5">
        <v>18</v>
      </c>
      <c r="BK944" s="5">
        <v>133</v>
      </c>
      <c r="BL944" s="5">
        <v>80</v>
      </c>
      <c r="BM944" s="5">
        <v>70</v>
      </c>
      <c r="BN944" s="5">
        <v>167</v>
      </c>
      <c r="BO944" s="5">
        <f t="shared" si="14"/>
        <v>25.0995015956112</v>
      </c>
      <c r="BP944" s="5" t="s">
        <v>109</v>
      </c>
      <c r="BQ944" s="5">
        <v>6.3</v>
      </c>
      <c r="BR944" s="5">
        <v>924</v>
      </c>
    </row>
    <row r="945" s="1" customFormat="1" spans="1:70">
      <c r="A945" s="1" t="s">
        <v>2259</v>
      </c>
      <c r="B945" s="1" t="s">
        <v>2260</v>
      </c>
      <c r="D945" s="4">
        <v>45266</v>
      </c>
      <c r="E945" s="4">
        <v>45281</v>
      </c>
      <c r="F945" s="7">
        <v>21227</v>
      </c>
      <c r="G945" s="1">
        <v>46</v>
      </c>
      <c r="H945" s="1">
        <v>10</v>
      </c>
      <c r="I945" s="1">
        <v>53</v>
      </c>
      <c r="J945" s="1">
        <v>9</v>
      </c>
      <c r="K945" s="1">
        <v>58</v>
      </c>
      <c r="L945" s="1">
        <v>31</v>
      </c>
      <c r="M945" s="1">
        <v>1.22</v>
      </c>
      <c r="N945" s="1">
        <v>14.5</v>
      </c>
      <c r="O945" s="7">
        <v>21227</v>
      </c>
      <c r="P945" s="4">
        <v>45266</v>
      </c>
      <c r="Q945" s="4">
        <v>45281</v>
      </c>
      <c r="R945" s="1" t="s">
        <v>80</v>
      </c>
      <c r="AO945" s="7">
        <v>21227</v>
      </c>
      <c r="AP945" s="5" t="s">
        <v>2261</v>
      </c>
      <c r="AQ945" s="5" t="s">
        <v>658</v>
      </c>
      <c r="AR945" s="5" t="s">
        <v>2262</v>
      </c>
      <c r="AS945" s="5" t="s">
        <v>374</v>
      </c>
      <c r="AT945" s="5" t="s">
        <v>649</v>
      </c>
      <c r="AU945" s="5" t="s">
        <v>407</v>
      </c>
      <c r="AV945" s="5" t="s">
        <v>1841</v>
      </c>
      <c r="AW945" s="5" t="s">
        <v>1084</v>
      </c>
      <c r="AX945" s="5" t="s">
        <v>468</v>
      </c>
      <c r="AY945" s="5" t="s">
        <v>125</v>
      </c>
      <c r="AZ945" s="5" t="s">
        <v>75</v>
      </c>
      <c r="BA945" s="5" t="s">
        <v>76</v>
      </c>
      <c r="BB945" s="12" t="s">
        <v>76</v>
      </c>
      <c r="BC945" s="5" t="s">
        <v>4</v>
      </c>
      <c r="BD945" s="5" t="s">
        <v>658</v>
      </c>
      <c r="BE945" s="5" t="s">
        <v>76</v>
      </c>
      <c r="BF945" s="5" t="s">
        <v>76</v>
      </c>
      <c r="BG945" s="15">
        <v>36.5</v>
      </c>
      <c r="BH945" s="5" t="s">
        <v>233</v>
      </c>
      <c r="BI945" s="5" t="s">
        <v>233</v>
      </c>
      <c r="BJ945" s="5" t="s">
        <v>525</v>
      </c>
      <c r="BK945" s="5" t="s">
        <v>201</v>
      </c>
      <c r="BL945" s="5" t="s">
        <v>228</v>
      </c>
      <c r="BM945" s="5" t="s">
        <v>215</v>
      </c>
      <c r="BN945" s="5">
        <v>155</v>
      </c>
      <c r="BO945" s="5">
        <f t="shared" si="14"/>
        <v>24.9739854318418</v>
      </c>
      <c r="BP945" s="5" t="s">
        <v>542</v>
      </c>
      <c r="BQ945" s="5" t="s">
        <v>76</v>
      </c>
      <c r="BR945" s="5">
        <v>6722</v>
      </c>
    </row>
    <row r="946" s="1" customFormat="1" spans="1:70">
      <c r="A946" s="1">
        <v>3323199</v>
      </c>
      <c r="B946" s="1" t="s">
        <v>2263</v>
      </c>
      <c r="D946" s="4">
        <v>45022</v>
      </c>
      <c r="E946" s="4">
        <v>45025</v>
      </c>
      <c r="F946" s="7">
        <v>21254</v>
      </c>
      <c r="G946" s="1">
        <v>32</v>
      </c>
      <c r="H946" s="1">
        <v>8</v>
      </c>
      <c r="I946" s="1">
        <v>44</v>
      </c>
      <c r="J946" s="1">
        <v>8</v>
      </c>
      <c r="K946" s="1">
        <v>70</v>
      </c>
      <c r="L946" s="1">
        <v>40</v>
      </c>
      <c r="M946" s="1">
        <v>0.77</v>
      </c>
      <c r="O946" s="7">
        <v>21254</v>
      </c>
      <c r="P946" s="4">
        <v>45022</v>
      </c>
      <c r="Q946" s="4">
        <v>45025</v>
      </c>
      <c r="R946" s="1" t="s">
        <v>73</v>
      </c>
      <c r="AO946" s="7">
        <v>21254</v>
      </c>
      <c r="AP946" s="5">
        <v>26.6</v>
      </c>
      <c r="AQ946" s="5">
        <v>87</v>
      </c>
      <c r="AR946" s="5">
        <v>37.3</v>
      </c>
      <c r="AS946" s="5">
        <v>260.8</v>
      </c>
      <c r="AT946" s="5">
        <v>23</v>
      </c>
      <c r="AU946" s="5">
        <v>30</v>
      </c>
      <c r="AV946" s="5">
        <v>24.9</v>
      </c>
      <c r="AW946" s="5">
        <v>25.95</v>
      </c>
      <c r="AX946" s="5">
        <v>251</v>
      </c>
      <c r="AY946" s="5">
        <v>31.89</v>
      </c>
      <c r="AZ946" s="5">
        <v>9.6</v>
      </c>
      <c r="BA946" s="5" t="s">
        <v>76</v>
      </c>
      <c r="BB946" s="12" t="s">
        <v>76</v>
      </c>
      <c r="BC946" s="5">
        <v>4.8</v>
      </c>
      <c r="BD946" s="5">
        <v>87</v>
      </c>
      <c r="BE946" s="5" t="s">
        <v>76</v>
      </c>
      <c r="BF946" s="5" t="s">
        <v>76</v>
      </c>
      <c r="BG946" s="15">
        <v>37</v>
      </c>
      <c r="BH946" s="5">
        <v>128</v>
      </c>
      <c r="BI946" s="5">
        <v>128</v>
      </c>
      <c r="BJ946" s="5">
        <v>22</v>
      </c>
      <c r="BK946" s="5">
        <v>128</v>
      </c>
      <c r="BL946" s="5">
        <v>60</v>
      </c>
      <c r="BM946" s="5" t="s">
        <v>77</v>
      </c>
      <c r="BN946" s="5" t="s">
        <v>77</v>
      </c>
      <c r="BO946" s="5" t="e">
        <f t="shared" si="14"/>
        <v>#VALUE!</v>
      </c>
      <c r="BP946" s="5" t="s">
        <v>117</v>
      </c>
      <c r="BQ946" s="5" t="s">
        <v>76</v>
      </c>
      <c r="BR946" s="5">
        <v>7831</v>
      </c>
    </row>
    <row r="947" s="1" customFormat="1" spans="1:70">
      <c r="A947" s="1">
        <v>3506771</v>
      </c>
      <c r="B947" s="1" t="s">
        <v>2264</v>
      </c>
      <c r="D947" s="4">
        <v>45275</v>
      </c>
      <c r="E947" s="4">
        <v>45289</v>
      </c>
      <c r="F947" s="7">
        <v>21269</v>
      </c>
      <c r="G947" s="1">
        <v>39</v>
      </c>
      <c r="H947" s="1">
        <v>10</v>
      </c>
      <c r="I947" s="1">
        <v>52</v>
      </c>
      <c r="J947" s="1">
        <v>10</v>
      </c>
      <c r="K947" s="1">
        <v>59</v>
      </c>
      <c r="L947" s="1">
        <v>31</v>
      </c>
      <c r="M947" s="1">
        <v>1.18</v>
      </c>
      <c r="N947" s="1">
        <v>12.3</v>
      </c>
      <c r="O947" s="7">
        <v>21269</v>
      </c>
      <c r="P947" s="4">
        <v>45275</v>
      </c>
      <c r="Q947" s="4">
        <v>45289</v>
      </c>
      <c r="R947" s="1" t="s">
        <v>80</v>
      </c>
      <c r="AO947" s="7">
        <v>21269</v>
      </c>
      <c r="AP947" s="5">
        <v>8.4</v>
      </c>
      <c r="AQ947" s="5">
        <v>69</v>
      </c>
      <c r="AR947" s="5">
        <v>27</v>
      </c>
      <c r="AS947" s="5">
        <v>67.8</v>
      </c>
      <c r="AT947" s="5">
        <v>51</v>
      </c>
      <c r="AU947" s="5">
        <v>9</v>
      </c>
      <c r="AV947" s="5">
        <v>36.1</v>
      </c>
      <c r="AW947" s="5">
        <v>29.8</v>
      </c>
      <c r="AX947" s="5">
        <v>249</v>
      </c>
      <c r="AY947" s="5">
        <v>44.68</v>
      </c>
      <c r="AZ947" s="5" t="s">
        <v>75</v>
      </c>
      <c r="BA947" s="5">
        <v>8.56</v>
      </c>
      <c r="BB947" s="12" t="s">
        <v>76</v>
      </c>
      <c r="BC947" s="5">
        <v>7.34</v>
      </c>
      <c r="BD947" s="5">
        <v>69</v>
      </c>
      <c r="BE947" s="5">
        <v>0.69</v>
      </c>
      <c r="BF947" s="5">
        <v>5.62</v>
      </c>
      <c r="BG947" s="15">
        <v>36</v>
      </c>
      <c r="BH947" s="5">
        <v>78</v>
      </c>
      <c r="BI947" s="5">
        <v>78</v>
      </c>
      <c r="BJ947" s="5">
        <v>27</v>
      </c>
      <c r="BK947" s="5">
        <v>120</v>
      </c>
      <c r="BL947" s="5">
        <v>60</v>
      </c>
      <c r="BM947" s="5" t="s">
        <v>77</v>
      </c>
      <c r="BN947" s="5" t="s">
        <v>77</v>
      </c>
      <c r="BO947" s="5" t="e">
        <f t="shared" si="14"/>
        <v>#VALUE!</v>
      </c>
      <c r="BP947" s="5" t="s">
        <v>83</v>
      </c>
      <c r="BQ947" s="5">
        <v>6.3</v>
      </c>
      <c r="BR947" s="5">
        <v>9174</v>
      </c>
    </row>
    <row r="948" s="1" customFormat="1" spans="1:70">
      <c r="A948" s="1">
        <v>3283492</v>
      </c>
      <c r="B948" s="1" t="s">
        <v>2265</v>
      </c>
      <c r="D948" s="4">
        <v>44967</v>
      </c>
      <c r="E948" s="4">
        <v>44973</v>
      </c>
      <c r="F948" s="7">
        <v>21276</v>
      </c>
      <c r="G948" s="1">
        <v>48</v>
      </c>
      <c r="H948" s="1">
        <v>9</v>
      </c>
      <c r="I948" s="1">
        <v>73</v>
      </c>
      <c r="J948" s="1">
        <v>9</v>
      </c>
      <c r="K948" s="1">
        <v>34</v>
      </c>
      <c r="L948" s="1">
        <v>17</v>
      </c>
      <c r="M948" s="1">
        <v>1.22</v>
      </c>
      <c r="N948" s="1">
        <v>23.2</v>
      </c>
      <c r="O948" s="7">
        <v>21276</v>
      </c>
      <c r="P948" s="4">
        <v>44967</v>
      </c>
      <c r="Q948" s="4">
        <v>44973</v>
      </c>
      <c r="R948" s="1" t="s">
        <v>80</v>
      </c>
      <c r="AO948" s="7">
        <v>21276</v>
      </c>
      <c r="AP948" s="5">
        <v>7</v>
      </c>
      <c r="AQ948" s="5">
        <v>118</v>
      </c>
      <c r="AR948" s="5">
        <v>37.7</v>
      </c>
      <c r="AS948" s="5">
        <v>0.6</v>
      </c>
      <c r="AT948" s="5">
        <v>7</v>
      </c>
      <c r="AU948" s="5">
        <v>7</v>
      </c>
      <c r="AV948" s="5">
        <v>45.2</v>
      </c>
      <c r="AW948" s="5">
        <v>6.6</v>
      </c>
      <c r="AX948" s="5">
        <v>75</v>
      </c>
      <c r="AY948" s="5">
        <v>96.67</v>
      </c>
      <c r="AZ948" s="5" t="s">
        <v>75</v>
      </c>
      <c r="BA948" s="5">
        <v>2.79</v>
      </c>
      <c r="BB948" s="12" t="s">
        <v>76</v>
      </c>
      <c r="BC948" s="5">
        <v>4.72</v>
      </c>
      <c r="BD948" s="5">
        <v>118</v>
      </c>
      <c r="BE948" s="5">
        <v>0.98</v>
      </c>
      <c r="BF948" s="5">
        <v>1.53</v>
      </c>
      <c r="BG948" s="15">
        <v>36.6</v>
      </c>
      <c r="BH948" s="5">
        <v>66</v>
      </c>
      <c r="BI948" s="5">
        <v>66</v>
      </c>
      <c r="BJ948" s="5">
        <v>17</v>
      </c>
      <c r="BK948" s="5">
        <v>114</v>
      </c>
      <c r="BL948" s="5">
        <v>68</v>
      </c>
      <c r="BM948" s="5">
        <v>89</v>
      </c>
      <c r="BN948" s="5">
        <v>180</v>
      </c>
      <c r="BO948" s="5">
        <f t="shared" si="14"/>
        <v>27.4691358024691</v>
      </c>
      <c r="BP948" s="5" t="s">
        <v>78</v>
      </c>
      <c r="BQ948" s="5">
        <v>6.5</v>
      </c>
      <c r="BR948" s="5">
        <v>1103</v>
      </c>
    </row>
    <row r="949" s="1" customFormat="1" spans="1:70">
      <c r="A949" s="1">
        <v>3278788</v>
      </c>
      <c r="B949" s="1" t="s">
        <v>2266</v>
      </c>
      <c r="D949" s="4">
        <v>44962</v>
      </c>
      <c r="E949" s="4">
        <v>44968</v>
      </c>
      <c r="F949" s="7">
        <v>21281</v>
      </c>
      <c r="G949" s="1">
        <v>33</v>
      </c>
      <c r="H949" s="1">
        <v>9</v>
      </c>
      <c r="I949" s="1">
        <v>47</v>
      </c>
      <c r="J949" s="1">
        <v>9</v>
      </c>
      <c r="K949" s="1">
        <v>70</v>
      </c>
      <c r="L949" s="1">
        <v>40</v>
      </c>
      <c r="M949" s="1">
        <v>0.76</v>
      </c>
      <c r="N949" s="1">
        <v>11.3</v>
      </c>
      <c r="O949" s="7">
        <v>21281</v>
      </c>
      <c r="P949" s="4">
        <v>44962</v>
      </c>
      <c r="Q949" s="4">
        <v>44968</v>
      </c>
      <c r="R949" s="1" t="s">
        <v>73</v>
      </c>
      <c r="AO949" s="7">
        <v>21281</v>
      </c>
      <c r="AP949" s="5">
        <v>9.7</v>
      </c>
      <c r="AQ949" s="5">
        <v>76</v>
      </c>
      <c r="AR949" s="5">
        <v>23.5</v>
      </c>
      <c r="AS949" s="5">
        <v>95.4</v>
      </c>
      <c r="AT949" s="5">
        <v>265</v>
      </c>
      <c r="AU949" s="5">
        <v>95</v>
      </c>
      <c r="AV949" s="5">
        <v>25.7</v>
      </c>
      <c r="AW949" s="5">
        <v>9.48</v>
      </c>
      <c r="AX949" s="5">
        <v>57</v>
      </c>
      <c r="AY949" s="5" t="s">
        <v>125</v>
      </c>
      <c r="AZ949" s="5" t="s">
        <v>75</v>
      </c>
      <c r="BA949" s="5" t="s">
        <v>76</v>
      </c>
      <c r="BB949" s="12" t="s">
        <v>76</v>
      </c>
      <c r="BC949" s="5">
        <v>3.57</v>
      </c>
      <c r="BD949" s="5">
        <v>76</v>
      </c>
      <c r="BE949" s="5" t="s">
        <v>76</v>
      </c>
      <c r="BF949" s="5" t="s">
        <v>76</v>
      </c>
      <c r="BG949" s="15">
        <v>37.5</v>
      </c>
      <c r="BH949" s="5" t="s">
        <v>76</v>
      </c>
      <c r="BI949" s="5">
        <v>111</v>
      </c>
      <c r="BJ949" s="5">
        <v>22</v>
      </c>
      <c r="BK949" s="5">
        <v>100</v>
      </c>
      <c r="BL949" s="5">
        <v>53</v>
      </c>
      <c r="BM949" s="5">
        <v>53</v>
      </c>
      <c r="BN949" s="5">
        <v>158</v>
      </c>
      <c r="BO949" s="5">
        <f t="shared" si="14"/>
        <v>21.2305720237141</v>
      </c>
      <c r="BP949" s="5" t="s">
        <v>168</v>
      </c>
      <c r="BQ949" s="5" t="s">
        <v>76</v>
      </c>
      <c r="BR949" s="5">
        <v>2511</v>
      </c>
    </row>
    <row r="950" s="1" customFormat="1" spans="1:70">
      <c r="A950" s="1">
        <v>3296082</v>
      </c>
      <c r="B950" s="1" t="s">
        <v>2267</v>
      </c>
      <c r="D950" s="4">
        <v>44985</v>
      </c>
      <c r="E950" s="4">
        <v>44995</v>
      </c>
      <c r="F950" s="7">
        <v>21299</v>
      </c>
      <c r="G950" s="1">
        <v>35</v>
      </c>
      <c r="H950" s="1">
        <v>9</v>
      </c>
      <c r="I950" s="1">
        <v>46</v>
      </c>
      <c r="J950" s="1">
        <v>9</v>
      </c>
      <c r="K950" s="1">
        <v>64</v>
      </c>
      <c r="L950" s="1">
        <v>35</v>
      </c>
      <c r="N950" s="1">
        <v>9.6</v>
      </c>
      <c r="O950" s="7">
        <v>21299</v>
      </c>
      <c r="P950" s="4">
        <v>44985</v>
      </c>
      <c r="Q950" s="4">
        <v>44995</v>
      </c>
      <c r="R950" s="1" t="s">
        <v>80</v>
      </c>
      <c r="AO950" s="7">
        <v>21299</v>
      </c>
      <c r="AP950" s="5">
        <v>6.5</v>
      </c>
      <c r="AQ950" s="5">
        <v>144</v>
      </c>
      <c r="AR950" s="5">
        <v>42.7</v>
      </c>
      <c r="AS950" s="5">
        <v>68.1</v>
      </c>
      <c r="AT950" s="5">
        <v>17</v>
      </c>
      <c r="AU950" s="5">
        <v>14</v>
      </c>
      <c r="AV950" s="5">
        <v>39.9</v>
      </c>
      <c r="AW950" s="5">
        <v>4.39</v>
      </c>
      <c r="AX950" s="5">
        <v>61</v>
      </c>
      <c r="AY950" s="5" t="s">
        <v>125</v>
      </c>
      <c r="AZ950" s="5" t="s">
        <v>75</v>
      </c>
      <c r="BA950" s="5" t="s">
        <v>76</v>
      </c>
      <c r="BB950" s="12" t="s">
        <v>76</v>
      </c>
      <c r="BC950" s="5">
        <v>3.58</v>
      </c>
      <c r="BD950" s="5">
        <v>144</v>
      </c>
      <c r="BE950" s="5" t="s">
        <v>76</v>
      </c>
      <c r="BF950" s="5" t="s">
        <v>76</v>
      </c>
      <c r="BG950" s="15">
        <v>37.2</v>
      </c>
      <c r="BH950" s="5">
        <v>85</v>
      </c>
      <c r="BI950" s="5" t="s">
        <v>76</v>
      </c>
      <c r="BJ950" s="5">
        <v>20</v>
      </c>
      <c r="BK950" s="5">
        <v>146</v>
      </c>
      <c r="BL950" s="5">
        <v>91</v>
      </c>
      <c r="BM950" s="5">
        <v>72</v>
      </c>
      <c r="BN950" s="5">
        <v>172</v>
      </c>
      <c r="BO950" s="5">
        <f t="shared" si="14"/>
        <v>24.3374797187669</v>
      </c>
      <c r="BP950" s="5" t="s">
        <v>109</v>
      </c>
      <c r="BQ950" s="5" t="s">
        <v>76</v>
      </c>
      <c r="BR950" s="5">
        <v>1971</v>
      </c>
    </row>
    <row r="951" s="1" customFormat="1" spans="1:70">
      <c r="A951" s="1">
        <v>3311165</v>
      </c>
      <c r="B951" s="1" t="s">
        <v>2268</v>
      </c>
      <c r="D951" s="4">
        <v>45006</v>
      </c>
      <c r="E951" s="4">
        <v>45018</v>
      </c>
      <c r="F951" s="7">
        <v>21316</v>
      </c>
      <c r="G951" s="1">
        <v>38</v>
      </c>
      <c r="H951" s="1">
        <v>10</v>
      </c>
      <c r="I951" s="1">
        <v>50</v>
      </c>
      <c r="J951" s="1">
        <v>9</v>
      </c>
      <c r="K951" s="1">
        <v>50</v>
      </c>
      <c r="L951" s="1">
        <v>25</v>
      </c>
      <c r="M951" s="1">
        <v>0.82</v>
      </c>
      <c r="N951" s="1">
        <v>12.7</v>
      </c>
      <c r="O951" s="7">
        <v>21316</v>
      </c>
      <c r="P951" s="4">
        <v>45006</v>
      </c>
      <c r="Q951" s="4">
        <v>45018</v>
      </c>
      <c r="R951" s="1" t="s">
        <v>80</v>
      </c>
      <c r="AO951" s="7">
        <v>21316</v>
      </c>
      <c r="AP951" s="5">
        <v>9.5</v>
      </c>
      <c r="AQ951" s="5">
        <v>133</v>
      </c>
      <c r="AR951" s="5">
        <v>40.5</v>
      </c>
      <c r="AS951" s="5">
        <v>49.7</v>
      </c>
      <c r="AT951" s="5">
        <v>970</v>
      </c>
      <c r="AU951" s="5">
        <v>83</v>
      </c>
      <c r="AV951" s="5">
        <v>36.6</v>
      </c>
      <c r="AW951" s="5">
        <v>8.14</v>
      </c>
      <c r="AX951" s="5">
        <v>88</v>
      </c>
      <c r="AY951" s="5">
        <v>96.67</v>
      </c>
      <c r="AZ951" s="5" t="s">
        <v>75</v>
      </c>
      <c r="BA951" s="5">
        <v>3.34</v>
      </c>
      <c r="BB951" s="12" t="s">
        <v>76</v>
      </c>
      <c r="BC951" s="5">
        <v>4.94</v>
      </c>
      <c r="BD951" s="5">
        <v>133</v>
      </c>
      <c r="BE951" s="5">
        <v>1.3</v>
      </c>
      <c r="BF951" s="5">
        <v>1.71</v>
      </c>
      <c r="BG951" s="15">
        <v>36.5</v>
      </c>
      <c r="BH951" s="5">
        <v>67</v>
      </c>
      <c r="BI951" s="5">
        <v>67</v>
      </c>
      <c r="BJ951" s="5">
        <v>20</v>
      </c>
      <c r="BK951" s="5">
        <v>123</v>
      </c>
      <c r="BL951" s="5">
        <v>89</v>
      </c>
      <c r="BM951" s="5">
        <v>56</v>
      </c>
      <c r="BN951" s="5">
        <v>168</v>
      </c>
      <c r="BO951" s="5">
        <f t="shared" si="14"/>
        <v>19.8412698412698</v>
      </c>
      <c r="BP951" s="5" t="s">
        <v>323</v>
      </c>
      <c r="BQ951" s="5">
        <v>5.2</v>
      </c>
      <c r="BR951" s="5">
        <v>931</v>
      </c>
    </row>
    <row r="952" s="1" customFormat="1" spans="1:70">
      <c r="A952" s="1">
        <v>3329302</v>
      </c>
      <c r="B952" s="1" t="s">
        <v>2269</v>
      </c>
      <c r="D952" s="4">
        <v>45031</v>
      </c>
      <c r="E952" s="4">
        <v>45043</v>
      </c>
      <c r="F952" s="7">
        <v>21319</v>
      </c>
      <c r="G952" s="1">
        <v>29</v>
      </c>
      <c r="H952" s="1">
        <v>8</v>
      </c>
      <c r="I952" s="1">
        <v>59</v>
      </c>
      <c r="J952" s="1">
        <v>8</v>
      </c>
      <c r="K952" s="1">
        <v>20</v>
      </c>
      <c r="L952" s="1">
        <v>10</v>
      </c>
      <c r="M952" s="1">
        <v>1.21</v>
      </c>
      <c r="O952" s="7">
        <v>21319</v>
      </c>
      <c r="P952" s="4">
        <v>45031</v>
      </c>
      <c r="Q952" s="4">
        <v>45043</v>
      </c>
      <c r="R952" s="1" t="s">
        <v>80</v>
      </c>
      <c r="AO952" s="7">
        <v>21319</v>
      </c>
      <c r="AP952" s="5">
        <v>9.4</v>
      </c>
      <c r="AQ952" s="5">
        <v>175</v>
      </c>
      <c r="AR952" s="5">
        <v>54.8</v>
      </c>
      <c r="AS952" s="5" t="s">
        <v>76</v>
      </c>
      <c r="AT952" s="5">
        <v>58</v>
      </c>
      <c r="AU952" s="5">
        <v>79</v>
      </c>
      <c r="AV952" s="5">
        <v>38.9</v>
      </c>
      <c r="AW952" s="5">
        <v>9.01</v>
      </c>
      <c r="AX952" s="5">
        <v>75</v>
      </c>
      <c r="AY952" s="5" t="s">
        <v>125</v>
      </c>
      <c r="AZ952" s="5">
        <v>9.4</v>
      </c>
      <c r="BA952" s="5" t="s">
        <v>76</v>
      </c>
      <c r="BB952" s="12" t="s">
        <v>76</v>
      </c>
      <c r="BC952" s="5">
        <v>4.48</v>
      </c>
      <c r="BD952" s="5">
        <v>175</v>
      </c>
      <c r="BE952" s="5" t="s">
        <v>76</v>
      </c>
      <c r="BF952" s="5" t="s">
        <v>76</v>
      </c>
      <c r="BG952" s="15">
        <v>36.5</v>
      </c>
      <c r="BH952" s="5">
        <v>121</v>
      </c>
      <c r="BI952" s="5">
        <v>121</v>
      </c>
      <c r="BJ952" s="5">
        <v>24</v>
      </c>
      <c r="BK952" s="5">
        <v>110</v>
      </c>
      <c r="BL952" s="5">
        <v>79</v>
      </c>
      <c r="BM952" s="5">
        <v>55</v>
      </c>
      <c r="BN952" s="5">
        <v>157</v>
      </c>
      <c r="BO952" s="5">
        <f t="shared" si="14"/>
        <v>22.3132784291452</v>
      </c>
      <c r="BP952" s="5" t="s">
        <v>164</v>
      </c>
      <c r="BQ952" s="5">
        <v>8</v>
      </c>
      <c r="BR952" s="5">
        <v>9972</v>
      </c>
    </row>
    <row r="953" s="1" customFormat="1" spans="1:70">
      <c r="A953" s="1">
        <v>3318389</v>
      </c>
      <c r="B953" s="1" t="s">
        <v>2270</v>
      </c>
      <c r="D953" s="4">
        <v>45015</v>
      </c>
      <c r="E953" s="4">
        <v>45024</v>
      </c>
      <c r="F953" s="7">
        <v>21346</v>
      </c>
      <c r="G953" s="1">
        <v>39</v>
      </c>
      <c r="H953" s="1">
        <v>9</v>
      </c>
      <c r="I953" s="1">
        <v>49</v>
      </c>
      <c r="J953" s="1">
        <v>9</v>
      </c>
      <c r="K953" s="1">
        <v>48</v>
      </c>
      <c r="L953" s="1">
        <v>24</v>
      </c>
      <c r="M953" s="1">
        <v>1.19</v>
      </c>
      <c r="N953" s="1">
        <v>12.2</v>
      </c>
      <c r="O953" s="7">
        <v>21346</v>
      </c>
      <c r="P953" s="4">
        <v>45015</v>
      </c>
      <c r="Q953" s="4">
        <v>45024</v>
      </c>
      <c r="R953" s="1" t="s">
        <v>80</v>
      </c>
      <c r="AO953" s="7">
        <v>21346</v>
      </c>
      <c r="AP953" s="5">
        <v>8.4</v>
      </c>
      <c r="AQ953" s="5">
        <v>124</v>
      </c>
      <c r="AR953" s="5">
        <v>37.3</v>
      </c>
      <c r="AS953" s="5">
        <v>87.3</v>
      </c>
      <c r="AT953" s="5">
        <v>62</v>
      </c>
      <c r="AU953" s="5">
        <v>65</v>
      </c>
      <c r="AV953" s="5">
        <v>34.5</v>
      </c>
      <c r="AW953" s="5">
        <v>6.04</v>
      </c>
      <c r="AX953" s="5">
        <v>84</v>
      </c>
      <c r="AY953" s="5" t="s">
        <v>125</v>
      </c>
      <c r="AZ953" s="5" t="s">
        <v>75</v>
      </c>
      <c r="BA953" s="5">
        <v>2.24</v>
      </c>
      <c r="BB953" s="12" t="s">
        <v>76</v>
      </c>
      <c r="BC953" s="5">
        <v>4.42</v>
      </c>
      <c r="BD953" s="5">
        <v>124</v>
      </c>
      <c r="BE953" s="5">
        <v>1.01</v>
      </c>
      <c r="BF953" s="5">
        <v>1.01</v>
      </c>
      <c r="BG953" s="15">
        <v>38</v>
      </c>
      <c r="BH953" s="5">
        <v>63</v>
      </c>
      <c r="BI953" s="5">
        <v>63</v>
      </c>
      <c r="BJ953" s="5">
        <v>18</v>
      </c>
      <c r="BK953" s="5">
        <v>106</v>
      </c>
      <c r="BL953" s="5">
        <v>69</v>
      </c>
      <c r="BM953" s="5">
        <v>65</v>
      </c>
      <c r="BN953" s="5">
        <v>165</v>
      </c>
      <c r="BO953" s="5">
        <f t="shared" si="14"/>
        <v>23.8751147842057</v>
      </c>
      <c r="BP953" s="5" t="s">
        <v>323</v>
      </c>
      <c r="BQ953" s="5">
        <v>5.7</v>
      </c>
      <c r="BR953" s="5">
        <v>3333</v>
      </c>
    </row>
    <row r="954" s="1" customFormat="1" spans="1:70">
      <c r="A954" s="1" t="s">
        <v>2271</v>
      </c>
      <c r="B954" s="1" t="s">
        <v>2272</v>
      </c>
      <c r="D954" s="4">
        <v>44954</v>
      </c>
      <c r="E954" s="4">
        <v>44960</v>
      </c>
      <c r="F954" s="7">
        <v>21351</v>
      </c>
      <c r="G954" s="1">
        <v>41</v>
      </c>
      <c r="H954" s="1">
        <v>9</v>
      </c>
      <c r="I954" s="1">
        <v>53</v>
      </c>
      <c r="J954" s="1">
        <v>9</v>
      </c>
      <c r="K954" s="1">
        <v>54</v>
      </c>
      <c r="L954" s="1">
        <v>28</v>
      </c>
      <c r="M954" s="1">
        <v>0.87</v>
      </c>
      <c r="N954" s="1">
        <v>14.4</v>
      </c>
      <c r="O954" s="7">
        <v>21351</v>
      </c>
      <c r="P954" s="4">
        <v>44954</v>
      </c>
      <c r="Q954" s="4">
        <v>44960</v>
      </c>
      <c r="R954" s="1" t="s">
        <v>73</v>
      </c>
      <c r="AO954" s="7">
        <v>21351</v>
      </c>
      <c r="AP954" s="5" t="s">
        <v>2273</v>
      </c>
      <c r="AQ954" s="5" t="s">
        <v>760</v>
      </c>
      <c r="AR954" s="5" t="s">
        <v>2274</v>
      </c>
      <c r="AS954" s="5" t="s">
        <v>81</v>
      </c>
      <c r="AT954" s="5" t="s">
        <v>293</v>
      </c>
      <c r="AU954" s="5" t="s">
        <v>93</v>
      </c>
      <c r="AV954" s="5" t="s">
        <v>226</v>
      </c>
      <c r="AW954" s="5" t="s">
        <v>2275</v>
      </c>
      <c r="AX954" s="5" t="s">
        <v>243</v>
      </c>
      <c r="AY954" s="5" t="s">
        <v>76</v>
      </c>
      <c r="AZ954" s="5" t="s">
        <v>75</v>
      </c>
      <c r="BA954" s="5" t="s">
        <v>76</v>
      </c>
      <c r="BB954" s="12" t="s">
        <v>76</v>
      </c>
      <c r="BC954" s="5" t="s">
        <v>2276</v>
      </c>
      <c r="BD954" s="5" t="s">
        <v>760</v>
      </c>
      <c r="BE954" s="5" t="s">
        <v>76</v>
      </c>
      <c r="BF954" s="5" t="s">
        <v>76</v>
      </c>
      <c r="BG954" s="15">
        <v>36.5</v>
      </c>
      <c r="BH954" s="5" t="s">
        <v>760</v>
      </c>
      <c r="BI954" s="5" t="s">
        <v>760</v>
      </c>
      <c r="BJ954" s="5" t="s">
        <v>101</v>
      </c>
      <c r="BK954" s="5" t="s">
        <v>696</v>
      </c>
      <c r="BL954" s="5" t="s">
        <v>232</v>
      </c>
      <c r="BM954" s="5" t="s">
        <v>195</v>
      </c>
      <c r="BN954" s="5">
        <v>156</v>
      </c>
      <c r="BO954" s="5">
        <f t="shared" si="14"/>
        <v>20.5456936226167</v>
      </c>
      <c r="BP954" s="5" t="s">
        <v>542</v>
      </c>
      <c r="BQ954" s="5" t="s">
        <v>76</v>
      </c>
      <c r="BR954" s="5">
        <v>3183</v>
      </c>
    </row>
    <row r="955" s="1" customFormat="1" spans="1:70">
      <c r="A955" s="1" t="s">
        <v>2277</v>
      </c>
      <c r="B955" s="1" t="s">
        <v>2272</v>
      </c>
      <c r="D955" s="4">
        <v>44935</v>
      </c>
      <c r="E955" s="4">
        <v>44945</v>
      </c>
      <c r="F955" s="7">
        <v>21351</v>
      </c>
      <c r="G955" s="1">
        <v>32</v>
      </c>
      <c r="H955" s="1">
        <v>9</v>
      </c>
      <c r="I955" s="1">
        <v>50</v>
      </c>
      <c r="J955" s="1">
        <v>9</v>
      </c>
      <c r="K955" s="1">
        <v>60</v>
      </c>
      <c r="L955" s="1">
        <v>32</v>
      </c>
      <c r="M955" s="1">
        <v>0.69</v>
      </c>
      <c r="N955" s="1">
        <v>5.9</v>
      </c>
      <c r="O955" s="7">
        <v>21351</v>
      </c>
      <c r="P955" s="4">
        <v>44935</v>
      </c>
      <c r="Q955" s="4">
        <v>44945</v>
      </c>
      <c r="R955" s="1" t="s">
        <v>73</v>
      </c>
      <c r="AO955" s="7">
        <v>21351</v>
      </c>
      <c r="AP955" s="5" t="s">
        <v>771</v>
      </c>
      <c r="AQ955" s="5" t="s">
        <v>407</v>
      </c>
      <c r="AR955" s="5" t="s">
        <v>2278</v>
      </c>
      <c r="AS955" s="5" t="s">
        <v>81</v>
      </c>
      <c r="AT955" s="5" t="s">
        <v>139</v>
      </c>
      <c r="AU955" s="5" t="s">
        <v>139</v>
      </c>
      <c r="AV955" s="5" t="s">
        <v>90</v>
      </c>
      <c r="AW955" s="5" t="s">
        <v>2279</v>
      </c>
      <c r="AX955" s="5" t="s">
        <v>493</v>
      </c>
      <c r="AY955" s="5" t="s">
        <v>2280</v>
      </c>
      <c r="AZ955" s="5" t="s">
        <v>75</v>
      </c>
      <c r="BA955" s="5" t="s">
        <v>76</v>
      </c>
      <c r="BB955" s="12" t="s">
        <v>76</v>
      </c>
      <c r="BC955" s="5" t="s">
        <v>2281</v>
      </c>
      <c r="BD955" s="5" t="s">
        <v>407</v>
      </c>
      <c r="BE955" s="5" t="s">
        <v>76</v>
      </c>
      <c r="BF955" s="5" t="s">
        <v>76</v>
      </c>
      <c r="BG955" s="15">
        <v>36.5</v>
      </c>
      <c r="BH955" s="5" t="s">
        <v>192</v>
      </c>
      <c r="BI955" s="5" t="s">
        <v>173</v>
      </c>
      <c r="BJ955" s="5" t="s">
        <v>193</v>
      </c>
      <c r="BK955" s="5" t="s">
        <v>972</v>
      </c>
      <c r="BL955" s="5" t="s">
        <v>425</v>
      </c>
      <c r="BM955" s="5" t="s">
        <v>742</v>
      </c>
      <c r="BN955" s="5">
        <v>155</v>
      </c>
      <c r="BO955" s="5">
        <f t="shared" si="14"/>
        <v>19.9791883454735</v>
      </c>
      <c r="BP955" s="5" t="s">
        <v>542</v>
      </c>
      <c r="BQ955" s="5" t="s">
        <v>76</v>
      </c>
      <c r="BR955" s="5">
        <v>2618</v>
      </c>
    </row>
    <row r="956" s="1" customFormat="1" spans="1:70">
      <c r="A956" s="1">
        <v>3253132</v>
      </c>
      <c r="B956" s="1" t="s">
        <v>2282</v>
      </c>
      <c r="D956" s="4">
        <v>44907</v>
      </c>
      <c r="E956" s="4">
        <v>44916</v>
      </c>
      <c r="F956" s="7">
        <v>21367</v>
      </c>
      <c r="G956" s="1">
        <v>33</v>
      </c>
      <c r="H956" s="1">
        <v>9</v>
      </c>
      <c r="I956" s="1">
        <v>46</v>
      </c>
      <c r="J956" s="1">
        <v>9</v>
      </c>
      <c r="K956" s="1">
        <v>62</v>
      </c>
      <c r="L956" s="1">
        <v>33</v>
      </c>
      <c r="M956" s="1">
        <v>0.61</v>
      </c>
      <c r="N956" s="1">
        <v>7.3</v>
      </c>
      <c r="O956" s="7">
        <v>21367</v>
      </c>
      <c r="P956" s="4">
        <v>44907</v>
      </c>
      <c r="Q956" s="4">
        <v>44916</v>
      </c>
      <c r="R956" s="1" t="s">
        <v>80</v>
      </c>
      <c r="S956" s="1">
        <v>64</v>
      </c>
      <c r="T956" s="1">
        <v>13776791402</v>
      </c>
      <c r="V956" s="1">
        <v>1</v>
      </c>
      <c r="AC956" s="1">
        <v>1</v>
      </c>
      <c r="AG956" s="1">
        <v>1</v>
      </c>
      <c r="AH956" s="1">
        <v>1</v>
      </c>
      <c r="AO956" s="7">
        <v>21367</v>
      </c>
      <c r="AP956" s="5">
        <v>9.9</v>
      </c>
      <c r="AQ956" s="5">
        <v>142</v>
      </c>
      <c r="AR956" s="5">
        <v>46.4</v>
      </c>
      <c r="AS956" s="5">
        <v>9.2</v>
      </c>
      <c r="AT956" s="5">
        <v>51</v>
      </c>
      <c r="AU956" s="5">
        <v>24</v>
      </c>
      <c r="AV956" s="5">
        <v>37.1</v>
      </c>
      <c r="AW956" s="5">
        <v>9.96</v>
      </c>
      <c r="AX956" s="5">
        <v>142</v>
      </c>
      <c r="AY956" s="5">
        <v>64.85</v>
      </c>
      <c r="AZ956" s="5" t="s">
        <v>75</v>
      </c>
      <c r="BA956" s="5" t="s">
        <v>76</v>
      </c>
      <c r="BB956" s="12" t="s">
        <v>76</v>
      </c>
      <c r="BC956" s="5">
        <v>3.49</v>
      </c>
      <c r="BD956" s="5">
        <v>142</v>
      </c>
      <c r="BE956" s="5" t="s">
        <v>76</v>
      </c>
      <c r="BF956" s="5" t="s">
        <v>76</v>
      </c>
      <c r="BG956" s="15">
        <v>36.3</v>
      </c>
      <c r="BH956" s="5">
        <v>90</v>
      </c>
      <c r="BI956" s="5" t="s">
        <v>76</v>
      </c>
      <c r="BJ956" s="5">
        <v>18</v>
      </c>
      <c r="BK956" s="5">
        <v>132</v>
      </c>
      <c r="BL956" s="5">
        <v>78</v>
      </c>
      <c r="BM956" s="5">
        <v>80</v>
      </c>
      <c r="BN956" s="5">
        <v>173</v>
      </c>
      <c r="BO956" s="5">
        <f t="shared" si="14"/>
        <v>26.7299274950717</v>
      </c>
      <c r="BP956" s="5" t="s">
        <v>453</v>
      </c>
      <c r="BQ956" s="5">
        <v>6</v>
      </c>
      <c r="BR956" s="5">
        <v>3101</v>
      </c>
    </row>
    <row r="957" s="1" customFormat="1" spans="1:70">
      <c r="A957" s="1" t="s">
        <v>2283</v>
      </c>
      <c r="B957" s="1" t="s">
        <v>2284</v>
      </c>
      <c r="D957" s="4">
        <v>45022</v>
      </c>
      <c r="E957" s="4">
        <v>45047</v>
      </c>
      <c r="F957" s="7">
        <v>21381</v>
      </c>
      <c r="G957" s="1">
        <v>34</v>
      </c>
      <c r="H957" s="1">
        <v>13</v>
      </c>
      <c r="I957" s="1">
        <v>37</v>
      </c>
      <c r="J957" s="1">
        <v>12</v>
      </c>
      <c r="K957" s="1">
        <v>51</v>
      </c>
      <c r="L957" s="1">
        <v>25</v>
      </c>
      <c r="M957" s="1">
        <v>0.72</v>
      </c>
      <c r="N957" s="1">
        <v>11.2</v>
      </c>
      <c r="O957" s="7">
        <v>21381</v>
      </c>
      <c r="P957" s="4">
        <v>45022</v>
      </c>
      <c r="Q957" s="4">
        <v>45047</v>
      </c>
      <c r="R957" s="1" t="s">
        <v>73</v>
      </c>
      <c r="AO957" s="7">
        <v>21381</v>
      </c>
      <c r="AP957" s="5" t="s">
        <v>2285</v>
      </c>
      <c r="AQ957" s="5" t="s">
        <v>89</v>
      </c>
      <c r="AR957" s="5" t="s">
        <v>2286</v>
      </c>
      <c r="AS957" s="5" t="s">
        <v>81</v>
      </c>
      <c r="AT957" s="5" t="s">
        <v>1475</v>
      </c>
      <c r="AU957" s="5" t="s">
        <v>183</v>
      </c>
      <c r="AV957" s="5" t="s">
        <v>1561</v>
      </c>
      <c r="AW957" s="5" t="s">
        <v>2287</v>
      </c>
      <c r="AX957" s="5" t="s">
        <v>598</v>
      </c>
      <c r="AY957" s="5" t="s">
        <v>125</v>
      </c>
      <c r="AZ957" s="5" t="s">
        <v>75</v>
      </c>
      <c r="BA957" s="5" t="s">
        <v>2288</v>
      </c>
      <c r="BB957" s="12" t="s">
        <v>76</v>
      </c>
      <c r="BC957" s="5" t="s">
        <v>4</v>
      </c>
      <c r="BD957" s="5" t="s">
        <v>89</v>
      </c>
      <c r="BE957" s="5" t="s">
        <v>76</v>
      </c>
      <c r="BF957" s="5" t="s">
        <v>76</v>
      </c>
      <c r="BG957" s="15">
        <v>36.6</v>
      </c>
      <c r="BH957" s="5" t="s">
        <v>391</v>
      </c>
      <c r="BI957" s="5" t="s">
        <v>391</v>
      </c>
      <c r="BJ957" s="5" t="s">
        <v>525</v>
      </c>
      <c r="BK957" s="5" t="s">
        <v>201</v>
      </c>
      <c r="BL957" s="5" t="s">
        <v>599</v>
      </c>
      <c r="BM957" s="5" t="s">
        <v>422</v>
      </c>
      <c r="BN957" s="5">
        <v>164</v>
      </c>
      <c r="BO957" s="5">
        <f t="shared" si="14"/>
        <v>16.7311124330756</v>
      </c>
      <c r="BP957" s="5" t="s">
        <v>542</v>
      </c>
      <c r="BQ957" s="5" t="s">
        <v>76</v>
      </c>
      <c r="BR957" s="5" t="s">
        <v>118</v>
      </c>
    </row>
    <row r="958" s="1" customFormat="1" spans="1:70">
      <c r="A958" s="1">
        <v>3253605</v>
      </c>
      <c r="B958" s="1" t="s">
        <v>2289</v>
      </c>
      <c r="D958" s="4">
        <v>44908</v>
      </c>
      <c r="E958" s="4">
        <v>44915</v>
      </c>
      <c r="F958" s="7">
        <v>21406</v>
      </c>
      <c r="G958" s="1">
        <v>38</v>
      </c>
      <c r="H958" s="1">
        <v>8</v>
      </c>
      <c r="I958" s="1">
        <v>46</v>
      </c>
      <c r="J958" s="1">
        <v>8</v>
      </c>
      <c r="K958" s="1">
        <v>59</v>
      </c>
      <c r="L958" s="1">
        <v>31</v>
      </c>
      <c r="M958" s="1">
        <v>0.73</v>
      </c>
      <c r="N958" s="1">
        <v>17</v>
      </c>
      <c r="O958" s="7">
        <v>21406</v>
      </c>
      <c r="P958" s="4">
        <v>44908</v>
      </c>
      <c r="Q958" s="4">
        <v>44915</v>
      </c>
      <c r="R958" s="1" t="s">
        <v>73</v>
      </c>
      <c r="AO958" s="7">
        <v>21406</v>
      </c>
      <c r="AP958" s="5">
        <v>63.4</v>
      </c>
      <c r="AQ958" s="5">
        <v>133</v>
      </c>
      <c r="AR958" s="5">
        <v>40.5</v>
      </c>
      <c r="AS958" s="5" t="s">
        <v>81</v>
      </c>
      <c r="AT958" s="5">
        <v>21</v>
      </c>
      <c r="AU958" s="5">
        <v>18</v>
      </c>
      <c r="AV958" s="5">
        <v>44.2</v>
      </c>
      <c r="AW958" s="5">
        <v>8.47</v>
      </c>
      <c r="AX958" s="5">
        <v>72</v>
      </c>
      <c r="AY958" s="5" t="s">
        <v>125</v>
      </c>
      <c r="AZ958" s="5" t="s">
        <v>375</v>
      </c>
      <c r="BA958" s="5">
        <v>6.45</v>
      </c>
      <c r="BB958" s="12" t="s">
        <v>76</v>
      </c>
      <c r="BC958" s="5">
        <v>4.38</v>
      </c>
      <c r="BD958" s="5">
        <v>133</v>
      </c>
      <c r="BE958" s="5">
        <v>0.87</v>
      </c>
      <c r="BF958" s="5">
        <v>4.7</v>
      </c>
      <c r="BG958" s="15">
        <v>36.6</v>
      </c>
      <c r="BH958" s="5">
        <v>93</v>
      </c>
      <c r="BI958" s="5">
        <v>93</v>
      </c>
      <c r="BJ958" s="5">
        <v>16</v>
      </c>
      <c r="BK958" s="5">
        <v>156</v>
      </c>
      <c r="BL958" s="5">
        <v>96</v>
      </c>
      <c r="BM958" s="5">
        <v>53</v>
      </c>
      <c r="BN958" s="5">
        <v>162</v>
      </c>
      <c r="BO958" s="5">
        <f t="shared" si="14"/>
        <v>20.1950922115531</v>
      </c>
      <c r="BP958" s="5" t="s">
        <v>258</v>
      </c>
      <c r="BQ958" s="5">
        <v>7.1</v>
      </c>
      <c r="BR958" s="5">
        <v>2701</v>
      </c>
    </row>
    <row r="959" s="1" customFormat="1" spans="1:70">
      <c r="A959" s="1" t="s">
        <v>2290</v>
      </c>
      <c r="B959" s="1" t="s">
        <v>2291</v>
      </c>
      <c r="D959" s="4">
        <v>44926</v>
      </c>
      <c r="E959" s="4">
        <v>44937</v>
      </c>
      <c r="F959" s="7">
        <v>21416</v>
      </c>
      <c r="G959" s="1">
        <v>40</v>
      </c>
      <c r="H959" s="1">
        <v>9</v>
      </c>
      <c r="I959" s="1">
        <v>50</v>
      </c>
      <c r="J959" s="1">
        <v>9</v>
      </c>
      <c r="K959" s="1">
        <v>66</v>
      </c>
      <c r="L959" s="1">
        <v>37</v>
      </c>
      <c r="M959" s="1">
        <v>0.95</v>
      </c>
      <c r="N959" s="1">
        <v>16.8</v>
      </c>
      <c r="O959" s="7">
        <v>21416</v>
      </c>
      <c r="P959" s="4">
        <v>44926</v>
      </c>
      <c r="Q959" s="4">
        <v>44937</v>
      </c>
      <c r="R959" s="1" t="s">
        <v>80</v>
      </c>
      <c r="AO959" s="7">
        <v>21416</v>
      </c>
      <c r="AP959" s="5" t="s">
        <v>992</v>
      </c>
      <c r="AQ959" s="5" t="s">
        <v>318</v>
      </c>
      <c r="AR959" s="5" t="s">
        <v>2082</v>
      </c>
      <c r="AS959" s="5" t="s">
        <v>463</v>
      </c>
      <c r="AT959" s="5" t="s">
        <v>445</v>
      </c>
      <c r="AU959" s="5" t="s">
        <v>103</v>
      </c>
      <c r="AV959" s="5" t="s">
        <v>2292</v>
      </c>
      <c r="AW959" s="5" t="s">
        <v>2293</v>
      </c>
      <c r="AX959" s="5" t="s">
        <v>2294</v>
      </c>
      <c r="AY959" s="5" t="s">
        <v>2295</v>
      </c>
      <c r="AZ959" s="5" t="s">
        <v>1987</v>
      </c>
      <c r="BA959" s="5" t="s">
        <v>2296</v>
      </c>
      <c r="BB959" s="12" t="s">
        <v>76</v>
      </c>
      <c r="BC959" s="5" t="s">
        <v>2297</v>
      </c>
      <c r="BD959" s="5" t="s">
        <v>318</v>
      </c>
      <c r="BE959" s="5" t="s">
        <v>1071</v>
      </c>
      <c r="BF959" s="5" t="s">
        <v>1922</v>
      </c>
      <c r="BG959" s="15">
        <v>36.6</v>
      </c>
      <c r="BH959" s="5" t="s">
        <v>129</v>
      </c>
      <c r="BI959" s="5" t="s">
        <v>129</v>
      </c>
      <c r="BJ959" s="5" t="s">
        <v>193</v>
      </c>
      <c r="BK959" s="5" t="s">
        <v>390</v>
      </c>
      <c r="BL959" s="5" t="s">
        <v>613</v>
      </c>
      <c r="BM959" s="5" t="s">
        <v>336</v>
      </c>
      <c r="BN959" s="5">
        <v>172</v>
      </c>
      <c r="BO959" s="5">
        <f t="shared" si="14"/>
        <v>25.3515413737155</v>
      </c>
      <c r="BP959" s="5" t="s">
        <v>501</v>
      </c>
      <c r="BQ959" s="5" t="s">
        <v>685</v>
      </c>
      <c r="BR959" s="5">
        <v>6352</v>
      </c>
    </row>
    <row r="960" s="1" customFormat="1" spans="1:70">
      <c r="A960" s="1">
        <v>3311380</v>
      </c>
      <c r="B960" s="1" t="s">
        <v>2298</v>
      </c>
      <c r="D960" s="4">
        <v>45013</v>
      </c>
      <c r="E960" s="4">
        <v>45019</v>
      </c>
      <c r="F960" s="7">
        <v>21440</v>
      </c>
      <c r="G960" s="1">
        <v>42</v>
      </c>
      <c r="H960" s="1">
        <v>10</v>
      </c>
      <c r="I960" s="1">
        <v>58</v>
      </c>
      <c r="J960" s="1">
        <v>10</v>
      </c>
      <c r="K960" s="1">
        <v>39</v>
      </c>
      <c r="L960" s="1">
        <v>19</v>
      </c>
      <c r="M960" s="1">
        <v>1.39</v>
      </c>
      <c r="N960" s="1">
        <v>13.6</v>
      </c>
      <c r="O960" s="7">
        <v>21440</v>
      </c>
      <c r="P960" s="4">
        <v>45013</v>
      </c>
      <c r="Q960" s="4">
        <v>45019</v>
      </c>
      <c r="R960" s="1" t="s">
        <v>80</v>
      </c>
      <c r="AO960" s="7">
        <v>21440</v>
      </c>
      <c r="AP960" s="5">
        <v>7.3</v>
      </c>
      <c r="AQ960" s="5">
        <v>150</v>
      </c>
      <c r="AR960" s="5">
        <v>44.4</v>
      </c>
      <c r="AS960" s="5" t="s">
        <v>76</v>
      </c>
      <c r="AT960" s="5">
        <v>17</v>
      </c>
      <c r="AU960" s="5">
        <v>15</v>
      </c>
      <c r="AV960" s="5">
        <v>40.4</v>
      </c>
      <c r="AW960" s="5">
        <v>5.2</v>
      </c>
      <c r="AX960" s="5">
        <v>56</v>
      </c>
      <c r="AY960" s="5" t="s">
        <v>125</v>
      </c>
      <c r="AZ960" s="5">
        <v>5.07</v>
      </c>
      <c r="BA960" s="5">
        <v>4.38</v>
      </c>
      <c r="BB960" s="12" t="s">
        <v>76</v>
      </c>
      <c r="BC960" s="5">
        <v>4.72</v>
      </c>
      <c r="BD960" s="5">
        <v>150</v>
      </c>
      <c r="BE960" s="5">
        <v>1.09</v>
      </c>
      <c r="BF960" s="5">
        <v>2.97</v>
      </c>
      <c r="BG960" s="15">
        <v>36.5</v>
      </c>
      <c r="BH960" s="5">
        <v>95</v>
      </c>
      <c r="BI960" s="5">
        <v>95</v>
      </c>
      <c r="BJ960" s="5">
        <v>18</v>
      </c>
      <c r="BK960" s="5">
        <v>141</v>
      </c>
      <c r="BL960" s="5">
        <v>100</v>
      </c>
      <c r="BM960" s="5">
        <v>65</v>
      </c>
      <c r="BN960" s="5">
        <v>168</v>
      </c>
      <c r="BO960" s="5">
        <f t="shared" si="14"/>
        <v>23.0300453514739</v>
      </c>
      <c r="BP960" s="5" t="s">
        <v>156</v>
      </c>
      <c r="BQ960" s="5" t="s">
        <v>76</v>
      </c>
      <c r="BR960" s="5">
        <v>933</v>
      </c>
    </row>
    <row r="961" s="1" customFormat="1" spans="1:70">
      <c r="A961" s="1" t="s">
        <v>2299</v>
      </c>
      <c r="B961" s="1" t="s">
        <v>2300</v>
      </c>
      <c r="D961" s="4">
        <v>45278</v>
      </c>
      <c r="E961" s="4">
        <v>45283</v>
      </c>
      <c r="F961" s="7">
        <v>21448</v>
      </c>
      <c r="G961" s="1">
        <v>49</v>
      </c>
      <c r="H961" s="1">
        <v>10</v>
      </c>
      <c r="I961" s="1">
        <v>52</v>
      </c>
      <c r="J961" s="1">
        <v>9</v>
      </c>
      <c r="K961" s="1">
        <v>26</v>
      </c>
      <c r="L961" s="1">
        <v>12</v>
      </c>
      <c r="N961" s="1">
        <v>22.9</v>
      </c>
      <c r="O961" s="7">
        <v>21448</v>
      </c>
      <c r="P961" s="4">
        <v>45278</v>
      </c>
      <c r="Q961" s="4">
        <v>45283</v>
      </c>
      <c r="R961" s="1" t="s">
        <v>80</v>
      </c>
      <c r="AO961" s="7">
        <v>21448</v>
      </c>
      <c r="AP961" s="5" t="s">
        <v>807</v>
      </c>
      <c r="AQ961" s="5" t="s">
        <v>1377</v>
      </c>
      <c r="AR961" s="5" t="s">
        <v>2301</v>
      </c>
      <c r="AS961" s="5" t="s">
        <v>2302</v>
      </c>
      <c r="AT961" s="5" t="s">
        <v>183</v>
      </c>
      <c r="AU961" s="5" t="s">
        <v>240</v>
      </c>
      <c r="AV961" s="5" t="s">
        <v>203</v>
      </c>
      <c r="AW961" s="5" t="s">
        <v>2303</v>
      </c>
      <c r="AX961" s="5" t="s">
        <v>481</v>
      </c>
      <c r="AY961" s="5" t="s">
        <v>2304</v>
      </c>
      <c r="AZ961" s="5" t="s">
        <v>76</v>
      </c>
      <c r="BA961" s="5" t="s">
        <v>1098</v>
      </c>
      <c r="BB961" s="12" t="s">
        <v>76</v>
      </c>
      <c r="BC961" s="5" t="s">
        <v>2305</v>
      </c>
      <c r="BD961" s="5" t="s">
        <v>1377</v>
      </c>
      <c r="BE961" s="5" t="s">
        <v>2306</v>
      </c>
      <c r="BF961" s="5" t="s">
        <v>1497</v>
      </c>
      <c r="BG961" s="15">
        <v>36.5</v>
      </c>
      <c r="BH961" s="5" t="s">
        <v>192</v>
      </c>
      <c r="BI961" s="5" t="s">
        <v>192</v>
      </c>
      <c r="BJ961" s="5" t="s">
        <v>293</v>
      </c>
      <c r="BK961" s="5" t="s">
        <v>500</v>
      </c>
      <c r="BL961" s="5" t="s">
        <v>222</v>
      </c>
      <c r="BM961" s="5" t="s">
        <v>215</v>
      </c>
      <c r="BN961" s="5">
        <v>165</v>
      </c>
      <c r="BO961" s="5">
        <f t="shared" si="14"/>
        <v>22.038567493113</v>
      </c>
      <c r="BP961" s="5" t="s">
        <v>196</v>
      </c>
      <c r="BQ961" s="5" t="s">
        <v>76</v>
      </c>
      <c r="BR961" s="5">
        <v>13904</v>
      </c>
    </row>
    <row r="962" s="1" customFormat="1" spans="1:70">
      <c r="A962" s="1">
        <v>3321174</v>
      </c>
      <c r="B962" s="1" t="s">
        <v>2307</v>
      </c>
      <c r="D962" s="4">
        <v>45029</v>
      </c>
      <c r="E962" s="4">
        <v>45044</v>
      </c>
      <c r="F962" s="7">
        <v>21461</v>
      </c>
      <c r="G962" s="1">
        <v>33</v>
      </c>
      <c r="H962" s="1">
        <v>9</v>
      </c>
      <c r="I962" s="1">
        <v>45</v>
      </c>
      <c r="J962" s="1">
        <v>9</v>
      </c>
      <c r="K962" s="1">
        <v>58</v>
      </c>
      <c r="L962" s="1">
        <v>31</v>
      </c>
      <c r="M962" s="1">
        <v>0.66</v>
      </c>
      <c r="N962" s="1">
        <v>10.5</v>
      </c>
      <c r="O962" s="7">
        <v>21461</v>
      </c>
      <c r="P962" s="4">
        <v>45029</v>
      </c>
      <c r="Q962" s="4">
        <v>45044</v>
      </c>
      <c r="R962" s="1" t="s">
        <v>73</v>
      </c>
      <c r="AO962" s="7">
        <v>21461</v>
      </c>
      <c r="AP962" s="5">
        <v>9.4</v>
      </c>
      <c r="AQ962" s="5">
        <v>99</v>
      </c>
      <c r="AR962" s="5">
        <v>41.3</v>
      </c>
      <c r="AS962" s="5">
        <v>83.1</v>
      </c>
      <c r="AT962" s="5">
        <v>48</v>
      </c>
      <c r="AU962" s="5">
        <v>59</v>
      </c>
      <c r="AV962" s="5">
        <v>47.5</v>
      </c>
      <c r="AW962" s="5">
        <v>9.41</v>
      </c>
      <c r="AX962" s="5">
        <v>51</v>
      </c>
      <c r="AY962" s="5" t="s">
        <v>125</v>
      </c>
      <c r="AZ962" s="5" t="s">
        <v>75</v>
      </c>
      <c r="BA962" s="5">
        <v>6.07</v>
      </c>
      <c r="BB962" s="12" t="s">
        <v>76</v>
      </c>
      <c r="BC962" s="5">
        <v>4.29</v>
      </c>
      <c r="BD962" s="5">
        <v>99</v>
      </c>
      <c r="BE962" s="5">
        <v>1.23</v>
      </c>
      <c r="BF962" s="5">
        <v>3.78</v>
      </c>
      <c r="BG962" s="15">
        <v>36.3</v>
      </c>
      <c r="BH962" s="5">
        <v>110</v>
      </c>
      <c r="BI962" s="5">
        <v>110</v>
      </c>
      <c r="BJ962" s="5">
        <v>16</v>
      </c>
      <c r="BK962" s="5">
        <v>130</v>
      </c>
      <c r="BL962" s="5">
        <v>70</v>
      </c>
      <c r="BM962" s="5">
        <v>53</v>
      </c>
      <c r="BN962" s="5">
        <v>155</v>
      </c>
      <c r="BO962" s="5">
        <f t="shared" si="14"/>
        <v>22.0603537981269</v>
      </c>
      <c r="BP962" s="5" t="s">
        <v>1450</v>
      </c>
      <c r="BQ962" s="5" t="s">
        <v>76</v>
      </c>
      <c r="BR962" s="5">
        <v>913</v>
      </c>
    </row>
    <row r="963" s="1" customFormat="1" spans="1:70">
      <c r="A963" s="1">
        <v>3258424</v>
      </c>
      <c r="B963" s="1" t="s">
        <v>2308</v>
      </c>
      <c r="D963" s="4">
        <v>44925</v>
      </c>
      <c r="E963" s="4">
        <v>44935</v>
      </c>
      <c r="F963" s="7">
        <v>21465</v>
      </c>
      <c r="G963" s="1">
        <v>26</v>
      </c>
      <c r="H963" s="1">
        <v>10</v>
      </c>
      <c r="I963" s="1">
        <v>50</v>
      </c>
      <c r="J963" s="1">
        <v>10</v>
      </c>
      <c r="K963" s="1">
        <v>58</v>
      </c>
      <c r="L963" s="1">
        <v>31</v>
      </c>
      <c r="M963" s="1">
        <v>0.72</v>
      </c>
      <c r="N963" s="1">
        <v>9.1</v>
      </c>
      <c r="O963" s="7">
        <v>21465</v>
      </c>
      <c r="P963" s="4">
        <v>44925</v>
      </c>
      <c r="Q963" s="4">
        <v>44935</v>
      </c>
      <c r="R963" s="1" t="s">
        <v>80</v>
      </c>
      <c r="AO963" s="7">
        <v>21465</v>
      </c>
      <c r="AP963" s="5">
        <v>9</v>
      </c>
      <c r="AQ963" s="5">
        <v>80</v>
      </c>
      <c r="AR963" s="5">
        <v>34.5</v>
      </c>
      <c r="AS963" s="5">
        <v>99.7</v>
      </c>
      <c r="AT963" s="5">
        <v>614</v>
      </c>
      <c r="AU963" s="5">
        <v>9</v>
      </c>
      <c r="AV963" s="5">
        <v>26.6</v>
      </c>
      <c r="AW963" s="5">
        <v>7.76</v>
      </c>
      <c r="AX963" s="5">
        <v>70</v>
      </c>
      <c r="AY963" s="5" t="s">
        <v>125</v>
      </c>
      <c r="AZ963" s="5" t="s">
        <v>75</v>
      </c>
      <c r="BA963" s="5" t="s">
        <v>2309</v>
      </c>
      <c r="BB963" s="12" t="s">
        <v>76</v>
      </c>
      <c r="BC963" s="5">
        <v>4.28</v>
      </c>
      <c r="BD963" s="5">
        <v>80</v>
      </c>
      <c r="BE963" s="5" t="s">
        <v>76</v>
      </c>
      <c r="BF963" s="5" t="s">
        <v>76</v>
      </c>
      <c r="BG963" s="15">
        <v>36.7</v>
      </c>
      <c r="BH963" s="5" t="s">
        <v>76</v>
      </c>
      <c r="BI963" s="5">
        <v>105</v>
      </c>
      <c r="BJ963" s="5">
        <v>21</v>
      </c>
      <c r="BK963" s="5">
        <v>92</v>
      </c>
      <c r="BL963" s="5">
        <v>64</v>
      </c>
      <c r="BM963" s="5">
        <v>0</v>
      </c>
      <c r="BN963" s="5">
        <v>0</v>
      </c>
      <c r="BO963" s="5" t="e">
        <f t="shared" ref="BO963:BO1026" si="15">BM963/(BN963/100)^2</f>
        <v>#DIV/0!</v>
      </c>
      <c r="BP963" s="5" t="s">
        <v>618</v>
      </c>
      <c r="BQ963" s="5" t="s">
        <v>76</v>
      </c>
      <c r="BR963" s="5">
        <v>5088</v>
      </c>
    </row>
    <row r="964" s="1" customFormat="1" spans="1:70">
      <c r="A964" s="1">
        <v>3315348</v>
      </c>
      <c r="B964" s="1" t="s">
        <v>2310</v>
      </c>
      <c r="D964" s="4">
        <v>45012</v>
      </c>
      <c r="E964" s="4">
        <v>45019</v>
      </c>
      <c r="F964" s="7">
        <v>21478</v>
      </c>
      <c r="G964" s="1">
        <v>41</v>
      </c>
      <c r="H964" s="1">
        <v>10</v>
      </c>
      <c r="I964" s="1">
        <v>62</v>
      </c>
      <c r="J964" s="1">
        <v>10</v>
      </c>
      <c r="K964" s="1">
        <v>40</v>
      </c>
      <c r="L964" s="1">
        <v>20</v>
      </c>
      <c r="M964" s="1">
        <v>0.49</v>
      </c>
      <c r="N964" s="1">
        <v>14.4</v>
      </c>
      <c r="O964" s="7">
        <v>21478</v>
      </c>
      <c r="P964" s="4">
        <v>45012</v>
      </c>
      <c r="Q964" s="4">
        <v>45019</v>
      </c>
      <c r="R964" s="1" t="s">
        <v>80</v>
      </c>
      <c r="AO964" s="7">
        <v>21478</v>
      </c>
      <c r="AP964" s="5">
        <v>4.1</v>
      </c>
      <c r="AQ964" s="5">
        <v>116</v>
      </c>
      <c r="AR964" s="5">
        <v>36.5</v>
      </c>
      <c r="AS964" s="5">
        <v>4</v>
      </c>
      <c r="AT964" s="5">
        <v>22</v>
      </c>
      <c r="AU964" s="5">
        <v>13</v>
      </c>
      <c r="AV964" s="5">
        <v>39.6</v>
      </c>
      <c r="AW964" s="5">
        <v>11.27</v>
      </c>
      <c r="AX964" s="5">
        <v>138</v>
      </c>
      <c r="AY964" s="5">
        <v>47.83</v>
      </c>
      <c r="AZ964" s="5" t="s">
        <v>75</v>
      </c>
      <c r="BA964" s="5">
        <v>3.5</v>
      </c>
      <c r="BB964" s="12" t="s">
        <v>76</v>
      </c>
      <c r="BC964" s="5">
        <v>3.72</v>
      </c>
      <c r="BD964" s="5">
        <v>116</v>
      </c>
      <c r="BE964" s="5">
        <v>0.91</v>
      </c>
      <c r="BF964" s="5">
        <v>1.98</v>
      </c>
      <c r="BG964" s="15">
        <v>36.5</v>
      </c>
      <c r="BH964" s="5">
        <v>86</v>
      </c>
      <c r="BI964" s="5">
        <v>86</v>
      </c>
      <c r="BJ964" s="5">
        <v>16</v>
      </c>
      <c r="BK964" s="5">
        <v>144</v>
      </c>
      <c r="BL964" s="5">
        <v>87</v>
      </c>
      <c r="BM964" s="5">
        <v>88</v>
      </c>
      <c r="BN964" s="5">
        <v>175</v>
      </c>
      <c r="BO964" s="5">
        <f t="shared" si="15"/>
        <v>28.734693877551</v>
      </c>
      <c r="BP964" s="5" t="s">
        <v>121</v>
      </c>
      <c r="BQ964" s="5">
        <v>6.1</v>
      </c>
      <c r="BR964" s="5">
        <v>1592</v>
      </c>
    </row>
    <row r="965" s="1" customFormat="1" spans="1:70">
      <c r="A965" s="1" t="s">
        <v>2311</v>
      </c>
      <c r="B965" s="1" t="s">
        <v>2312</v>
      </c>
      <c r="D965" s="4">
        <v>45263</v>
      </c>
      <c r="E965" s="4">
        <v>45290</v>
      </c>
      <c r="F965" s="7">
        <v>21502</v>
      </c>
      <c r="G965" s="1">
        <v>39</v>
      </c>
      <c r="H965" s="1">
        <v>8</v>
      </c>
      <c r="I965" s="1">
        <v>42</v>
      </c>
      <c r="J965" s="1">
        <v>8</v>
      </c>
      <c r="K965" s="1">
        <v>62</v>
      </c>
      <c r="L965" s="1">
        <v>34</v>
      </c>
      <c r="N965" s="1">
        <v>21.6</v>
      </c>
      <c r="O965" s="7">
        <v>21502</v>
      </c>
      <c r="P965" s="4">
        <v>45263</v>
      </c>
      <c r="Q965" s="4">
        <v>45290</v>
      </c>
      <c r="R965" s="1" t="s">
        <v>73</v>
      </c>
      <c r="AO965" s="7">
        <v>21502</v>
      </c>
      <c r="AP965" s="5" t="s">
        <v>591</v>
      </c>
      <c r="AQ965" s="5" t="s">
        <v>89</v>
      </c>
      <c r="AR965" s="5" t="s">
        <v>741</v>
      </c>
      <c r="AS965" s="5" t="s">
        <v>1173</v>
      </c>
      <c r="AT965" s="5" t="s">
        <v>533</v>
      </c>
      <c r="AU965" s="5" t="s">
        <v>93</v>
      </c>
      <c r="AV965" s="5" t="s">
        <v>1547</v>
      </c>
      <c r="AW965" s="5" t="s">
        <v>478</v>
      </c>
      <c r="AX965" s="5" t="s">
        <v>352</v>
      </c>
      <c r="AY965" s="5" t="s">
        <v>125</v>
      </c>
      <c r="AZ965" s="5" t="s">
        <v>75</v>
      </c>
      <c r="BA965" s="5" t="s">
        <v>2313</v>
      </c>
      <c r="BB965" s="12" t="s">
        <v>76</v>
      </c>
      <c r="BC965" s="5" t="s">
        <v>2314</v>
      </c>
      <c r="BD965" s="5" t="s">
        <v>89</v>
      </c>
      <c r="BE965" s="5" t="s">
        <v>2315</v>
      </c>
      <c r="BF965" s="5" t="s">
        <v>2316</v>
      </c>
      <c r="BG965" s="15">
        <v>36.7</v>
      </c>
      <c r="BH965" s="5" t="s">
        <v>192</v>
      </c>
      <c r="BI965" s="5" t="s">
        <v>192</v>
      </c>
      <c r="BJ965" s="5" t="s">
        <v>101</v>
      </c>
      <c r="BK965" s="5" t="s">
        <v>654</v>
      </c>
      <c r="BL965" s="5" t="s">
        <v>245</v>
      </c>
      <c r="BM965" s="5" t="s">
        <v>894</v>
      </c>
      <c r="BN965" s="5">
        <v>145</v>
      </c>
      <c r="BO965" s="5">
        <f t="shared" si="15"/>
        <v>19.0249702734839</v>
      </c>
      <c r="BP965" s="5" t="s">
        <v>321</v>
      </c>
      <c r="BQ965" s="5" t="s">
        <v>76</v>
      </c>
      <c r="BR965" s="5">
        <v>6125</v>
      </c>
    </row>
    <row r="966" s="1" customFormat="1" spans="1:70">
      <c r="A966" s="1">
        <v>3294021</v>
      </c>
      <c r="B966" s="1" t="s">
        <v>2317</v>
      </c>
      <c r="D966" s="4">
        <v>44983</v>
      </c>
      <c r="E966" s="4">
        <v>44987</v>
      </c>
      <c r="F966" s="7">
        <v>21511</v>
      </c>
      <c r="G966" s="1">
        <v>39</v>
      </c>
      <c r="H966" s="1">
        <v>10</v>
      </c>
      <c r="I966" s="1">
        <v>50</v>
      </c>
      <c r="J966" s="1">
        <v>9</v>
      </c>
      <c r="K966" s="1">
        <v>51</v>
      </c>
      <c r="L966" s="1">
        <v>26</v>
      </c>
      <c r="M966" s="1">
        <v>0.74</v>
      </c>
      <c r="N966" s="1">
        <v>12.8</v>
      </c>
      <c r="O966" s="7">
        <v>21511</v>
      </c>
      <c r="P966" s="4">
        <v>44983</v>
      </c>
      <c r="Q966" s="4">
        <v>44987</v>
      </c>
      <c r="R966" s="1" t="s">
        <v>80</v>
      </c>
      <c r="AO966" s="7">
        <v>21511</v>
      </c>
      <c r="AP966" s="5">
        <v>7.4</v>
      </c>
      <c r="AQ966" s="5">
        <v>158</v>
      </c>
      <c r="AR966" s="5">
        <v>47.4</v>
      </c>
      <c r="AS966" s="5">
        <v>7.7</v>
      </c>
      <c r="AT966" s="5">
        <v>66</v>
      </c>
      <c r="AU966" s="5">
        <v>48</v>
      </c>
      <c r="AV966" s="5">
        <v>41.9</v>
      </c>
      <c r="AW966" s="5">
        <v>4.63</v>
      </c>
      <c r="AX966" s="5">
        <v>62</v>
      </c>
      <c r="AY966" s="5" t="s">
        <v>125</v>
      </c>
      <c r="AZ966" s="5">
        <v>4.9</v>
      </c>
      <c r="BA966" s="5">
        <v>3.54</v>
      </c>
      <c r="BB966" s="12" t="s">
        <v>76</v>
      </c>
      <c r="BC966" s="5">
        <v>3.97</v>
      </c>
      <c r="BD966" s="5">
        <v>158</v>
      </c>
      <c r="BE966" s="5">
        <v>0.8</v>
      </c>
      <c r="BF966" s="5">
        <v>2.03</v>
      </c>
      <c r="BG966" s="15">
        <v>36.8</v>
      </c>
      <c r="BH966" s="5">
        <v>66</v>
      </c>
      <c r="BI966" s="5">
        <v>66</v>
      </c>
      <c r="BJ966" s="5">
        <v>18</v>
      </c>
      <c r="BK966" s="5">
        <v>96</v>
      </c>
      <c r="BL966" s="5">
        <v>57</v>
      </c>
      <c r="BM966" s="5">
        <v>89</v>
      </c>
      <c r="BN966" s="5">
        <v>168</v>
      </c>
      <c r="BO966" s="5">
        <f t="shared" si="15"/>
        <v>31.5334467120181</v>
      </c>
      <c r="BP966" s="5" t="s">
        <v>323</v>
      </c>
      <c r="BQ966" s="5" t="s">
        <v>76</v>
      </c>
      <c r="BR966" s="5">
        <v>927</v>
      </c>
    </row>
    <row r="967" s="1" customFormat="1" spans="1:70">
      <c r="A967" s="1">
        <v>3249096</v>
      </c>
      <c r="B967" s="1" t="s">
        <v>2318</v>
      </c>
      <c r="D967" s="4">
        <v>44900</v>
      </c>
      <c r="E967" s="4">
        <v>44911</v>
      </c>
      <c r="F967" s="7">
        <v>21520</v>
      </c>
      <c r="G967" s="1">
        <v>40</v>
      </c>
      <c r="H967" s="1">
        <v>9</v>
      </c>
      <c r="I967" s="1">
        <v>52</v>
      </c>
      <c r="J967" s="1">
        <v>9</v>
      </c>
      <c r="K967" s="1">
        <v>40</v>
      </c>
      <c r="M967" s="1">
        <v>0.88</v>
      </c>
      <c r="N967" s="1">
        <v>20.3</v>
      </c>
      <c r="O967" s="7">
        <v>21520</v>
      </c>
      <c r="P967" s="4">
        <v>44900</v>
      </c>
      <c r="Q967" s="4">
        <v>44911</v>
      </c>
      <c r="R967" s="1" t="s">
        <v>73</v>
      </c>
      <c r="AO967" s="7">
        <v>21520</v>
      </c>
      <c r="AP967" s="5">
        <v>16.7</v>
      </c>
      <c r="AQ967" s="5">
        <v>94</v>
      </c>
      <c r="AR967" s="5">
        <v>34.4</v>
      </c>
      <c r="AS967" s="5">
        <v>91.6</v>
      </c>
      <c r="AT967" s="5">
        <v>8</v>
      </c>
      <c r="AU967" s="5">
        <v>8</v>
      </c>
      <c r="AV967" s="5">
        <v>43.9</v>
      </c>
      <c r="AW967" s="5">
        <v>17.06</v>
      </c>
      <c r="AX967" s="5">
        <v>167</v>
      </c>
      <c r="AY967" s="5">
        <v>40.15</v>
      </c>
      <c r="AZ967" s="5" t="s">
        <v>375</v>
      </c>
      <c r="BA967" s="5">
        <v>5.4</v>
      </c>
      <c r="BB967" s="12" t="s">
        <v>76</v>
      </c>
      <c r="BC967" s="5">
        <v>4.7</v>
      </c>
      <c r="BD967" s="5">
        <v>94</v>
      </c>
      <c r="BE967" s="5">
        <v>0.88</v>
      </c>
      <c r="BF967" s="5">
        <v>3.66</v>
      </c>
      <c r="BG967" s="15">
        <v>36.8</v>
      </c>
      <c r="BH967" s="5">
        <v>108</v>
      </c>
      <c r="BI967" s="5">
        <v>108</v>
      </c>
      <c r="BJ967" s="5">
        <v>20</v>
      </c>
      <c r="BK967" s="5">
        <v>130</v>
      </c>
      <c r="BL967" s="5">
        <v>90</v>
      </c>
      <c r="BM967" s="5">
        <v>65</v>
      </c>
      <c r="BN967" s="5">
        <v>150</v>
      </c>
      <c r="BO967" s="5">
        <f t="shared" si="15"/>
        <v>28.8888888888889</v>
      </c>
      <c r="BP967" s="5" t="s">
        <v>588</v>
      </c>
      <c r="BQ967" s="5">
        <v>6.7</v>
      </c>
      <c r="BR967" s="5">
        <v>26880</v>
      </c>
    </row>
    <row r="968" s="1" customFormat="1" spans="1:70">
      <c r="A968" s="1" t="s">
        <v>2319</v>
      </c>
      <c r="B968" s="1" t="s">
        <v>2320</v>
      </c>
      <c r="C968" s="1">
        <v>1</v>
      </c>
      <c r="D968" s="4">
        <v>44877</v>
      </c>
      <c r="E968" s="4">
        <v>44909</v>
      </c>
      <c r="F968" s="7">
        <v>21544</v>
      </c>
      <c r="G968" s="1">
        <v>44</v>
      </c>
      <c r="H968" s="1">
        <v>10</v>
      </c>
      <c r="I968" s="1">
        <v>49</v>
      </c>
      <c r="J968" s="1">
        <v>9</v>
      </c>
      <c r="K968" s="1">
        <v>51</v>
      </c>
      <c r="L968" s="1">
        <v>26</v>
      </c>
      <c r="N968" s="1">
        <v>16.8</v>
      </c>
      <c r="O968" s="7">
        <v>21544</v>
      </c>
      <c r="P968" s="4">
        <v>44877</v>
      </c>
      <c r="Q968" s="4">
        <v>44909</v>
      </c>
      <c r="R968" s="1" t="s">
        <v>73</v>
      </c>
      <c r="S968" s="1">
        <v>63</v>
      </c>
      <c r="T968" s="1">
        <v>13815397658</v>
      </c>
      <c r="Y968" s="1">
        <v>1</v>
      </c>
      <c r="AA968" s="1">
        <v>1</v>
      </c>
      <c r="AI968" s="1">
        <v>1</v>
      </c>
      <c r="AM968" s="1">
        <v>1</v>
      </c>
      <c r="AO968" s="7">
        <v>21544</v>
      </c>
      <c r="AP968" s="5" t="s">
        <v>1203</v>
      </c>
      <c r="AQ968" s="5" t="s">
        <v>137</v>
      </c>
      <c r="AR968" s="5" t="s">
        <v>90</v>
      </c>
      <c r="AS968" s="5" t="s">
        <v>2321</v>
      </c>
      <c r="AT968" s="5" t="s">
        <v>214</v>
      </c>
      <c r="AU968" s="5" t="s">
        <v>287</v>
      </c>
      <c r="AV968" s="5" t="s">
        <v>1534</v>
      </c>
      <c r="AW968" s="5" t="s">
        <v>2322</v>
      </c>
      <c r="AX968" s="5" t="s">
        <v>2323</v>
      </c>
      <c r="AY968" s="5" t="s">
        <v>2324</v>
      </c>
      <c r="AZ968" s="5" t="s">
        <v>75</v>
      </c>
      <c r="BA968" s="5" t="s">
        <v>2325</v>
      </c>
      <c r="BB968" s="12" t="s">
        <v>76</v>
      </c>
      <c r="BC968" s="5" t="s">
        <v>4</v>
      </c>
      <c r="BD968" s="5" t="s">
        <v>137</v>
      </c>
      <c r="BE968" s="5" t="s">
        <v>2306</v>
      </c>
      <c r="BF968" s="5" t="s">
        <v>2326</v>
      </c>
      <c r="BG968" s="15">
        <v>36.4</v>
      </c>
      <c r="BH968" s="5" t="s">
        <v>76</v>
      </c>
      <c r="BI968" s="5" t="s">
        <v>238</v>
      </c>
      <c r="BJ968" s="5" t="s">
        <v>182</v>
      </c>
      <c r="BK968" s="5" t="s">
        <v>1558</v>
      </c>
      <c r="BL968" s="5" t="s">
        <v>336</v>
      </c>
      <c r="BM968" s="5" t="s">
        <v>77</v>
      </c>
      <c r="BN968" s="5" t="s">
        <v>77</v>
      </c>
      <c r="BO968" s="5" t="e">
        <f t="shared" si="15"/>
        <v>#VALUE!</v>
      </c>
      <c r="BP968" s="5" t="s">
        <v>353</v>
      </c>
      <c r="BQ968" s="5" t="s">
        <v>76</v>
      </c>
      <c r="BR968" s="5" t="s">
        <v>118</v>
      </c>
    </row>
    <row r="969" s="1" customFormat="1" spans="1:70">
      <c r="A969" s="1">
        <v>3232091</v>
      </c>
      <c r="B969" s="1" t="s">
        <v>2327</v>
      </c>
      <c r="D969" s="4">
        <v>44869</v>
      </c>
      <c r="E969" s="4">
        <v>44891</v>
      </c>
      <c r="F969" s="7">
        <v>21545</v>
      </c>
      <c r="G969" s="1">
        <v>35</v>
      </c>
      <c r="H969" s="1">
        <v>10</v>
      </c>
      <c r="I969" s="1">
        <v>46</v>
      </c>
      <c r="J969" s="1">
        <v>10</v>
      </c>
      <c r="K969" s="1">
        <v>58</v>
      </c>
      <c r="L969" s="1">
        <v>31</v>
      </c>
      <c r="M969" s="1">
        <v>0.7</v>
      </c>
      <c r="N969" s="1">
        <v>10.4</v>
      </c>
      <c r="O969" s="7">
        <v>21545</v>
      </c>
      <c r="P969" s="4">
        <v>44869</v>
      </c>
      <c r="Q969" s="4">
        <v>44891</v>
      </c>
      <c r="R969" s="1" t="s">
        <v>80</v>
      </c>
      <c r="AO969" s="7">
        <v>21545</v>
      </c>
      <c r="AP969" s="5">
        <v>8.6</v>
      </c>
      <c r="AQ969" s="5">
        <v>159</v>
      </c>
      <c r="AR969" s="5">
        <v>49.3</v>
      </c>
      <c r="AS969" s="5">
        <v>98.7</v>
      </c>
      <c r="AT969" s="5">
        <v>23</v>
      </c>
      <c r="AU969" s="5">
        <v>9</v>
      </c>
      <c r="AV969" s="5">
        <v>44.3</v>
      </c>
      <c r="AW969" s="5">
        <v>7.65</v>
      </c>
      <c r="AX969" s="5">
        <v>77</v>
      </c>
      <c r="AY969" s="5" t="s">
        <v>125</v>
      </c>
      <c r="AZ969" s="5" t="s">
        <v>75</v>
      </c>
      <c r="BA969" s="5">
        <v>3.86</v>
      </c>
      <c r="BB969" s="12" t="s">
        <v>76</v>
      </c>
      <c r="BC969" s="5">
        <v>4.73</v>
      </c>
      <c r="BD969" s="5">
        <v>159</v>
      </c>
      <c r="BE969" s="5">
        <v>0.67</v>
      </c>
      <c r="BF969" s="5">
        <v>2.91</v>
      </c>
      <c r="BG969" s="15">
        <v>36.5</v>
      </c>
      <c r="BH969" s="5">
        <v>74</v>
      </c>
      <c r="BI969" s="5">
        <v>74</v>
      </c>
      <c r="BJ969" s="5">
        <v>20</v>
      </c>
      <c r="BK969" s="5">
        <v>110</v>
      </c>
      <c r="BL969" s="5">
        <v>70</v>
      </c>
      <c r="BM969" s="5">
        <v>85</v>
      </c>
      <c r="BN969" s="5">
        <v>160</v>
      </c>
      <c r="BO969" s="5">
        <f t="shared" si="15"/>
        <v>33.203125</v>
      </c>
      <c r="BP969" s="5" t="s">
        <v>1450</v>
      </c>
      <c r="BQ969" s="5">
        <v>5.5</v>
      </c>
      <c r="BR969" s="5">
        <v>963</v>
      </c>
    </row>
    <row r="970" s="1" customFormat="1" spans="1:70">
      <c r="A970" s="1">
        <v>3305405</v>
      </c>
      <c r="B970" s="1" t="s">
        <v>2328</v>
      </c>
      <c r="D970" s="4">
        <v>44998</v>
      </c>
      <c r="E970" s="4">
        <v>45012</v>
      </c>
      <c r="F970" s="7">
        <v>21555</v>
      </c>
      <c r="G970" s="1">
        <v>36</v>
      </c>
      <c r="H970" s="1">
        <v>9</v>
      </c>
      <c r="I970" s="1">
        <v>47</v>
      </c>
      <c r="J970" s="1">
        <v>9</v>
      </c>
      <c r="K970" s="1">
        <v>35</v>
      </c>
      <c r="L970" s="1">
        <v>16</v>
      </c>
      <c r="M970" s="1">
        <v>0.57</v>
      </c>
      <c r="N970" s="1">
        <v>5.4</v>
      </c>
      <c r="O970" s="7">
        <v>21555</v>
      </c>
      <c r="P970" s="4">
        <v>44998</v>
      </c>
      <c r="Q970" s="4">
        <v>45012</v>
      </c>
      <c r="R970" s="1" t="s">
        <v>73</v>
      </c>
      <c r="AO970" s="7">
        <v>21555</v>
      </c>
      <c r="AP970" s="5">
        <v>9.1</v>
      </c>
      <c r="AQ970" s="5">
        <v>92</v>
      </c>
      <c r="AR970" s="5">
        <v>48.5</v>
      </c>
      <c r="AS970" s="5">
        <v>99.8</v>
      </c>
      <c r="AT970" s="5">
        <v>95</v>
      </c>
      <c r="AU970" s="5">
        <v>81</v>
      </c>
      <c r="AV970" s="5">
        <v>37.1</v>
      </c>
      <c r="AW970" s="5">
        <v>7.41</v>
      </c>
      <c r="AX970" s="5" t="s">
        <v>1455</v>
      </c>
      <c r="AY970" s="5" t="s">
        <v>125</v>
      </c>
      <c r="AZ970" s="5" t="s">
        <v>75</v>
      </c>
      <c r="BA970" s="5" t="s">
        <v>76</v>
      </c>
      <c r="BB970" s="12" t="s">
        <v>76</v>
      </c>
      <c r="BC970" s="5">
        <v>5.06</v>
      </c>
      <c r="BD970" s="5">
        <v>92</v>
      </c>
      <c r="BE970" s="5" t="s">
        <v>76</v>
      </c>
      <c r="BF970" s="5" t="s">
        <v>76</v>
      </c>
      <c r="BG970" s="15">
        <v>37.2</v>
      </c>
      <c r="BH970" s="5" t="s">
        <v>76</v>
      </c>
      <c r="BI970" s="5">
        <v>106</v>
      </c>
      <c r="BJ970" s="5">
        <v>29</v>
      </c>
      <c r="BK970" s="5">
        <v>95</v>
      </c>
      <c r="BL970" s="5">
        <v>63</v>
      </c>
      <c r="BM970" s="5">
        <v>42</v>
      </c>
      <c r="BN970" s="5">
        <v>165</v>
      </c>
      <c r="BO970" s="5">
        <f t="shared" si="15"/>
        <v>15.4269972451791</v>
      </c>
      <c r="BP970" s="5" t="s">
        <v>618</v>
      </c>
      <c r="BQ970" s="5" t="s">
        <v>76</v>
      </c>
      <c r="BR970" s="5">
        <v>7235</v>
      </c>
    </row>
    <row r="971" s="1" customFormat="1" spans="1:70">
      <c r="A971" s="1">
        <v>3294001</v>
      </c>
      <c r="B971" s="1" t="s">
        <v>2329</v>
      </c>
      <c r="D971" s="4">
        <v>44983</v>
      </c>
      <c r="E971" s="4">
        <v>44987</v>
      </c>
      <c r="F971" s="7">
        <v>21562</v>
      </c>
      <c r="G971" s="1">
        <v>43</v>
      </c>
      <c r="H971" s="1">
        <v>9</v>
      </c>
      <c r="I971" s="1">
        <v>56</v>
      </c>
      <c r="J971" s="1">
        <v>9</v>
      </c>
      <c r="K971" s="1">
        <v>40</v>
      </c>
      <c r="L971" s="1">
        <v>20</v>
      </c>
      <c r="N971" s="1">
        <v>8.1</v>
      </c>
      <c r="O971" s="7">
        <v>21562</v>
      </c>
      <c r="P971" s="4">
        <v>44983</v>
      </c>
      <c r="Q971" s="4">
        <v>44987</v>
      </c>
      <c r="R971" s="1" t="s">
        <v>80</v>
      </c>
      <c r="AO971" s="7">
        <v>21562</v>
      </c>
      <c r="AP971" s="5">
        <v>4.8</v>
      </c>
      <c r="AQ971" s="5">
        <v>148</v>
      </c>
      <c r="AR971" s="5">
        <v>47.6</v>
      </c>
      <c r="AS971" s="5">
        <v>0.8</v>
      </c>
      <c r="AT971" s="5">
        <v>66</v>
      </c>
      <c r="AU971" s="5">
        <v>134</v>
      </c>
      <c r="AV971" s="5">
        <v>32.2</v>
      </c>
      <c r="AW971" s="5">
        <v>5.24</v>
      </c>
      <c r="AX971" s="5">
        <v>65</v>
      </c>
      <c r="AY971" s="5">
        <v>114.03</v>
      </c>
      <c r="AZ971" s="5">
        <v>4.21</v>
      </c>
      <c r="BA971" s="5">
        <v>4.2</v>
      </c>
      <c r="BB971" s="12" t="s">
        <v>76</v>
      </c>
      <c r="BC971" s="5">
        <v>3.69</v>
      </c>
      <c r="BD971" s="5">
        <v>148</v>
      </c>
      <c r="BE971" s="5">
        <v>1</v>
      </c>
      <c r="BF971" s="5">
        <v>2.75</v>
      </c>
      <c r="BG971" s="15">
        <v>36.5</v>
      </c>
      <c r="BH971" s="5">
        <v>65</v>
      </c>
      <c r="BI971" s="5">
        <v>95</v>
      </c>
      <c r="BJ971" s="5">
        <v>19</v>
      </c>
      <c r="BK971" s="5">
        <v>103</v>
      </c>
      <c r="BL971" s="5">
        <v>93</v>
      </c>
      <c r="BM971" s="5">
        <v>60</v>
      </c>
      <c r="BN971" s="5">
        <v>170</v>
      </c>
      <c r="BO971" s="5">
        <f t="shared" si="15"/>
        <v>20.7612456747405</v>
      </c>
      <c r="BP971" s="5" t="s">
        <v>107</v>
      </c>
      <c r="BQ971" s="5" t="s">
        <v>76</v>
      </c>
      <c r="BR971" s="5">
        <v>2938.19</v>
      </c>
    </row>
    <row r="972" s="1" customFormat="1" spans="1:70">
      <c r="A972" s="1">
        <v>3315062</v>
      </c>
      <c r="B972" s="1" t="s">
        <v>2330</v>
      </c>
      <c r="D972" s="4">
        <v>45012</v>
      </c>
      <c r="E972" s="4">
        <v>45022</v>
      </c>
      <c r="F972" s="7">
        <v>21570</v>
      </c>
      <c r="G972" s="1">
        <v>52</v>
      </c>
      <c r="H972" s="1">
        <v>10</v>
      </c>
      <c r="I972" s="1">
        <v>66</v>
      </c>
      <c r="J972" s="1">
        <v>10</v>
      </c>
      <c r="K972" s="1">
        <v>26</v>
      </c>
      <c r="L972" s="1">
        <v>12</v>
      </c>
      <c r="M972" s="1">
        <v>1.48</v>
      </c>
      <c r="N972" s="1">
        <v>25.2</v>
      </c>
      <c r="O972" s="7">
        <v>21570</v>
      </c>
      <c r="P972" s="4">
        <v>45012</v>
      </c>
      <c r="Q972" s="4">
        <v>45022</v>
      </c>
      <c r="R972" s="1" t="s">
        <v>80</v>
      </c>
      <c r="AO972" s="7">
        <v>21570</v>
      </c>
      <c r="AP972" s="5">
        <v>8.4</v>
      </c>
      <c r="AQ972" s="5">
        <v>116</v>
      </c>
      <c r="AR972" s="5">
        <v>35.3</v>
      </c>
      <c r="AS972" s="5">
        <v>37.1</v>
      </c>
      <c r="AT972" s="5">
        <v>43</v>
      </c>
      <c r="AU972" s="5">
        <v>65</v>
      </c>
      <c r="AV972" s="5">
        <v>39.5</v>
      </c>
      <c r="AW972" s="5">
        <v>6.13</v>
      </c>
      <c r="AX972" s="5">
        <v>120</v>
      </c>
      <c r="AY972" s="5">
        <v>56.75</v>
      </c>
      <c r="AZ972" s="5" t="s">
        <v>75</v>
      </c>
      <c r="BA972" s="5">
        <v>2.93</v>
      </c>
      <c r="BB972" s="12" t="s">
        <v>76</v>
      </c>
      <c r="BC972" s="5">
        <v>3.71</v>
      </c>
      <c r="BD972" s="5">
        <v>116</v>
      </c>
      <c r="BE972" s="5">
        <v>0.87</v>
      </c>
      <c r="BF972" s="5">
        <v>1.35</v>
      </c>
      <c r="BG972" s="15">
        <v>36.1</v>
      </c>
      <c r="BH972" s="5">
        <v>82</v>
      </c>
      <c r="BI972" s="5">
        <v>82</v>
      </c>
      <c r="BJ972" s="5">
        <v>18</v>
      </c>
      <c r="BK972" s="5">
        <v>168</v>
      </c>
      <c r="BL972" s="5">
        <v>92</v>
      </c>
      <c r="BM972" s="5">
        <v>69.5</v>
      </c>
      <c r="BN972" s="5">
        <v>170</v>
      </c>
      <c r="BO972" s="5">
        <f t="shared" si="15"/>
        <v>24.0484429065744</v>
      </c>
      <c r="BP972" s="5" t="s">
        <v>271</v>
      </c>
      <c r="BQ972" s="5">
        <v>9.8</v>
      </c>
      <c r="BR972" s="5" t="s">
        <v>118</v>
      </c>
    </row>
    <row r="973" s="1" customFormat="1" spans="1:70">
      <c r="A973" s="1">
        <v>3288128</v>
      </c>
      <c r="B973" s="1" t="s">
        <v>2331</v>
      </c>
      <c r="D973" s="4">
        <v>44974</v>
      </c>
      <c r="E973" s="4">
        <v>44984</v>
      </c>
      <c r="F973" s="7">
        <v>21614</v>
      </c>
      <c r="G973" s="1">
        <v>42</v>
      </c>
      <c r="H973" s="1">
        <v>9</v>
      </c>
      <c r="I973" s="1">
        <v>54</v>
      </c>
      <c r="J973" s="1">
        <v>9</v>
      </c>
      <c r="K973" s="1">
        <v>57</v>
      </c>
      <c r="L973" s="1">
        <v>30</v>
      </c>
      <c r="M973" s="1">
        <v>1.06</v>
      </c>
      <c r="N973" s="1">
        <v>11.1</v>
      </c>
      <c r="O973" s="7">
        <v>21614</v>
      </c>
      <c r="P973" s="4">
        <v>44974</v>
      </c>
      <c r="Q973" s="4">
        <v>44984</v>
      </c>
      <c r="R973" s="1" t="s">
        <v>73</v>
      </c>
      <c r="AO973" s="7">
        <v>21614</v>
      </c>
      <c r="AP973" s="5">
        <v>4.1</v>
      </c>
      <c r="AQ973" s="5">
        <v>129</v>
      </c>
      <c r="AR973" s="5">
        <v>39.1</v>
      </c>
      <c r="AS973" s="5" t="s">
        <v>81</v>
      </c>
      <c r="AT973" s="5">
        <v>20</v>
      </c>
      <c r="AU973" s="5">
        <v>18</v>
      </c>
      <c r="AV973" s="5">
        <v>39</v>
      </c>
      <c r="AW973" s="5">
        <v>7.85</v>
      </c>
      <c r="AX973" s="5">
        <v>42</v>
      </c>
      <c r="AY973" s="5" t="s">
        <v>125</v>
      </c>
      <c r="AZ973" s="5" t="s">
        <v>75</v>
      </c>
      <c r="BA973" s="5">
        <v>2.97</v>
      </c>
      <c r="BB973" s="12" t="s">
        <v>76</v>
      </c>
      <c r="BC973" s="5">
        <v>4.09</v>
      </c>
      <c r="BD973" s="5">
        <v>129</v>
      </c>
      <c r="BE973" s="5">
        <v>1.12</v>
      </c>
      <c r="BF973" s="5">
        <v>1.18</v>
      </c>
      <c r="BG973" s="15">
        <v>36.5</v>
      </c>
      <c r="BH973" s="5">
        <v>70</v>
      </c>
      <c r="BI973" s="5">
        <v>70</v>
      </c>
      <c r="BJ973" s="5">
        <v>17</v>
      </c>
      <c r="BK973" s="5">
        <v>150</v>
      </c>
      <c r="BL973" s="5">
        <v>43</v>
      </c>
      <c r="BM973" s="5">
        <v>61</v>
      </c>
      <c r="BN973" s="5">
        <v>155</v>
      </c>
      <c r="BO973" s="5">
        <f t="shared" si="15"/>
        <v>25.3902185223725</v>
      </c>
      <c r="BP973" s="5" t="s">
        <v>107</v>
      </c>
      <c r="BQ973" s="5" t="s">
        <v>76</v>
      </c>
      <c r="BR973" s="5">
        <v>4184</v>
      </c>
    </row>
    <row r="974" s="1" customFormat="1" spans="1:70">
      <c r="A974" s="1">
        <v>3489782</v>
      </c>
      <c r="B974" s="1" t="s">
        <v>2332</v>
      </c>
      <c r="D974" s="4">
        <v>45253</v>
      </c>
      <c r="E974" s="4">
        <v>45266</v>
      </c>
      <c r="F974" s="7">
        <v>21619</v>
      </c>
      <c r="G974" s="1">
        <v>31</v>
      </c>
      <c r="H974" s="1">
        <v>8</v>
      </c>
      <c r="I974" s="1">
        <v>51</v>
      </c>
      <c r="J974" s="1">
        <v>8</v>
      </c>
      <c r="K974" s="1">
        <v>57</v>
      </c>
      <c r="L974" s="1">
        <v>30</v>
      </c>
      <c r="M974" s="1">
        <v>0.71</v>
      </c>
      <c r="O974" s="7">
        <v>21619</v>
      </c>
      <c r="P974" s="4">
        <v>45253</v>
      </c>
      <c r="Q974" s="4">
        <v>45266</v>
      </c>
      <c r="R974" s="1" t="s">
        <v>73</v>
      </c>
      <c r="AO974" s="7">
        <v>21619</v>
      </c>
      <c r="AP974" s="5">
        <v>9739.3</v>
      </c>
      <c r="AQ974" s="5">
        <v>99</v>
      </c>
      <c r="AR974" s="5">
        <v>36.8</v>
      </c>
      <c r="AS974" s="5">
        <v>91.9</v>
      </c>
      <c r="AT974" s="5">
        <v>9</v>
      </c>
      <c r="AU974" s="5" t="s">
        <v>171</v>
      </c>
      <c r="AV974" s="5">
        <v>30.7</v>
      </c>
      <c r="AW974" s="5">
        <v>16.19</v>
      </c>
      <c r="AX974" s="5">
        <v>96</v>
      </c>
      <c r="AY974" s="5">
        <v>69.58</v>
      </c>
      <c r="AZ974" s="5">
        <v>9.4</v>
      </c>
      <c r="BA974" s="5" t="s">
        <v>76</v>
      </c>
      <c r="BB974" s="12" t="s">
        <v>76</v>
      </c>
      <c r="BC974" s="5">
        <v>4.17</v>
      </c>
      <c r="BD974" s="5">
        <v>99</v>
      </c>
      <c r="BE974" s="5" t="s">
        <v>76</v>
      </c>
      <c r="BF974" s="5" t="s">
        <v>76</v>
      </c>
      <c r="BG974" s="15">
        <v>36.6</v>
      </c>
      <c r="BH974" s="5">
        <v>88</v>
      </c>
      <c r="BI974" s="5">
        <v>88</v>
      </c>
      <c r="BJ974" s="5">
        <v>17</v>
      </c>
      <c r="BK974" s="5">
        <v>133</v>
      </c>
      <c r="BL974" s="5">
        <v>64</v>
      </c>
      <c r="BM974" s="5">
        <v>60</v>
      </c>
      <c r="BN974" s="5">
        <v>155</v>
      </c>
      <c r="BO974" s="5">
        <f t="shared" si="15"/>
        <v>24.9739854318418</v>
      </c>
      <c r="BP974" s="5" t="s">
        <v>121</v>
      </c>
      <c r="BQ974" s="5" t="s">
        <v>76</v>
      </c>
      <c r="BR974" s="5">
        <v>5263</v>
      </c>
    </row>
    <row r="975" s="1" customFormat="1" spans="1:70">
      <c r="A975" s="1">
        <v>3283856</v>
      </c>
      <c r="B975" s="1" t="s">
        <v>2333</v>
      </c>
      <c r="D975" s="4">
        <v>44968</v>
      </c>
      <c r="E975" s="4">
        <v>44974</v>
      </c>
      <c r="F975" s="7">
        <v>21659</v>
      </c>
      <c r="G975" s="1">
        <v>43</v>
      </c>
      <c r="H975" s="1">
        <v>10</v>
      </c>
      <c r="I975" s="1">
        <v>50</v>
      </c>
      <c r="J975" s="1">
        <v>10</v>
      </c>
      <c r="K975" s="1">
        <v>60</v>
      </c>
      <c r="L975" s="1">
        <v>32</v>
      </c>
      <c r="O975" s="7">
        <v>21659</v>
      </c>
      <c r="P975" s="4">
        <v>44968</v>
      </c>
      <c r="Q975" s="4">
        <v>44974</v>
      </c>
      <c r="R975" s="1" t="s">
        <v>80</v>
      </c>
      <c r="AO975" s="7">
        <v>21659</v>
      </c>
      <c r="AP975" s="5">
        <v>7.6</v>
      </c>
      <c r="AQ975" s="5">
        <v>156</v>
      </c>
      <c r="AR975" s="5">
        <v>46.8</v>
      </c>
      <c r="AS975" s="5">
        <v>42</v>
      </c>
      <c r="AT975" s="5">
        <v>14</v>
      </c>
      <c r="AU975" s="5">
        <v>19</v>
      </c>
      <c r="AV975" s="5">
        <v>45.8</v>
      </c>
      <c r="AW975" s="5">
        <v>7.4</v>
      </c>
      <c r="AX975" s="5">
        <v>66</v>
      </c>
      <c r="AY975" s="5" t="s">
        <v>76</v>
      </c>
      <c r="AZ975" s="5" t="s">
        <v>75</v>
      </c>
      <c r="BA975" s="5">
        <v>4.95</v>
      </c>
      <c r="BB975" s="12" t="s">
        <v>76</v>
      </c>
      <c r="BC975" s="5">
        <v>4.29</v>
      </c>
      <c r="BD975" s="5">
        <v>156</v>
      </c>
      <c r="BE975" s="5">
        <v>0.91</v>
      </c>
      <c r="BF975" s="5">
        <v>3.36</v>
      </c>
      <c r="BG975" s="15">
        <v>36.5</v>
      </c>
      <c r="BH975" s="5">
        <v>70</v>
      </c>
      <c r="BI975" s="5">
        <v>70</v>
      </c>
      <c r="BJ975" s="5">
        <v>18</v>
      </c>
      <c r="BK975" s="5">
        <v>132</v>
      </c>
      <c r="BL975" s="5">
        <v>70</v>
      </c>
      <c r="BM975" s="5">
        <v>52</v>
      </c>
      <c r="BN975" s="5">
        <v>165</v>
      </c>
      <c r="BO975" s="5">
        <f t="shared" si="15"/>
        <v>19.1000918273646</v>
      </c>
      <c r="BP975" s="5" t="s">
        <v>156</v>
      </c>
      <c r="BQ975" s="5" t="s">
        <v>76</v>
      </c>
      <c r="BR975" s="5">
        <v>1042</v>
      </c>
    </row>
    <row r="976" s="1" customFormat="1" spans="1:70">
      <c r="A976" s="1">
        <v>3254916</v>
      </c>
      <c r="B976" s="1" t="s">
        <v>2334</v>
      </c>
      <c r="D976" s="4">
        <v>44916</v>
      </c>
      <c r="E976" s="4">
        <v>44925</v>
      </c>
      <c r="F976" s="7">
        <v>21667</v>
      </c>
      <c r="G976" s="1">
        <v>39</v>
      </c>
      <c r="H976" s="1">
        <v>10</v>
      </c>
      <c r="I976" s="1">
        <v>46</v>
      </c>
      <c r="J976" s="1">
        <v>10</v>
      </c>
      <c r="K976" s="1">
        <v>57</v>
      </c>
      <c r="L976" s="1">
        <v>30</v>
      </c>
      <c r="M976" s="1">
        <v>0.72</v>
      </c>
      <c r="N976" s="1">
        <v>13.3</v>
      </c>
      <c r="O976" s="7">
        <v>21667</v>
      </c>
      <c r="P976" s="4">
        <v>44916</v>
      </c>
      <c r="Q976" s="4">
        <v>44925</v>
      </c>
      <c r="R976" s="1" t="s">
        <v>73</v>
      </c>
      <c r="AO976" s="7">
        <v>21667</v>
      </c>
      <c r="AP976" s="5">
        <v>5.1</v>
      </c>
      <c r="AQ976" s="5">
        <v>94</v>
      </c>
      <c r="AR976" s="5">
        <v>30.5</v>
      </c>
      <c r="AS976" s="5" t="s">
        <v>76</v>
      </c>
      <c r="AT976" s="5">
        <v>52</v>
      </c>
      <c r="AU976" s="5">
        <v>41</v>
      </c>
      <c r="AV976" s="5">
        <v>37.3</v>
      </c>
      <c r="AW976" s="5">
        <v>9.4</v>
      </c>
      <c r="AX976" s="5">
        <v>164</v>
      </c>
      <c r="AY976" s="5">
        <v>36.52</v>
      </c>
      <c r="AZ976" s="5">
        <v>9.53</v>
      </c>
      <c r="BA976" s="5">
        <v>5.55</v>
      </c>
      <c r="BB976" s="12" t="s">
        <v>76</v>
      </c>
      <c r="BC976" s="5">
        <v>5.69</v>
      </c>
      <c r="BD976" s="5">
        <v>94</v>
      </c>
      <c r="BE976" s="5">
        <v>0.86</v>
      </c>
      <c r="BF976" s="5">
        <v>3.36</v>
      </c>
      <c r="BG976" s="15">
        <v>37.2</v>
      </c>
      <c r="BH976" s="5">
        <v>80</v>
      </c>
      <c r="BI976" s="5">
        <v>80</v>
      </c>
      <c r="BJ976" s="5">
        <v>18</v>
      </c>
      <c r="BK976" s="5">
        <v>154</v>
      </c>
      <c r="BL976" s="5">
        <v>87</v>
      </c>
      <c r="BM976" s="5">
        <v>60</v>
      </c>
      <c r="BN976" s="5">
        <v>155</v>
      </c>
      <c r="BO976" s="5">
        <f t="shared" si="15"/>
        <v>24.9739854318418</v>
      </c>
      <c r="BP976" s="5" t="s">
        <v>156</v>
      </c>
      <c r="BQ976" s="5" t="s">
        <v>76</v>
      </c>
      <c r="BR976" s="5">
        <v>3434</v>
      </c>
    </row>
    <row r="977" s="1" customFormat="1" spans="1:70">
      <c r="A977" s="1">
        <v>3482851</v>
      </c>
      <c r="B977" s="1" t="s">
        <v>2335</v>
      </c>
      <c r="D977" s="4">
        <v>45244</v>
      </c>
      <c r="E977" s="4">
        <v>45276</v>
      </c>
      <c r="F977" s="7">
        <v>21718</v>
      </c>
      <c r="G977" s="1">
        <v>39</v>
      </c>
      <c r="H977" s="1">
        <v>10</v>
      </c>
      <c r="I977" s="1">
        <v>56</v>
      </c>
      <c r="J977" s="1">
        <v>10</v>
      </c>
      <c r="K977" s="1">
        <v>52</v>
      </c>
      <c r="L977" s="1">
        <v>27</v>
      </c>
      <c r="M977" s="1">
        <v>0.65</v>
      </c>
      <c r="N977" s="10">
        <v>13</v>
      </c>
      <c r="O977" s="7">
        <v>21718</v>
      </c>
      <c r="P977" s="4">
        <v>45244</v>
      </c>
      <c r="Q977" s="4">
        <v>45276</v>
      </c>
      <c r="R977" s="1" t="s">
        <v>80</v>
      </c>
      <c r="AO977" s="7">
        <v>21718</v>
      </c>
      <c r="AP977" s="5">
        <v>9.8</v>
      </c>
      <c r="AQ977" s="5">
        <v>98</v>
      </c>
      <c r="AR977" s="5">
        <v>62</v>
      </c>
      <c r="AS977" s="5">
        <v>78.8</v>
      </c>
      <c r="AT977" s="5">
        <v>37</v>
      </c>
      <c r="AU977" s="5">
        <v>26</v>
      </c>
      <c r="AV977" s="5">
        <v>44.2</v>
      </c>
      <c r="AW977" s="5">
        <v>9.75</v>
      </c>
      <c r="AX977" s="5">
        <v>89</v>
      </c>
      <c r="AY977" s="5" t="s">
        <v>125</v>
      </c>
      <c r="AZ977" s="5" t="s">
        <v>75</v>
      </c>
      <c r="BA977" s="5" t="s">
        <v>76</v>
      </c>
      <c r="BB977" s="12" t="s">
        <v>76</v>
      </c>
      <c r="BC977" s="5">
        <v>5.83</v>
      </c>
      <c r="BD977" s="5">
        <v>98</v>
      </c>
      <c r="BE977" s="5" t="s">
        <v>76</v>
      </c>
      <c r="BF977" s="5" t="s">
        <v>76</v>
      </c>
      <c r="BG977" s="15">
        <v>36.2</v>
      </c>
      <c r="BH977" s="5">
        <v>77</v>
      </c>
      <c r="BI977" s="5">
        <v>77</v>
      </c>
      <c r="BJ977" s="5">
        <v>16</v>
      </c>
      <c r="BK977" s="5">
        <v>192</v>
      </c>
      <c r="BL977" s="5">
        <v>71</v>
      </c>
      <c r="BM977" s="5">
        <v>82.5</v>
      </c>
      <c r="BN977" s="5">
        <v>180</v>
      </c>
      <c r="BO977" s="5">
        <f t="shared" si="15"/>
        <v>25.462962962963</v>
      </c>
      <c r="BP977" s="5" t="s">
        <v>1450</v>
      </c>
      <c r="BQ977" s="5">
        <v>5.8</v>
      </c>
      <c r="BR977" s="5">
        <v>8471</v>
      </c>
    </row>
    <row r="978" s="1" customFormat="1" spans="1:70">
      <c r="A978" s="1">
        <v>3302348</v>
      </c>
      <c r="B978" s="1" t="s">
        <v>2336</v>
      </c>
      <c r="D978" s="4">
        <v>44993</v>
      </c>
      <c r="E978" s="4">
        <v>45005</v>
      </c>
      <c r="F978" s="7">
        <v>21732</v>
      </c>
      <c r="G978" s="1">
        <v>42</v>
      </c>
      <c r="H978" s="1">
        <v>8</v>
      </c>
      <c r="I978" s="1">
        <v>42</v>
      </c>
      <c r="J978" s="1">
        <v>8</v>
      </c>
      <c r="K978" s="1">
        <v>70</v>
      </c>
      <c r="L978" s="1">
        <v>40</v>
      </c>
      <c r="N978" s="1">
        <v>10.4</v>
      </c>
      <c r="O978" s="7">
        <v>21732</v>
      </c>
      <c r="P978" s="4">
        <v>44993</v>
      </c>
      <c r="Q978" s="4">
        <v>45005</v>
      </c>
      <c r="R978" s="1" t="s">
        <v>73</v>
      </c>
      <c r="AO978" s="7">
        <v>21732</v>
      </c>
      <c r="AP978" s="5">
        <v>53.5</v>
      </c>
      <c r="AQ978" s="5">
        <v>138</v>
      </c>
      <c r="AR978" s="5">
        <v>43.3</v>
      </c>
      <c r="AS978" s="5">
        <v>1</v>
      </c>
      <c r="AT978" s="5">
        <v>24</v>
      </c>
      <c r="AU978" s="5">
        <v>20</v>
      </c>
      <c r="AV978" s="5">
        <v>44.3</v>
      </c>
      <c r="AW978" s="5">
        <v>8.23</v>
      </c>
      <c r="AX978" s="5">
        <v>44</v>
      </c>
      <c r="AY978" s="5" t="s">
        <v>125</v>
      </c>
      <c r="AZ978" s="5" t="s">
        <v>75</v>
      </c>
      <c r="BA978" s="5">
        <v>4.34</v>
      </c>
      <c r="BB978" s="12" t="s">
        <v>76</v>
      </c>
      <c r="BC978" s="5">
        <v>3.83</v>
      </c>
      <c r="BD978" s="5">
        <v>138</v>
      </c>
      <c r="BE978" s="5">
        <v>0.69</v>
      </c>
      <c r="BF978" s="5">
        <v>2.92</v>
      </c>
      <c r="BG978" s="15">
        <v>36.5</v>
      </c>
      <c r="BH978" s="5">
        <v>98</v>
      </c>
      <c r="BI978" s="5">
        <v>112</v>
      </c>
      <c r="BJ978" s="5">
        <v>18</v>
      </c>
      <c r="BK978" s="5">
        <v>132</v>
      </c>
      <c r="BL978" s="5">
        <v>109</v>
      </c>
      <c r="BM978" s="5">
        <v>70</v>
      </c>
      <c r="BN978" s="5">
        <v>160</v>
      </c>
      <c r="BO978" s="5">
        <f t="shared" si="15"/>
        <v>27.34375</v>
      </c>
      <c r="BP978" s="5" t="s">
        <v>78</v>
      </c>
      <c r="BQ978" s="5">
        <v>5.5</v>
      </c>
      <c r="BR978" s="5">
        <v>1397</v>
      </c>
    </row>
    <row r="979" s="1" customFormat="1" spans="1:70">
      <c r="A979" s="1">
        <v>3250816</v>
      </c>
      <c r="B979" s="1" t="s">
        <v>2337</v>
      </c>
      <c r="D979" s="4">
        <v>44902</v>
      </c>
      <c r="E979" s="4">
        <v>44908</v>
      </c>
      <c r="F979" s="7">
        <v>21747</v>
      </c>
      <c r="G979" s="1">
        <v>42</v>
      </c>
      <c r="H979" s="1">
        <v>9</v>
      </c>
      <c r="I979" s="1">
        <v>54</v>
      </c>
      <c r="J979" s="1">
        <v>9</v>
      </c>
      <c r="K979" s="1">
        <v>43</v>
      </c>
      <c r="L979" s="1">
        <v>21</v>
      </c>
      <c r="N979" s="1">
        <v>11.9</v>
      </c>
      <c r="O979" s="7">
        <v>21747</v>
      </c>
      <c r="P979" s="4">
        <v>44902</v>
      </c>
      <c r="Q979" s="4">
        <v>44908</v>
      </c>
      <c r="R979" s="1" t="s">
        <v>73</v>
      </c>
      <c r="AO979" s="7">
        <v>21747</v>
      </c>
      <c r="AP979" s="5">
        <v>53.7</v>
      </c>
      <c r="AQ979" s="5">
        <v>144</v>
      </c>
      <c r="AR979" s="5">
        <v>46.2</v>
      </c>
      <c r="AS979" s="5" t="s">
        <v>81</v>
      </c>
      <c r="AT979" s="5">
        <v>33</v>
      </c>
      <c r="AU979" s="5">
        <v>23</v>
      </c>
      <c r="AV979" s="5">
        <v>42.6</v>
      </c>
      <c r="AW979" s="5">
        <v>5.35</v>
      </c>
      <c r="AX979" s="5">
        <v>47</v>
      </c>
      <c r="AY979" s="5" t="s">
        <v>125</v>
      </c>
      <c r="AZ979" s="5" t="s">
        <v>75</v>
      </c>
      <c r="BA979" s="5">
        <v>4.48</v>
      </c>
      <c r="BB979" s="12" t="s">
        <v>76</v>
      </c>
      <c r="BC979" s="5">
        <v>3.01</v>
      </c>
      <c r="BD979" s="5">
        <v>144</v>
      </c>
      <c r="BE979" s="5">
        <v>1.24</v>
      </c>
      <c r="BF979" s="5">
        <v>2.85</v>
      </c>
      <c r="BG979" s="15">
        <v>36.5</v>
      </c>
      <c r="BH979" s="5">
        <v>80</v>
      </c>
      <c r="BI979" s="5">
        <v>107</v>
      </c>
      <c r="BJ979" s="5">
        <v>16</v>
      </c>
      <c r="BK979" s="5">
        <v>143</v>
      </c>
      <c r="BL979" s="5">
        <v>96</v>
      </c>
      <c r="BM979" s="5">
        <v>60</v>
      </c>
      <c r="BN979" s="5">
        <v>163</v>
      </c>
      <c r="BO979" s="5">
        <f t="shared" si="15"/>
        <v>22.5827091723437</v>
      </c>
      <c r="BP979" s="5" t="s">
        <v>121</v>
      </c>
      <c r="BQ979" s="5">
        <v>5.5</v>
      </c>
      <c r="BR979" s="5">
        <v>998</v>
      </c>
    </row>
    <row r="980" s="1" customFormat="1" spans="1:70">
      <c r="A980" s="1">
        <v>3244740</v>
      </c>
      <c r="B980" s="1" t="s">
        <v>2338</v>
      </c>
      <c r="D980" s="4">
        <v>44890</v>
      </c>
      <c r="E980" s="4">
        <v>44900</v>
      </c>
      <c r="F980" s="7">
        <v>21753</v>
      </c>
      <c r="G980" s="1">
        <v>53</v>
      </c>
      <c r="H980" s="1">
        <v>9</v>
      </c>
      <c r="I980" s="1">
        <v>71</v>
      </c>
      <c r="J980" s="1">
        <v>9</v>
      </c>
      <c r="K980" s="1">
        <v>30</v>
      </c>
      <c r="L980" s="1">
        <v>15</v>
      </c>
      <c r="O980" s="7">
        <v>21753</v>
      </c>
      <c r="P980" s="4">
        <v>44890</v>
      </c>
      <c r="Q980" s="4">
        <v>44900</v>
      </c>
      <c r="R980" s="1" t="s">
        <v>80</v>
      </c>
      <c r="AO980" s="7">
        <v>21753</v>
      </c>
      <c r="AP980" s="5">
        <v>8.5</v>
      </c>
      <c r="AQ980" s="5">
        <v>156</v>
      </c>
      <c r="AR980" s="5">
        <v>50.1</v>
      </c>
      <c r="AS980" s="5">
        <v>19.4</v>
      </c>
      <c r="AT980" s="5">
        <v>46</v>
      </c>
      <c r="AU980" s="5">
        <v>55</v>
      </c>
      <c r="AV980" s="5">
        <v>33.7</v>
      </c>
      <c r="AW980" s="5">
        <v>9.69</v>
      </c>
      <c r="AX980" s="5">
        <v>97</v>
      </c>
      <c r="AY980" s="5">
        <v>90.02</v>
      </c>
      <c r="AZ980" s="5" t="s">
        <v>75</v>
      </c>
      <c r="BA980" s="5">
        <v>3.79</v>
      </c>
      <c r="BB980" s="12" t="s">
        <v>76</v>
      </c>
      <c r="BC980" s="5">
        <v>4.67</v>
      </c>
      <c r="BD980" s="5">
        <v>156</v>
      </c>
      <c r="BE980" s="5">
        <v>0.74</v>
      </c>
      <c r="BF980" s="5">
        <v>2.19</v>
      </c>
      <c r="BG980" s="15">
        <v>36.3</v>
      </c>
      <c r="BH980" s="5" t="s">
        <v>76</v>
      </c>
      <c r="BI980" s="5">
        <v>98</v>
      </c>
      <c r="BJ980" s="5">
        <v>18</v>
      </c>
      <c r="BK980" s="5">
        <v>120</v>
      </c>
      <c r="BL980" s="5">
        <v>89</v>
      </c>
      <c r="BM980" s="5">
        <v>98</v>
      </c>
      <c r="BN980" s="5">
        <v>180</v>
      </c>
      <c r="BO980" s="5">
        <f t="shared" si="15"/>
        <v>30.2469135802469</v>
      </c>
      <c r="BP980" s="5" t="s">
        <v>78</v>
      </c>
      <c r="BQ980" s="5">
        <v>5.7</v>
      </c>
      <c r="BR980" s="5">
        <v>6051</v>
      </c>
    </row>
    <row r="981" s="1" customFormat="1" spans="1:70">
      <c r="A981" s="1">
        <v>3501920</v>
      </c>
      <c r="B981" s="1" t="s">
        <v>2339</v>
      </c>
      <c r="D981" s="4">
        <v>45269</v>
      </c>
      <c r="E981" s="4">
        <v>45281</v>
      </c>
      <c r="F981" s="7">
        <v>21769</v>
      </c>
      <c r="G981" s="1">
        <v>34</v>
      </c>
      <c r="H981" s="1">
        <v>9</v>
      </c>
      <c r="I981" s="1">
        <v>44</v>
      </c>
      <c r="J981" s="1">
        <v>9</v>
      </c>
      <c r="K981" s="1">
        <v>56</v>
      </c>
      <c r="L981" s="1">
        <v>30</v>
      </c>
      <c r="M981" s="1">
        <v>1.12</v>
      </c>
      <c r="N981" s="1">
        <v>8.5</v>
      </c>
      <c r="O981" s="7">
        <v>21769</v>
      </c>
      <c r="P981" s="4">
        <v>45269</v>
      </c>
      <c r="Q981" s="4">
        <v>45281</v>
      </c>
      <c r="R981" s="1" t="s">
        <v>73</v>
      </c>
      <c r="AO981" s="7">
        <v>21769</v>
      </c>
      <c r="AP981" s="5">
        <v>12.1</v>
      </c>
      <c r="AQ981" s="5">
        <v>123</v>
      </c>
      <c r="AR981" s="5">
        <v>48</v>
      </c>
      <c r="AS981" s="5">
        <v>49.4</v>
      </c>
      <c r="AT981" s="5">
        <v>16</v>
      </c>
      <c r="AU981" s="5">
        <v>16</v>
      </c>
      <c r="AV981" s="5">
        <v>32.9</v>
      </c>
      <c r="AW981" s="5">
        <v>6.54</v>
      </c>
      <c r="AX981" s="5">
        <v>39</v>
      </c>
      <c r="AY981" s="5" t="s">
        <v>125</v>
      </c>
      <c r="AZ981" s="5">
        <v>9.3</v>
      </c>
      <c r="BA981" s="5" t="s">
        <v>76</v>
      </c>
      <c r="BB981" s="12" t="s">
        <v>76</v>
      </c>
      <c r="BC981" s="5">
        <v>3.79</v>
      </c>
      <c r="BD981" s="5">
        <v>123</v>
      </c>
      <c r="BE981" s="5" t="s">
        <v>76</v>
      </c>
      <c r="BF981" s="5" t="s">
        <v>76</v>
      </c>
      <c r="BG981" s="15">
        <v>36.3</v>
      </c>
      <c r="BH981" s="5">
        <v>96</v>
      </c>
      <c r="BI981" s="5">
        <v>96</v>
      </c>
      <c r="BJ981" s="5">
        <v>22</v>
      </c>
      <c r="BK981" s="5">
        <v>117</v>
      </c>
      <c r="BL981" s="5">
        <v>71</v>
      </c>
      <c r="BM981" s="5" t="s">
        <v>274</v>
      </c>
      <c r="BN981" s="5" t="s">
        <v>274</v>
      </c>
      <c r="BO981" s="5" t="e">
        <f t="shared" si="15"/>
        <v>#VALUE!</v>
      </c>
      <c r="BP981" s="5" t="s">
        <v>109</v>
      </c>
      <c r="BQ981" s="5" t="s">
        <v>76</v>
      </c>
      <c r="BR981" s="5">
        <v>1062</v>
      </c>
    </row>
    <row r="982" s="1" customFormat="1" spans="1:70">
      <c r="A982" s="1" t="s">
        <v>2340</v>
      </c>
      <c r="B982" s="1" t="s">
        <v>2341</v>
      </c>
      <c r="D982" s="4">
        <v>44948</v>
      </c>
      <c r="E982" s="4">
        <v>44971</v>
      </c>
      <c r="F982" s="7">
        <v>21788</v>
      </c>
      <c r="G982" s="1">
        <v>35</v>
      </c>
      <c r="H982" s="1">
        <v>9</v>
      </c>
      <c r="I982" s="1">
        <v>47</v>
      </c>
      <c r="J982" s="1">
        <v>9</v>
      </c>
      <c r="K982" s="1">
        <v>66</v>
      </c>
      <c r="L982" s="1">
        <v>36</v>
      </c>
      <c r="M982" s="1">
        <v>0.71</v>
      </c>
      <c r="N982" s="1">
        <v>7.1</v>
      </c>
      <c r="O982" s="7">
        <v>21788</v>
      </c>
      <c r="P982" s="4">
        <v>44948</v>
      </c>
      <c r="Q982" s="4">
        <v>44971</v>
      </c>
      <c r="R982" s="1" t="s">
        <v>80</v>
      </c>
      <c r="AO982" s="7">
        <v>21788</v>
      </c>
      <c r="AP982" s="5" t="s">
        <v>941</v>
      </c>
      <c r="AQ982" s="5" t="s">
        <v>139</v>
      </c>
      <c r="AR982" s="5" t="s">
        <v>2342</v>
      </c>
      <c r="AS982" s="5" t="s">
        <v>593</v>
      </c>
      <c r="AT982" s="5" t="s">
        <v>614</v>
      </c>
      <c r="AU982" s="5" t="s">
        <v>131</v>
      </c>
      <c r="AV982" s="5" t="s">
        <v>2343</v>
      </c>
      <c r="AW982" s="5" t="s">
        <v>2344</v>
      </c>
      <c r="AX982" s="5" t="s">
        <v>614</v>
      </c>
      <c r="AY982" s="5" t="s">
        <v>76</v>
      </c>
      <c r="AZ982" s="5" t="s">
        <v>75</v>
      </c>
      <c r="BA982" s="5" t="s">
        <v>76</v>
      </c>
      <c r="BB982" s="12" t="s">
        <v>76</v>
      </c>
      <c r="BC982" s="5" t="s">
        <v>1021</v>
      </c>
      <c r="BD982" s="5" t="s">
        <v>139</v>
      </c>
      <c r="BE982" s="5" t="s">
        <v>76</v>
      </c>
      <c r="BF982" s="5" t="s">
        <v>76</v>
      </c>
      <c r="BG982" s="15">
        <v>36.8</v>
      </c>
      <c r="BH982" s="5" t="s">
        <v>613</v>
      </c>
      <c r="BI982" s="5" t="s">
        <v>613</v>
      </c>
      <c r="BJ982" s="5" t="s">
        <v>101</v>
      </c>
      <c r="BK982" s="5" t="s">
        <v>1295</v>
      </c>
      <c r="BL982" s="5" t="s">
        <v>1006</v>
      </c>
      <c r="BM982" s="5" t="s">
        <v>468</v>
      </c>
      <c r="BN982" s="5">
        <v>170</v>
      </c>
      <c r="BO982" s="5">
        <f t="shared" si="15"/>
        <v>22.4913494809689</v>
      </c>
      <c r="BP982" s="5" t="s">
        <v>986</v>
      </c>
      <c r="BQ982" s="5" t="s">
        <v>76</v>
      </c>
      <c r="BR982" s="5">
        <v>9183</v>
      </c>
    </row>
    <row r="983" s="1" customFormat="1" spans="1:70">
      <c r="A983" s="1">
        <v>3254726</v>
      </c>
      <c r="B983" s="1" t="s">
        <v>2345</v>
      </c>
      <c r="D983" s="4">
        <v>44915</v>
      </c>
      <c r="E983" s="4">
        <v>44936</v>
      </c>
      <c r="F983" s="7">
        <v>21789</v>
      </c>
      <c r="G983" s="1">
        <v>38</v>
      </c>
      <c r="H983" s="1">
        <v>10</v>
      </c>
      <c r="I983" s="1">
        <v>48</v>
      </c>
      <c r="J983" s="1">
        <v>10</v>
      </c>
      <c r="K983" s="1">
        <v>59</v>
      </c>
      <c r="L983" s="1">
        <v>31</v>
      </c>
      <c r="M983" s="1">
        <v>0.8</v>
      </c>
      <c r="N983" s="1">
        <v>20.9</v>
      </c>
      <c r="O983" s="7">
        <v>21789</v>
      </c>
      <c r="P983" s="4">
        <v>44915</v>
      </c>
      <c r="Q983" s="4">
        <v>44936</v>
      </c>
      <c r="R983" s="1" t="s">
        <v>73</v>
      </c>
      <c r="AO983" s="7">
        <v>21789</v>
      </c>
      <c r="AP983" s="5">
        <v>7.9</v>
      </c>
      <c r="AQ983" s="5">
        <v>98</v>
      </c>
      <c r="AR983" s="5">
        <v>36</v>
      </c>
      <c r="AS983" s="5">
        <v>5.4</v>
      </c>
      <c r="AT983" s="5">
        <v>83</v>
      </c>
      <c r="AU983" s="5">
        <v>47</v>
      </c>
      <c r="AV983" s="5">
        <v>45.5</v>
      </c>
      <c r="AW983" s="5">
        <v>7.37</v>
      </c>
      <c r="AX983" s="5">
        <v>90</v>
      </c>
      <c r="AY983" s="5">
        <v>66.8</v>
      </c>
      <c r="AZ983" s="5">
        <v>15.34</v>
      </c>
      <c r="BA983" s="5" t="s">
        <v>76</v>
      </c>
      <c r="BB983" s="12" t="s">
        <v>76</v>
      </c>
      <c r="BC983" s="5">
        <v>4.8</v>
      </c>
      <c r="BD983" s="5">
        <v>98</v>
      </c>
      <c r="BE983" s="5" t="s">
        <v>76</v>
      </c>
      <c r="BF983" s="5" t="s">
        <v>76</v>
      </c>
      <c r="BG983" s="15">
        <v>36.3</v>
      </c>
      <c r="BH983" s="5" t="s">
        <v>76</v>
      </c>
      <c r="BI983" s="5">
        <v>106</v>
      </c>
      <c r="BJ983" s="5">
        <v>20</v>
      </c>
      <c r="BK983" s="5">
        <v>157</v>
      </c>
      <c r="BL983" s="5">
        <v>81</v>
      </c>
      <c r="BM983" s="5">
        <v>60</v>
      </c>
      <c r="BN983" s="5">
        <v>150</v>
      </c>
      <c r="BO983" s="5">
        <f t="shared" si="15"/>
        <v>26.6666666666667</v>
      </c>
      <c r="BP983" s="5" t="s">
        <v>121</v>
      </c>
      <c r="BQ983" s="5" t="s">
        <v>76</v>
      </c>
      <c r="BR983" s="5">
        <v>8462</v>
      </c>
    </row>
    <row r="984" s="1" customFormat="1" spans="1:70">
      <c r="A984" s="1">
        <v>3252143</v>
      </c>
      <c r="B984" s="1" t="s">
        <v>2346</v>
      </c>
      <c r="D984" s="4">
        <v>44905</v>
      </c>
      <c r="E984" s="4">
        <v>44915</v>
      </c>
      <c r="F984" s="7">
        <v>21795</v>
      </c>
      <c r="G984" s="1">
        <v>47</v>
      </c>
      <c r="H984" s="1">
        <v>8</v>
      </c>
      <c r="I984" s="1">
        <v>64</v>
      </c>
      <c r="J984" s="1">
        <v>8</v>
      </c>
      <c r="K984" s="1">
        <v>34</v>
      </c>
      <c r="L984" s="1">
        <v>16</v>
      </c>
      <c r="N984" s="1">
        <v>16.9</v>
      </c>
      <c r="O984" s="7">
        <v>21795</v>
      </c>
      <c r="P984" s="4">
        <v>44905</v>
      </c>
      <c r="Q984" s="4">
        <v>44915</v>
      </c>
      <c r="R984" s="1" t="s">
        <v>80</v>
      </c>
      <c r="AO984" s="7">
        <v>21795</v>
      </c>
      <c r="AP984" s="5">
        <v>7.4</v>
      </c>
      <c r="AQ984" s="5">
        <v>162</v>
      </c>
      <c r="AR984" s="5">
        <v>49.6</v>
      </c>
      <c r="AS984" s="5" t="s">
        <v>76</v>
      </c>
      <c r="AT984" s="5">
        <v>557</v>
      </c>
      <c r="AU984" s="5">
        <v>513</v>
      </c>
      <c r="AV984" s="5">
        <v>35.6</v>
      </c>
      <c r="AW984" s="5">
        <v>5.51</v>
      </c>
      <c r="AX984" s="5">
        <v>73</v>
      </c>
      <c r="AY984" s="5">
        <v>100.05</v>
      </c>
      <c r="AZ984" s="5" t="s">
        <v>2347</v>
      </c>
      <c r="BA984" s="5">
        <v>2.48</v>
      </c>
      <c r="BB984" s="12" t="s">
        <v>76</v>
      </c>
      <c r="BC984" s="5">
        <v>4.39</v>
      </c>
      <c r="BD984" s="5">
        <v>162</v>
      </c>
      <c r="BE984" s="5">
        <v>0.46</v>
      </c>
      <c r="BF984" s="5">
        <v>1.84</v>
      </c>
      <c r="BG984" s="15">
        <v>36.3</v>
      </c>
      <c r="BH984" s="5">
        <v>78</v>
      </c>
      <c r="BI984" s="5">
        <v>78</v>
      </c>
      <c r="BJ984" s="5">
        <v>18</v>
      </c>
      <c r="BK984" s="5">
        <v>105</v>
      </c>
      <c r="BL984" s="5">
        <v>71</v>
      </c>
      <c r="BM984" s="5">
        <v>78.5</v>
      </c>
      <c r="BN984" s="5">
        <v>170</v>
      </c>
      <c r="BO984" s="5">
        <f t="shared" si="15"/>
        <v>27.1626297577855</v>
      </c>
      <c r="BP984" s="5" t="s">
        <v>78</v>
      </c>
      <c r="BQ984" s="5" t="s">
        <v>76</v>
      </c>
      <c r="BR984" s="5">
        <v>4129</v>
      </c>
    </row>
    <row r="985" s="1" customFormat="1" spans="1:70">
      <c r="A985" s="1">
        <v>3254447</v>
      </c>
      <c r="B985" s="1" t="s">
        <v>2348</v>
      </c>
      <c r="D985" s="4">
        <v>44913</v>
      </c>
      <c r="E985" s="4">
        <v>44919</v>
      </c>
      <c r="F985" s="7">
        <v>21805</v>
      </c>
      <c r="G985" s="1">
        <v>40</v>
      </c>
      <c r="H985" s="1">
        <v>10</v>
      </c>
      <c r="I985" s="1">
        <v>52</v>
      </c>
      <c r="J985" s="1">
        <v>9</v>
      </c>
      <c r="K985" s="1">
        <v>51</v>
      </c>
      <c r="L985" s="1">
        <v>26</v>
      </c>
      <c r="M985" s="1">
        <v>1.17</v>
      </c>
      <c r="N985" s="1">
        <v>15.2</v>
      </c>
      <c r="O985" s="7">
        <v>21805</v>
      </c>
      <c r="P985" s="4">
        <v>44913</v>
      </c>
      <c r="Q985" s="4">
        <v>44919</v>
      </c>
      <c r="R985" s="1" t="s">
        <v>80</v>
      </c>
      <c r="S985" s="1">
        <v>63</v>
      </c>
      <c r="T985" s="1">
        <v>13855731411</v>
      </c>
      <c r="X985" s="1">
        <v>1</v>
      </c>
      <c r="Z985" s="1">
        <v>1</v>
      </c>
      <c r="AC985" s="1">
        <v>1</v>
      </c>
      <c r="AG985" s="1">
        <v>1</v>
      </c>
      <c r="AH985" s="1">
        <v>1</v>
      </c>
      <c r="AI985" s="1">
        <v>1</v>
      </c>
      <c r="AJ985" s="1">
        <v>1</v>
      </c>
      <c r="AL985" s="1">
        <v>1</v>
      </c>
      <c r="AO985" s="7">
        <v>21805</v>
      </c>
      <c r="AP985" s="5">
        <v>8.3</v>
      </c>
      <c r="AQ985" s="5">
        <v>133</v>
      </c>
      <c r="AR985" s="5">
        <v>41.1</v>
      </c>
      <c r="AS985" s="5" t="s">
        <v>81</v>
      </c>
      <c r="AT985" s="5">
        <v>50</v>
      </c>
      <c r="AU985" s="5" t="s">
        <v>1455</v>
      </c>
      <c r="AV985" s="5">
        <v>42.6</v>
      </c>
      <c r="AW985" s="5">
        <v>6.72</v>
      </c>
      <c r="AX985" s="5">
        <v>87</v>
      </c>
      <c r="AY985" s="5">
        <v>94.08</v>
      </c>
      <c r="AZ985" s="5">
        <v>5.57</v>
      </c>
      <c r="BA985" s="5">
        <v>4.7</v>
      </c>
      <c r="BB985" s="12" t="s">
        <v>76</v>
      </c>
      <c r="BC985" s="5">
        <v>3.89</v>
      </c>
      <c r="BD985" s="5">
        <v>133</v>
      </c>
      <c r="BE985" s="5">
        <v>0.82</v>
      </c>
      <c r="BF985" s="5">
        <v>3.13</v>
      </c>
      <c r="BG985" s="15">
        <v>36.9</v>
      </c>
      <c r="BH985" s="5" t="s">
        <v>76</v>
      </c>
      <c r="BI985" s="5">
        <v>101</v>
      </c>
      <c r="BJ985" s="5">
        <v>18</v>
      </c>
      <c r="BK985" s="5">
        <v>131</v>
      </c>
      <c r="BL985" s="5">
        <v>80</v>
      </c>
      <c r="BM985" s="5">
        <v>80</v>
      </c>
      <c r="BN985" s="5">
        <v>162</v>
      </c>
      <c r="BO985" s="5">
        <f t="shared" si="15"/>
        <v>30.4831580551745</v>
      </c>
      <c r="BP985" s="5" t="s">
        <v>323</v>
      </c>
      <c r="BQ985" s="5">
        <v>6.9</v>
      </c>
      <c r="BR985" s="5">
        <v>961</v>
      </c>
    </row>
    <row r="986" s="1" customFormat="1" spans="1:70">
      <c r="A986" s="1">
        <v>3269361</v>
      </c>
      <c r="B986" s="1" t="s">
        <v>2349</v>
      </c>
      <c r="D986" s="4">
        <v>44949</v>
      </c>
      <c r="E986" s="4">
        <v>44956</v>
      </c>
      <c r="F986" s="7">
        <v>21840</v>
      </c>
      <c r="G986" s="1">
        <v>48</v>
      </c>
      <c r="H986" s="1">
        <v>7</v>
      </c>
      <c r="I986" s="1">
        <v>61</v>
      </c>
      <c r="J986" s="1">
        <v>9</v>
      </c>
      <c r="K986" s="1">
        <v>24</v>
      </c>
      <c r="L986" s="1">
        <v>11</v>
      </c>
      <c r="M986" s="1">
        <v>1.06</v>
      </c>
      <c r="N986" s="1">
        <v>23.8</v>
      </c>
      <c r="O986" s="7">
        <v>21840</v>
      </c>
      <c r="P986" s="4">
        <v>44949</v>
      </c>
      <c r="Q986" s="4">
        <v>44956</v>
      </c>
      <c r="R986" s="1" t="s">
        <v>80</v>
      </c>
      <c r="AO986" s="7">
        <v>21840</v>
      </c>
      <c r="AP986" s="5">
        <v>1.3</v>
      </c>
      <c r="AQ986" s="5" t="s">
        <v>76</v>
      </c>
      <c r="AR986" s="5" t="s">
        <v>76</v>
      </c>
      <c r="AS986" s="5" t="s">
        <v>76</v>
      </c>
      <c r="AT986" s="5">
        <v>47</v>
      </c>
      <c r="AU986" s="5">
        <v>41</v>
      </c>
      <c r="AV986" s="5">
        <v>36.9</v>
      </c>
      <c r="AW986" s="5">
        <v>5.66</v>
      </c>
      <c r="AX986" s="5">
        <v>70</v>
      </c>
      <c r="AY986" s="5">
        <v>105.02</v>
      </c>
      <c r="AZ986" s="5">
        <v>4.66</v>
      </c>
      <c r="BA986" s="5">
        <v>3.14</v>
      </c>
      <c r="BB986" s="12" t="s">
        <v>76</v>
      </c>
      <c r="BC986" s="5">
        <v>4.09</v>
      </c>
      <c r="BD986" s="5" t="s">
        <v>76</v>
      </c>
      <c r="BE986" s="5">
        <v>0.62</v>
      </c>
      <c r="BF986" s="5">
        <v>1.88</v>
      </c>
      <c r="BG986" s="15">
        <v>36.3</v>
      </c>
      <c r="BH986" s="5">
        <v>70</v>
      </c>
      <c r="BI986" s="5">
        <v>70</v>
      </c>
      <c r="BJ986" s="5">
        <v>16</v>
      </c>
      <c r="BK986" s="5">
        <v>106</v>
      </c>
      <c r="BL986" s="5">
        <v>61</v>
      </c>
      <c r="BM986" s="5">
        <v>65</v>
      </c>
      <c r="BN986" s="5">
        <v>160</v>
      </c>
      <c r="BO986" s="5">
        <f t="shared" si="15"/>
        <v>25.390625</v>
      </c>
      <c r="BP986" s="5" t="s">
        <v>121</v>
      </c>
      <c r="BQ986" s="5">
        <v>5.8</v>
      </c>
      <c r="BR986" s="5">
        <v>2141</v>
      </c>
    </row>
    <row r="987" s="1" customFormat="1" spans="1:70">
      <c r="A987" s="1">
        <v>3279943</v>
      </c>
      <c r="B987" s="1" t="s">
        <v>2350</v>
      </c>
      <c r="D987" s="4">
        <v>44963</v>
      </c>
      <c r="E987" s="4">
        <v>44967</v>
      </c>
      <c r="F987" s="7">
        <v>21922</v>
      </c>
      <c r="G987" s="1">
        <v>43</v>
      </c>
      <c r="H987" s="1">
        <v>9</v>
      </c>
      <c r="I987" s="1">
        <v>58</v>
      </c>
      <c r="J987" s="1">
        <v>9</v>
      </c>
      <c r="K987" s="1">
        <v>37</v>
      </c>
      <c r="L987" s="1">
        <v>18</v>
      </c>
      <c r="M987" s="1">
        <v>1.3</v>
      </c>
      <c r="N987" s="1">
        <v>12.1</v>
      </c>
      <c r="O987" s="7">
        <v>21922</v>
      </c>
      <c r="P987" s="4">
        <v>44963</v>
      </c>
      <c r="Q987" s="4">
        <v>44967</v>
      </c>
      <c r="R987" s="1" t="s">
        <v>73</v>
      </c>
      <c r="AO987" s="7">
        <v>21922</v>
      </c>
      <c r="AP987" s="5">
        <v>8.1</v>
      </c>
      <c r="AQ987" s="5">
        <v>93</v>
      </c>
      <c r="AR987" s="5">
        <v>31.7</v>
      </c>
      <c r="AS987" s="5">
        <v>74.5</v>
      </c>
      <c r="AT987" s="5">
        <v>9</v>
      </c>
      <c r="AU987" s="5">
        <v>8</v>
      </c>
      <c r="AV987" s="5">
        <v>35.3</v>
      </c>
      <c r="AW987" s="5">
        <v>5.14</v>
      </c>
      <c r="AX987" s="5">
        <v>66</v>
      </c>
      <c r="AY987" s="5" t="s">
        <v>125</v>
      </c>
      <c r="AZ987" s="5" t="s">
        <v>375</v>
      </c>
      <c r="BA987" s="5">
        <v>3.51</v>
      </c>
      <c r="BB987" s="12" t="s">
        <v>76</v>
      </c>
      <c r="BC987" s="5">
        <v>3.87</v>
      </c>
      <c r="BD987" s="5">
        <v>93</v>
      </c>
      <c r="BE987" s="5">
        <v>0.58</v>
      </c>
      <c r="BF987" s="5">
        <v>2.24</v>
      </c>
      <c r="BG987" s="15">
        <v>36.3</v>
      </c>
      <c r="BH987" s="5">
        <v>105</v>
      </c>
      <c r="BI987" s="5">
        <v>105</v>
      </c>
      <c r="BJ987" s="5">
        <v>18</v>
      </c>
      <c r="BK987" s="5">
        <v>132</v>
      </c>
      <c r="BL987" s="5">
        <v>72</v>
      </c>
      <c r="BM987" s="5">
        <v>60</v>
      </c>
      <c r="BN987" s="5">
        <v>158</v>
      </c>
      <c r="BO987" s="5">
        <f t="shared" si="15"/>
        <v>24.034609838167</v>
      </c>
      <c r="BP987" s="5" t="s">
        <v>323</v>
      </c>
      <c r="BQ987" s="5" t="s">
        <v>76</v>
      </c>
      <c r="BR987" s="5">
        <v>7259</v>
      </c>
    </row>
    <row r="988" s="1" customFormat="1" spans="1:70">
      <c r="A988" s="1">
        <v>3255689</v>
      </c>
      <c r="B988" s="1" t="s">
        <v>2351</v>
      </c>
      <c r="D988" s="4">
        <v>44920</v>
      </c>
      <c r="E988" s="4">
        <v>44943</v>
      </c>
      <c r="F988" s="7">
        <v>21945</v>
      </c>
      <c r="G988" s="1">
        <v>37</v>
      </c>
      <c r="H988" s="1">
        <v>10</v>
      </c>
      <c r="I988" s="1">
        <v>54</v>
      </c>
      <c r="J988" s="1">
        <v>10</v>
      </c>
      <c r="K988" s="1">
        <v>60</v>
      </c>
      <c r="L988" s="1">
        <v>32</v>
      </c>
      <c r="M988" s="1">
        <v>0.72</v>
      </c>
      <c r="N988" s="1">
        <v>16.2</v>
      </c>
      <c r="O988" s="7">
        <v>21945</v>
      </c>
      <c r="P988" s="4">
        <v>44920</v>
      </c>
      <c r="Q988" s="4">
        <v>44943</v>
      </c>
      <c r="R988" s="1" t="s">
        <v>80</v>
      </c>
      <c r="AO988" s="7">
        <v>21945</v>
      </c>
      <c r="AP988" s="5">
        <v>9.1</v>
      </c>
      <c r="AQ988" s="5">
        <v>97</v>
      </c>
      <c r="AR988" s="5">
        <v>41.1</v>
      </c>
      <c r="AS988" s="5">
        <v>8.1</v>
      </c>
      <c r="AT988" s="5">
        <v>33</v>
      </c>
      <c r="AU988" s="5">
        <v>49</v>
      </c>
      <c r="AV988" s="5">
        <v>38</v>
      </c>
      <c r="AW988" s="5">
        <v>8.21</v>
      </c>
      <c r="AX988" s="5">
        <v>91</v>
      </c>
      <c r="AY988" s="5">
        <v>91.63</v>
      </c>
      <c r="AZ988" s="5" t="s">
        <v>75</v>
      </c>
      <c r="BA988" s="5">
        <v>4.33</v>
      </c>
      <c r="BB988" s="12" t="s">
        <v>76</v>
      </c>
      <c r="BC988" s="5">
        <v>4.56</v>
      </c>
      <c r="BD988" s="5">
        <v>97</v>
      </c>
      <c r="BE988" s="5">
        <v>0.71</v>
      </c>
      <c r="BF988" s="5">
        <v>3.26</v>
      </c>
      <c r="BG988" s="15">
        <v>37.4</v>
      </c>
      <c r="BH988" s="5">
        <v>70</v>
      </c>
      <c r="BI988" s="5" t="s">
        <v>76</v>
      </c>
      <c r="BJ988" s="5">
        <v>20</v>
      </c>
      <c r="BK988" s="5">
        <v>131</v>
      </c>
      <c r="BL988" s="5">
        <v>76</v>
      </c>
      <c r="BM988" s="5">
        <v>70</v>
      </c>
      <c r="BN988" s="5">
        <v>182</v>
      </c>
      <c r="BO988" s="5">
        <f t="shared" si="15"/>
        <v>21.1327134404057</v>
      </c>
      <c r="BP988" s="5" t="s">
        <v>963</v>
      </c>
      <c r="BQ988" s="5">
        <v>5.6</v>
      </c>
      <c r="BR988" s="5">
        <v>4886</v>
      </c>
    </row>
    <row r="989" s="1" customFormat="1" spans="1:70">
      <c r="A989" s="1">
        <v>3492706</v>
      </c>
      <c r="B989" s="1" t="s">
        <v>2352</v>
      </c>
      <c r="D989" s="4">
        <v>45257</v>
      </c>
      <c r="E989" s="4">
        <v>45265</v>
      </c>
      <c r="F989" s="7">
        <v>21987</v>
      </c>
      <c r="G989" s="1">
        <v>43</v>
      </c>
      <c r="H989" s="1">
        <v>9</v>
      </c>
      <c r="I989" s="1">
        <v>44</v>
      </c>
      <c r="J989" s="1">
        <v>9</v>
      </c>
      <c r="K989" s="1">
        <v>59</v>
      </c>
      <c r="L989" s="1">
        <v>31</v>
      </c>
      <c r="O989" s="7">
        <v>21987</v>
      </c>
      <c r="P989" s="4">
        <v>45257</v>
      </c>
      <c r="Q989" s="4">
        <v>45265</v>
      </c>
      <c r="R989" s="1" t="s">
        <v>80</v>
      </c>
      <c r="AO989" s="7">
        <v>21987</v>
      </c>
      <c r="AP989" s="5">
        <v>64</v>
      </c>
      <c r="AQ989" s="5">
        <v>136</v>
      </c>
      <c r="AR989" s="5">
        <v>44.7</v>
      </c>
      <c r="AS989" s="5">
        <v>3.2</v>
      </c>
      <c r="AT989" s="5">
        <v>17</v>
      </c>
      <c r="AU989" s="5" t="s">
        <v>171</v>
      </c>
      <c r="AV989" s="5">
        <v>46.6</v>
      </c>
      <c r="AW989" s="5">
        <v>27.02</v>
      </c>
      <c r="AX989" s="5">
        <v>975</v>
      </c>
      <c r="AY989" s="5" t="s">
        <v>76</v>
      </c>
      <c r="AZ989" s="5">
        <v>5.38</v>
      </c>
      <c r="BA989" s="5">
        <v>4.26</v>
      </c>
      <c r="BB989" s="12" t="s">
        <v>76</v>
      </c>
      <c r="BC989" s="5">
        <v>5</v>
      </c>
      <c r="BD989" s="5">
        <v>136</v>
      </c>
      <c r="BE989" s="5">
        <v>0.8</v>
      </c>
      <c r="BF989" s="5">
        <v>2.33</v>
      </c>
      <c r="BG989" s="15">
        <v>36.4</v>
      </c>
      <c r="BH989" s="5">
        <v>94</v>
      </c>
      <c r="BI989" s="5">
        <v>94</v>
      </c>
      <c r="BJ989" s="5">
        <v>14</v>
      </c>
      <c r="BK989" s="5">
        <v>110</v>
      </c>
      <c r="BL989" s="5">
        <v>68</v>
      </c>
      <c r="BM989" s="5">
        <v>64</v>
      </c>
      <c r="BN989" s="5">
        <v>168</v>
      </c>
      <c r="BO989" s="5">
        <f t="shared" si="15"/>
        <v>22.6757369614512</v>
      </c>
      <c r="BP989" s="5" t="s">
        <v>415</v>
      </c>
      <c r="BQ989" s="5" t="s">
        <v>76</v>
      </c>
      <c r="BR989" s="5">
        <v>5597</v>
      </c>
    </row>
    <row r="990" s="1" customFormat="1" spans="1:70">
      <c r="A990" s="1">
        <v>3245096</v>
      </c>
      <c r="B990" s="1" t="s">
        <v>2353</v>
      </c>
      <c r="D990" s="4">
        <v>44891</v>
      </c>
      <c r="E990" s="4">
        <v>44900</v>
      </c>
      <c r="F990" s="7">
        <v>22016</v>
      </c>
      <c r="G990" s="1">
        <v>36</v>
      </c>
      <c r="H990" s="1">
        <v>8</v>
      </c>
      <c r="I990" s="1">
        <v>44</v>
      </c>
      <c r="J990" s="1">
        <v>8</v>
      </c>
      <c r="K990" s="1">
        <v>56</v>
      </c>
      <c r="L990" s="1">
        <v>29</v>
      </c>
      <c r="N990" s="1">
        <v>10.9</v>
      </c>
      <c r="O990" s="7">
        <v>22016</v>
      </c>
      <c r="P990" s="4">
        <v>44891</v>
      </c>
      <c r="Q990" s="4">
        <v>44900</v>
      </c>
      <c r="R990" s="1" t="s">
        <v>80</v>
      </c>
      <c r="AO990" s="7">
        <v>22016</v>
      </c>
      <c r="AP990" s="5">
        <v>11.6</v>
      </c>
      <c r="AQ990" s="5">
        <v>153</v>
      </c>
      <c r="AR990" s="5">
        <v>49.8</v>
      </c>
      <c r="AS990" s="5" t="s">
        <v>81</v>
      </c>
      <c r="AT990" s="5">
        <v>22</v>
      </c>
      <c r="AU990" s="5">
        <v>15</v>
      </c>
      <c r="AV990" s="5">
        <v>38.3</v>
      </c>
      <c r="AW990" s="5">
        <v>7.71</v>
      </c>
      <c r="AX990" s="5">
        <v>73</v>
      </c>
      <c r="AY990" s="5">
        <v>100.38</v>
      </c>
      <c r="AZ990" s="5">
        <v>12.08</v>
      </c>
      <c r="BA990" s="5">
        <v>5.08</v>
      </c>
      <c r="BB990" s="12" t="s">
        <v>76</v>
      </c>
      <c r="BC990" s="5">
        <v>3.59</v>
      </c>
      <c r="BD990" s="5">
        <v>153</v>
      </c>
      <c r="BE990" s="5" t="s">
        <v>76</v>
      </c>
      <c r="BF990" s="5" t="s">
        <v>76</v>
      </c>
      <c r="BG990" s="15">
        <v>37</v>
      </c>
      <c r="BH990" s="5">
        <v>94</v>
      </c>
      <c r="BI990" s="5">
        <v>94</v>
      </c>
      <c r="BJ990" s="5">
        <v>22</v>
      </c>
      <c r="BK990" s="5">
        <v>133</v>
      </c>
      <c r="BL990" s="5">
        <v>96</v>
      </c>
      <c r="BM990" s="5">
        <v>65</v>
      </c>
      <c r="BN990" s="5">
        <v>168</v>
      </c>
      <c r="BO990" s="5">
        <f t="shared" si="15"/>
        <v>23.0300453514739</v>
      </c>
      <c r="BP990" s="5" t="s">
        <v>271</v>
      </c>
      <c r="BQ990" s="5">
        <v>7.1</v>
      </c>
      <c r="BR990" s="5">
        <v>5003</v>
      </c>
    </row>
    <row r="991" s="1" customFormat="1" spans="1:70">
      <c r="A991" s="1">
        <v>3260873</v>
      </c>
      <c r="B991" s="1" t="s">
        <v>2354</v>
      </c>
      <c r="D991" s="4">
        <v>44929</v>
      </c>
      <c r="E991" s="4">
        <v>44933</v>
      </c>
      <c r="F991" s="7">
        <v>22027</v>
      </c>
      <c r="G991" s="1">
        <v>49</v>
      </c>
      <c r="H991" s="1">
        <v>13</v>
      </c>
      <c r="I991" s="1">
        <v>60</v>
      </c>
      <c r="J991" s="1">
        <v>13</v>
      </c>
      <c r="K991" s="1">
        <v>55</v>
      </c>
      <c r="L991" s="1">
        <v>29</v>
      </c>
      <c r="N991" s="1">
        <v>37.3</v>
      </c>
      <c r="O991" s="7">
        <v>22027</v>
      </c>
      <c r="P991" s="4">
        <v>44929</v>
      </c>
      <c r="Q991" s="4">
        <v>44933</v>
      </c>
      <c r="R991" s="1" t="s">
        <v>80</v>
      </c>
      <c r="AO991" s="7">
        <v>22027</v>
      </c>
      <c r="AP991" s="5">
        <v>5.7</v>
      </c>
      <c r="AQ991" s="5">
        <v>109</v>
      </c>
      <c r="AR991" s="5">
        <v>32.6</v>
      </c>
      <c r="AS991" s="5" t="s">
        <v>76</v>
      </c>
      <c r="AT991" s="5">
        <v>18</v>
      </c>
      <c r="AU991" s="5">
        <v>15</v>
      </c>
      <c r="AV991" s="5">
        <v>41.9</v>
      </c>
      <c r="AW991" s="5">
        <v>10.6</v>
      </c>
      <c r="AX991" s="5">
        <v>194</v>
      </c>
      <c r="AY991" s="5">
        <v>32.49</v>
      </c>
      <c r="AZ991" s="5" t="s">
        <v>75</v>
      </c>
      <c r="BA991" s="5">
        <v>2.52</v>
      </c>
      <c r="BB991" s="12" t="s">
        <v>76</v>
      </c>
      <c r="BC991" s="5">
        <v>3.43</v>
      </c>
      <c r="BD991" s="5">
        <v>109</v>
      </c>
      <c r="BE991" s="5">
        <v>0.73</v>
      </c>
      <c r="BF991" s="5">
        <v>1.45</v>
      </c>
      <c r="BG991" s="15">
        <v>36.5</v>
      </c>
      <c r="BH991" s="5">
        <v>65</v>
      </c>
      <c r="BI991" s="5">
        <v>65</v>
      </c>
      <c r="BJ991" s="5">
        <v>18</v>
      </c>
      <c r="BK991" s="5">
        <v>167</v>
      </c>
      <c r="BL991" s="5">
        <v>84</v>
      </c>
      <c r="BM991" s="5">
        <v>87</v>
      </c>
      <c r="BN991" s="5">
        <v>180</v>
      </c>
      <c r="BO991" s="5">
        <f t="shared" si="15"/>
        <v>26.8518518518519</v>
      </c>
      <c r="BP991" s="5" t="s">
        <v>156</v>
      </c>
      <c r="BQ991" s="5">
        <v>8.3</v>
      </c>
      <c r="BR991" s="5">
        <v>11538</v>
      </c>
    </row>
    <row r="992" s="1" customFormat="1" spans="1:70">
      <c r="A992" s="1" t="s">
        <v>2355</v>
      </c>
      <c r="B992" s="1" t="s">
        <v>2356</v>
      </c>
      <c r="D992" s="4">
        <v>44967</v>
      </c>
      <c r="E992" s="4">
        <v>44977</v>
      </c>
      <c r="F992" s="7">
        <v>22079</v>
      </c>
      <c r="G992" s="1">
        <v>41</v>
      </c>
      <c r="H992" s="1">
        <v>10</v>
      </c>
      <c r="I992" s="1">
        <v>50</v>
      </c>
      <c r="J992" s="1">
        <v>10</v>
      </c>
      <c r="K992" s="1">
        <v>56</v>
      </c>
      <c r="L992" s="1">
        <v>29</v>
      </c>
      <c r="M992" s="1">
        <v>0.52</v>
      </c>
      <c r="N992" s="1">
        <v>9.4</v>
      </c>
      <c r="O992" s="7">
        <v>22079</v>
      </c>
      <c r="P992" s="4">
        <v>44967</v>
      </c>
      <c r="Q992" s="4">
        <v>44977</v>
      </c>
      <c r="R992" s="1" t="s">
        <v>73</v>
      </c>
      <c r="AO992" s="7">
        <v>22079</v>
      </c>
      <c r="AP992" s="5" t="s">
        <v>404</v>
      </c>
      <c r="AQ992" s="5" t="s">
        <v>243</v>
      </c>
      <c r="AR992" s="5" t="s">
        <v>1219</v>
      </c>
      <c r="AS992" s="5" t="s">
        <v>2357</v>
      </c>
      <c r="AT992" s="5" t="s">
        <v>182</v>
      </c>
      <c r="AU992" s="5" t="s">
        <v>319</v>
      </c>
      <c r="AV992" s="5" t="s">
        <v>2358</v>
      </c>
      <c r="AW992" s="5" t="s">
        <v>1068</v>
      </c>
      <c r="AX992" s="5" t="s">
        <v>248</v>
      </c>
      <c r="AY992" s="5" t="s">
        <v>2359</v>
      </c>
      <c r="AZ992" s="5" t="s">
        <v>804</v>
      </c>
      <c r="BA992" s="5" t="s">
        <v>76</v>
      </c>
      <c r="BB992" s="12" t="s">
        <v>76</v>
      </c>
      <c r="BC992" s="5" t="s">
        <v>330</v>
      </c>
      <c r="BD992" s="5" t="s">
        <v>243</v>
      </c>
      <c r="BE992" s="5" t="s">
        <v>76</v>
      </c>
      <c r="BF992" s="5" t="s">
        <v>76</v>
      </c>
      <c r="BG992" s="15">
        <v>36.3</v>
      </c>
      <c r="BH992" s="5" t="s">
        <v>825</v>
      </c>
      <c r="BI992" s="5" t="s">
        <v>825</v>
      </c>
      <c r="BJ992" s="5" t="s">
        <v>183</v>
      </c>
      <c r="BK992" s="5" t="s">
        <v>664</v>
      </c>
      <c r="BL992" s="5" t="s">
        <v>89</v>
      </c>
      <c r="BM992" s="5" t="s">
        <v>352</v>
      </c>
      <c r="BN992" s="5">
        <v>155</v>
      </c>
      <c r="BO992" s="5">
        <f t="shared" si="15"/>
        <v>22.8928199791883</v>
      </c>
      <c r="BP992" s="5" t="s">
        <v>501</v>
      </c>
      <c r="BQ992" s="5" t="s">
        <v>1537</v>
      </c>
      <c r="BR992" s="5">
        <v>2170</v>
      </c>
    </row>
    <row r="993" s="1" customFormat="1" spans="1:70">
      <c r="A993" s="1">
        <v>3316972</v>
      </c>
      <c r="B993" s="1" t="s">
        <v>2360</v>
      </c>
      <c r="D993" s="4">
        <v>45013</v>
      </c>
      <c r="E993" s="4">
        <v>45017</v>
      </c>
      <c r="F993" s="7">
        <v>22094</v>
      </c>
      <c r="G993" s="1">
        <v>33</v>
      </c>
      <c r="H993" s="1">
        <v>9</v>
      </c>
      <c r="I993" s="1">
        <v>45</v>
      </c>
      <c r="J993" s="1">
        <v>9</v>
      </c>
      <c r="K993" s="1">
        <v>57</v>
      </c>
      <c r="L993" s="1">
        <v>30</v>
      </c>
      <c r="M993" s="1">
        <v>0.87</v>
      </c>
      <c r="N993" s="1">
        <v>8.2</v>
      </c>
      <c r="O993" s="7">
        <v>22094</v>
      </c>
      <c r="P993" s="4">
        <v>45013</v>
      </c>
      <c r="Q993" s="4">
        <v>45017</v>
      </c>
      <c r="R993" s="1" t="s">
        <v>80</v>
      </c>
      <c r="AO993" s="7">
        <v>22094</v>
      </c>
      <c r="AP993" s="5">
        <v>8.7</v>
      </c>
      <c r="AQ993" s="5">
        <v>134</v>
      </c>
      <c r="AR993" s="5">
        <v>41.1</v>
      </c>
      <c r="AS993" s="5">
        <v>5.7</v>
      </c>
      <c r="AT993" s="5">
        <v>48</v>
      </c>
      <c r="AU993" s="5">
        <v>19</v>
      </c>
      <c r="AV993" s="5">
        <v>38.5</v>
      </c>
      <c r="AW993" s="5">
        <v>3.7</v>
      </c>
      <c r="AX993" s="5">
        <v>63</v>
      </c>
      <c r="AY993" s="5" t="s">
        <v>125</v>
      </c>
      <c r="AZ993" s="5" t="s">
        <v>75</v>
      </c>
      <c r="BA993" s="5">
        <v>4.29</v>
      </c>
      <c r="BB993" s="12" t="s">
        <v>76</v>
      </c>
      <c r="BC993" s="5">
        <v>3.91</v>
      </c>
      <c r="BD993" s="5">
        <v>134</v>
      </c>
      <c r="BE993" s="5">
        <v>0.73</v>
      </c>
      <c r="BF993" s="5">
        <v>2.67</v>
      </c>
      <c r="BG993" s="15">
        <v>36.2</v>
      </c>
      <c r="BH993" s="5">
        <v>63</v>
      </c>
      <c r="BI993" s="5">
        <v>63</v>
      </c>
      <c r="BJ993" s="5">
        <v>20</v>
      </c>
      <c r="BK993" s="5">
        <v>116</v>
      </c>
      <c r="BL993" s="5">
        <v>68</v>
      </c>
      <c r="BM993" s="5">
        <v>61</v>
      </c>
      <c r="BN993" s="5">
        <v>160</v>
      </c>
      <c r="BO993" s="5">
        <f t="shared" si="15"/>
        <v>23.828125</v>
      </c>
      <c r="BP993" s="5" t="s">
        <v>323</v>
      </c>
      <c r="BQ993" s="5">
        <v>5.6</v>
      </c>
      <c r="BR993" s="5">
        <v>941</v>
      </c>
    </row>
    <row r="994" s="1" customFormat="1" spans="1:70">
      <c r="A994" s="1">
        <v>3270284</v>
      </c>
      <c r="B994" s="1" t="s">
        <v>2361</v>
      </c>
      <c r="D994" s="4">
        <v>44955</v>
      </c>
      <c r="E994" s="4">
        <v>44959</v>
      </c>
      <c r="F994" s="7">
        <v>22106</v>
      </c>
      <c r="G994" s="1">
        <v>43</v>
      </c>
      <c r="H994" s="1">
        <v>9</v>
      </c>
      <c r="I994" s="1">
        <v>49</v>
      </c>
      <c r="J994" s="1">
        <v>9</v>
      </c>
      <c r="K994" s="1">
        <v>47</v>
      </c>
      <c r="L994" s="1">
        <v>24</v>
      </c>
      <c r="N994" s="1">
        <v>10.9</v>
      </c>
      <c r="O994" s="7">
        <v>22106</v>
      </c>
      <c r="P994" s="4">
        <v>44955</v>
      </c>
      <c r="Q994" s="4">
        <v>44959</v>
      </c>
      <c r="R994" s="1" t="s">
        <v>73</v>
      </c>
      <c r="AO994" s="7">
        <v>22106</v>
      </c>
      <c r="AP994" s="5">
        <v>6.6</v>
      </c>
      <c r="AQ994" s="5">
        <v>141</v>
      </c>
      <c r="AR994" s="5">
        <v>45.4</v>
      </c>
      <c r="AS994" s="5">
        <v>5.2</v>
      </c>
      <c r="AT994" s="5">
        <v>30</v>
      </c>
      <c r="AU994" s="5">
        <v>29</v>
      </c>
      <c r="AV994" s="5">
        <v>42.9</v>
      </c>
      <c r="AW994" s="5">
        <v>3.94</v>
      </c>
      <c r="AX994" s="5">
        <v>53</v>
      </c>
      <c r="AY994" s="5">
        <v>107.77</v>
      </c>
      <c r="AZ994" s="5">
        <v>5.71</v>
      </c>
      <c r="BA994" s="5">
        <v>4.57</v>
      </c>
      <c r="BB994" s="12" t="s">
        <v>76</v>
      </c>
      <c r="BC994" s="5">
        <v>4.45</v>
      </c>
      <c r="BD994" s="5">
        <v>141</v>
      </c>
      <c r="BE994" s="5">
        <v>1.5</v>
      </c>
      <c r="BF994" s="5">
        <v>2.48</v>
      </c>
      <c r="BG994" s="15">
        <v>36.6</v>
      </c>
      <c r="BH994" s="5">
        <v>60</v>
      </c>
      <c r="BI994" s="5">
        <v>66</v>
      </c>
      <c r="BJ994" s="5">
        <v>17</v>
      </c>
      <c r="BK994" s="5">
        <v>95</v>
      </c>
      <c r="BL994" s="5">
        <v>69</v>
      </c>
      <c r="BM994" s="5">
        <v>59</v>
      </c>
      <c r="BN994" s="5">
        <v>156</v>
      </c>
      <c r="BO994" s="5">
        <f t="shared" si="15"/>
        <v>24.2439184746877</v>
      </c>
      <c r="BP994" s="5" t="s">
        <v>78</v>
      </c>
      <c r="BQ994" s="5">
        <v>6.7</v>
      </c>
      <c r="BR994" s="5">
        <v>1278</v>
      </c>
    </row>
    <row r="995" s="1" customFormat="1" spans="1:70">
      <c r="A995" s="1">
        <v>3264020</v>
      </c>
      <c r="B995" s="1" t="s">
        <v>2362</v>
      </c>
      <c r="D995" s="4">
        <v>44954</v>
      </c>
      <c r="E995" s="4">
        <v>44966</v>
      </c>
      <c r="F995" s="7">
        <v>22108</v>
      </c>
      <c r="G995" s="1">
        <v>43</v>
      </c>
      <c r="H995" s="1">
        <v>9</v>
      </c>
      <c r="I995" s="1">
        <v>48</v>
      </c>
      <c r="J995" s="1">
        <v>9</v>
      </c>
      <c r="K995" s="1">
        <v>57</v>
      </c>
      <c r="L995" s="1">
        <v>30</v>
      </c>
      <c r="N995" s="1">
        <v>8.2</v>
      </c>
      <c r="O995" s="7">
        <v>22108</v>
      </c>
      <c r="P995" s="4">
        <v>44954</v>
      </c>
      <c r="Q995" s="4">
        <v>44966</v>
      </c>
      <c r="R995" s="1" t="s">
        <v>73</v>
      </c>
      <c r="AO995" s="7">
        <v>22108</v>
      </c>
      <c r="AP995" s="5">
        <v>6.7</v>
      </c>
      <c r="AQ995" s="5">
        <v>148</v>
      </c>
      <c r="AR995" s="5">
        <v>44.3</v>
      </c>
      <c r="AS995" s="5">
        <v>1.7</v>
      </c>
      <c r="AT995" s="5">
        <v>29</v>
      </c>
      <c r="AU995" s="5">
        <v>33</v>
      </c>
      <c r="AV995" s="5">
        <v>36.1</v>
      </c>
      <c r="AW995" s="5">
        <v>5.38</v>
      </c>
      <c r="AX995" s="5">
        <v>58</v>
      </c>
      <c r="AY995" s="5" t="s">
        <v>125</v>
      </c>
      <c r="AZ995" s="5">
        <v>5.13</v>
      </c>
      <c r="BA995" s="5">
        <v>4.67</v>
      </c>
      <c r="BB995" s="12" t="s">
        <v>76</v>
      </c>
      <c r="BC995" s="5">
        <v>4.72</v>
      </c>
      <c r="BD995" s="5">
        <v>148</v>
      </c>
      <c r="BE995" s="5">
        <v>0.98</v>
      </c>
      <c r="BF995" s="5">
        <v>3.17</v>
      </c>
      <c r="BG995" s="15">
        <v>36.6</v>
      </c>
      <c r="BH995" s="5">
        <v>92</v>
      </c>
      <c r="BI995" s="5">
        <v>125</v>
      </c>
      <c r="BJ995" s="5">
        <v>18</v>
      </c>
      <c r="BK995" s="5">
        <v>106</v>
      </c>
      <c r="BL995" s="5">
        <v>83</v>
      </c>
      <c r="BM995" s="5">
        <v>52</v>
      </c>
      <c r="BN995" s="5">
        <v>152</v>
      </c>
      <c r="BO995" s="5">
        <f t="shared" si="15"/>
        <v>22.5069252077562</v>
      </c>
      <c r="BP995" s="5" t="s">
        <v>78</v>
      </c>
      <c r="BQ995" s="5" t="s">
        <v>76</v>
      </c>
      <c r="BR995" s="5">
        <v>4577</v>
      </c>
    </row>
    <row r="996" s="1" customFormat="1" spans="1:70">
      <c r="A996" s="1">
        <v>3259944</v>
      </c>
      <c r="B996" s="1" t="s">
        <v>2363</v>
      </c>
      <c r="D996" s="4">
        <v>44928</v>
      </c>
      <c r="E996" s="4">
        <v>44935</v>
      </c>
      <c r="F996" s="7">
        <v>22121</v>
      </c>
      <c r="G996" s="1">
        <v>34</v>
      </c>
      <c r="H996" s="1">
        <v>9</v>
      </c>
      <c r="I996" s="1">
        <v>49</v>
      </c>
      <c r="J996" s="1">
        <v>9</v>
      </c>
      <c r="K996" s="1">
        <v>56</v>
      </c>
      <c r="L996" s="1">
        <v>29</v>
      </c>
      <c r="M996" s="1">
        <v>1.12</v>
      </c>
      <c r="N996" s="1">
        <v>14.9</v>
      </c>
      <c r="O996" s="7">
        <v>22121</v>
      </c>
      <c r="P996" s="4">
        <v>44928</v>
      </c>
      <c r="Q996" s="4">
        <v>44935</v>
      </c>
      <c r="R996" s="1" t="s">
        <v>73</v>
      </c>
      <c r="AO996" s="7">
        <v>22121</v>
      </c>
      <c r="AP996" s="5">
        <v>4.4</v>
      </c>
      <c r="AQ996" s="5">
        <v>131</v>
      </c>
      <c r="AR996" s="5">
        <v>42.1</v>
      </c>
      <c r="AS996" s="5">
        <v>1.2</v>
      </c>
      <c r="AT996" s="5">
        <v>25</v>
      </c>
      <c r="AU996" s="5">
        <v>21</v>
      </c>
      <c r="AV996" s="5">
        <v>36.5</v>
      </c>
      <c r="AW996" s="5">
        <v>5.18</v>
      </c>
      <c r="AX996" s="5">
        <v>77</v>
      </c>
      <c r="AY996" s="5" t="s">
        <v>76</v>
      </c>
      <c r="AZ996" s="5" t="s">
        <v>75</v>
      </c>
      <c r="BA996" s="5">
        <v>3.6</v>
      </c>
      <c r="BB996" s="12" t="s">
        <v>76</v>
      </c>
      <c r="BC996" s="5">
        <v>4.27</v>
      </c>
      <c r="BD996" s="5">
        <v>131</v>
      </c>
      <c r="BE996" s="5">
        <v>1.15</v>
      </c>
      <c r="BF996" s="5">
        <v>2.08</v>
      </c>
      <c r="BG996" s="15">
        <v>36.5</v>
      </c>
      <c r="BH996" s="5">
        <v>59</v>
      </c>
      <c r="BI996" s="5">
        <v>59</v>
      </c>
      <c r="BJ996" s="5">
        <v>18</v>
      </c>
      <c r="BK996" s="5">
        <v>115</v>
      </c>
      <c r="BL996" s="5">
        <v>62</v>
      </c>
      <c r="BM996" s="5">
        <v>62</v>
      </c>
      <c r="BN996" s="5">
        <v>168</v>
      </c>
      <c r="BO996" s="5">
        <f t="shared" si="15"/>
        <v>21.9671201814059</v>
      </c>
      <c r="BP996" s="5" t="s">
        <v>107</v>
      </c>
      <c r="BQ996" s="5" t="s">
        <v>76</v>
      </c>
      <c r="BR996" s="5">
        <v>1901</v>
      </c>
    </row>
    <row r="997" s="1" customFormat="1" spans="1:70">
      <c r="A997" s="1">
        <v>3319849</v>
      </c>
      <c r="B997" s="1" t="s">
        <v>2364</v>
      </c>
      <c r="C997" s="1">
        <v>1</v>
      </c>
      <c r="D997" s="4">
        <v>45018</v>
      </c>
      <c r="E997" s="4">
        <v>45041</v>
      </c>
      <c r="F997" s="7">
        <v>22134</v>
      </c>
      <c r="G997" s="1">
        <v>43</v>
      </c>
      <c r="H997" s="1">
        <v>10</v>
      </c>
      <c r="I997" s="1">
        <v>55</v>
      </c>
      <c r="J997" s="1">
        <v>10</v>
      </c>
      <c r="K997" s="1">
        <v>44</v>
      </c>
      <c r="L997" s="1">
        <v>22</v>
      </c>
      <c r="M997" s="1">
        <v>1.13</v>
      </c>
      <c r="N997" s="1">
        <v>11.8</v>
      </c>
      <c r="O997" s="7">
        <v>22134</v>
      </c>
      <c r="P997" s="4">
        <v>45018</v>
      </c>
      <c r="Q997" s="4">
        <v>45041</v>
      </c>
      <c r="R997" s="1" t="s">
        <v>80</v>
      </c>
      <c r="AO997" s="7">
        <v>22134</v>
      </c>
      <c r="AP997" s="5">
        <v>9.5</v>
      </c>
      <c r="AQ997" s="5">
        <v>97</v>
      </c>
      <c r="AR997" s="5">
        <v>52</v>
      </c>
      <c r="AS997" s="5">
        <v>93</v>
      </c>
      <c r="AT997" s="5">
        <v>48</v>
      </c>
      <c r="AU997" s="5">
        <v>60</v>
      </c>
      <c r="AV997" s="5">
        <v>47.3</v>
      </c>
      <c r="AW997" s="5">
        <v>9.93</v>
      </c>
      <c r="AX997" s="5">
        <v>85</v>
      </c>
      <c r="AY997" s="5" t="s">
        <v>125</v>
      </c>
      <c r="AZ997" s="5" t="s">
        <v>75</v>
      </c>
      <c r="BA997" s="5">
        <v>3.88</v>
      </c>
      <c r="BB997" s="12" t="s">
        <v>76</v>
      </c>
      <c r="BC997" s="5">
        <v>5.04</v>
      </c>
      <c r="BD997" s="5">
        <v>97</v>
      </c>
      <c r="BE997" s="5">
        <v>1</v>
      </c>
      <c r="BF997" s="5">
        <v>2.45</v>
      </c>
      <c r="BG997" s="15">
        <v>36.4</v>
      </c>
      <c r="BH997" s="5">
        <v>90</v>
      </c>
      <c r="BI997" s="5">
        <v>101</v>
      </c>
      <c r="BJ997" s="5">
        <v>18</v>
      </c>
      <c r="BK997" s="5">
        <v>108</v>
      </c>
      <c r="BL997" s="5">
        <v>83</v>
      </c>
      <c r="BM997" s="5">
        <v>70</v>
      </c>
      <c r="BN997" s="5">
        <v>166</v>
      </c>
      <c r="BO997" s="5">
        <f t="shared" si="15"/>
        <v>25.4028160836116</v>
      </c>
      <c r="BP997" s="5" t="s">
        <v>1450</v>
      </c>
      <c r="BQ997" s="5">
        <v>5.9</v>
      </c>
      <c r="BR997" s="5">
        <v>6763</v>
      </c>
    </row>
    <row r="998" s="1" customFormat="1" spans="1:70">
      <c r="A998" s="1">
        <v>3498464</v>
      </c>
      <c r="B998" s="1" t="s">
        <v>2365</v>
      </c>
      <c r="D998" s="4">
        <v>45264</v>
      </c>
      <c r="E998" s="4">
        <v>45271</v>
      </c>
      <c r="F998" s="7">
        <v>22143</v>
      </c>
      <c r="G998" s="1">
        <v>46</v>
      </c>
      <c r="H998" s="1">
        <v>9</v>
      </c>
      <c r="I998" s="1">
        <v>62</v>
      </c>
      <c r="J998" s="1">
        <v>9</v>
      </c>
      <c r="K998" s="1">
        <v>38</v>
      </c>
      <c r="L998" s="1">
        <v>19</v>
      </c>
      <c r="N998" s="1">
        <v>14.3</v>
      </c>
      <c r="O998" s="7">
        <v>22143</v>
      </c>
      <c r="P998" s="4">
        <v>45264</v>
      </c>
      <c r="Q998" s="4">
        <v>45271</v>
      </c>
      <c r="R998" s="1" t="s">
        <v>80</v>
      </c>
      <c r="AO998" s="7">
        <v>22143</v>
      </c>
      <c r="AP998" s="5">
        <v>8.4</v>
      </c>
      <c r="AQ998" s="5">
        <v>137</v>
      </c>
      <c r="AR998" s="5">
        <v>46.4</v>
      </c>
      <c r="AS998" s="5" t="s">
        <v>76</v>
      </c>
      <c r="AT998" s="5">
        <v>943</v>
      </c>
      <c r="AU998" s="5">
        <v>742</v>
      </c>
      <c r="AV998" s="5">
        <v>38.9</v>
      </c>
      <c r="AW998" s="5">
        <v>32.04</v>
      </c>
      <c r="AX998" s="5">
        <v>288</v>
      </c>
      <c r="AY998" s="5">
        <v>52.33</v>
      </c>
      <c r="AZ998" s="5" t="s">
        <v>2366</v>
      </c>
      <c r="BA998" s="5" t="s">
        <v>76</v>
      </c>
      <c r="BB998" s="12" t="s">
        <v>76</v>
      </c>
      <c r="BC998" s="5">
        <v>6.43</v>
      </c>
      <c r="BD998" s="5">
        <v>137</v>
      </c>
      <c r="BE998" s="5" t="s">
        <v>76</v>
      </c>
      <c r="BF998" s="5" t="s">
        <v>76</v>
      </c>
      <c r="BG998" s="15">
        <v>36.5</v>
      </c>
      <c r="BH998" s="5">
        <v>89</v>
      </c>
      <c r="BI998" s="5">
        <v>89</v>
      </c>
      <c r="BJ998" s="5">
        <v>20</v>
      </c>
      <c r="BK998" s="5">
        <v>150</v>
      </c>
      <c r="BL998" s="5">
        <v>80</v>
      </c>
      <c r="BM998" s="5">
        <v>70</v>
      </c>
      <c r="BN998" s="5">
        <v>171</v>
      </c>
      <c r="BO998" s="5">
        <f t="shared" si="15"/>
        <v>23.9389897746315</v>
      </c>
      <c r="BP998" s="5" t="s">
        <v>85</v>
      </c>
      <c r="BQ998" s="5" t="s">
        <v>76</v>
      </c>
      <c r="BR998" s="5" t="s">
        <v>118</v>
      </c>
    </row>
    <row r="999" s="1" customFormat="1" spans="1:70">
      <c r="A999" s="1">
        <v>3286767</v>
      </c>
      <c r="B999" s="1" t="s">
        <v>2367</v>
      </c>
      <c r="D999" s="4">
        <v>44972</v>
      </c>
      <c r="E999" s="4">
        <v>44977</v>
      </c>
      <c r="F999" s="7">
        <v>22162</v>
      </c>
      <c r="G999" s="1">
        <v>48</v>
      </c>
      <c r="H999" s="1">
        <v>8</v>
      </c>
      <c r="I999" s="1">
        <v>47</v>
      </c>
      <c r="J999" s="1">
        <v>8</v>
      </c>
      <c r="K999" s="1">
        <v>45</v>
      </c>
      <c r="L999" s="1">
        <v>23</v>
      </c>
      <c r="N999" s="1">
        <v>8.8</v>
      </c>
      <c r="O999" s="7">
        <v>22162</v>
      </c>
      <c r="P999" s="4">
        <v>44972</v>
      </c>
      <c r="Q999" s="4">
        <v>44977</v>
      </c>
      <c r="R999" s="1" t="s">
        <v>73</v>
      </c>
      <c r="AO999" s="7">
        <v>22162</v>
      </c>
      <c r="AP999" s="5">
        <v>938.1</v>
      </c>
      <c r="AQ999" s="5">
        <v>141</v>
      </c>
      <c r="AR999" s="5">
        <v>43.3</v>
      </c>
      <c r="AS999" s="5" t="s">
        <v>81</v>
      </c>
      <c r="AT999" s="5">
        <v>32</v>
      </c>
      <c r="AU999" s="5">
        <v>24</v>
      </c>
      <c r="AV999" s="5">
        <v>40.5</v>
      </c>
      <c r="AW999" s="5">
        <v>6.12</v>
      </c>
      <c r="AX999" s="5">
        <v>64</v>
      </c>
      <c r="AY999" s="5">
        <v>86.69</v>
      </c>
      <c r="AZ999" s="5" t="s">
        <v>75</v>
      </c>
      <c r="BA999" s="5">
        <v>5.48</v>
      </c>
      <c r="BB999" s="12" t="s">
        <v>76</v>
      </c>
      <c r="BC999" s="5">
        <v>3.98</v>
      </c>
      <c r="BD999" s="5">
        <v>141</v>
      </c>
      <c r="BE999" s="5">
        <v>1.46</v>
      </c>
      <c r="BF999" s="5">
        <v>3.4</v>
      </c>
      <c r="BG999" s="15">
        <v>36.5</v>
      </c>
      <c r="BH999" s="5">
        <v>81</v>
      </c>
      <c r="BI999" s="5">
        <v>100</v>
      </c>
      <c r="BJ999" s="5">
        <v>17</v>
      </c>
      <c r="BK999" s="5">
        <v>104</v>
      </c>
      <c r="BL999" s="5">
        <v>81</v>
      </c>
      <c r="BM999" s="5">
        <v>69</v>
      </c>
      <c r="BN999" s="5">
        <v>164</v>
      </c>
      <c r="BO999" s="5">
        <f t="shared" si="15"/>
        <v>25.6543723973825</v>
      </c>
      <c r="BP999" s="5" t="s">
        <v>78</v>
      </c>
      <c r="BQ999" s="5">
        <v>5.4</v>
      </c>
      <c r="BR999" s="5">
        <v>1202</v>
      </c>
    </row>
    <row r="1000" s="1" customFormat="1" spans="1:70">
      <c r="A1000" s="1" t="s">
        <v>2368</v>
      </c>
      <c r="B1000" s="1" t="s">
        <v>2369</v>
      </c>
      <c r="D1000" s="4">
        <v>44952</v>
      </c>
      <c r="E1000" s="4">
        <v>44973</v>
      </c>
      <c r="F1000" s="7">
        <v>22163</v>
      </c>
      <c r="G1000" s="1">
        <v>32</v>
      </c>
      <c r="H1000" s="1">
        <v>10</v>
      </c>
      <c r="I1000" s="1">
        <v>45</v>
      </c>
      <c r="J1000" s="1">
        <v>10</v>
      </c>
      <c r="K1000" s="1">
        <v>62</v>
      </c>
      <c r="L1000" s="1">
        <v>34</v>
      </c>
      <c r="M1000" s="1">
        <v>1.19</v>
      </c>
      <c r="N1000" s="1">
        <v>6.8</v>
      </c>
      <c r="O1000" s="7">
        <v>22163</v>
      </c>
      <c r="P1000" s="4">
        <v>44952</v>
      </c>
      <c r="Q1000" s="4">
        <v>44973</v>
      </c>
      <c r="R1000" s="1" t="s">
        <v>80</v>
      </c>
      <c r="S1000" s="1">
        <v>62</v>
      </c>
      <c r="T1000" s="1" t="s">
        <v>2370</v>
      </c>
      <c r="AO1000" s="7">
        <v>22163</v>
      </c>
      <c r="AP1000" s="5" t="s">
        <v>381</v>
      </c>
      <c r="AQ1000" s="5" t="s">
        <v>89</v>
      </c>
      <c r="AR1000" s="5" t="s">
        <v>422</v>
      </c>
      <c r="AS1000" s="5" t="s">
        <v>1413</v>
      </c>
      <c r="AT1000" s="5" t="s">
        <v>89</v>
      </c>
      <c r="AU1000" s="5" t="s">
        <v>295</v>
      </c>
      <c r="AV1000" s="5" t="s">
        <v>2371</v>
      </c>
      <c r="AW1000" s="5" t="s">
        <v>1368</v>
      </c>
      <c r="AX1000" s="5" t="s">
        <v>129</v>
      </c>
      <c r="AY1000" s="5" t="s">
        <v>2372</v>
      </c>
      <c r="AZ1000" s="5" t="s">
        <v>75</v>
      </c>
      <c r="BA1000" s="5" t="s">
        <v>1390</v>
      </c>
      <c r="BB1000" s="12" t="s">
        <v>76</v>
      </c>
      <c r="BC1000" s="5" t="s">
        <v>315</v>
      </c>
      <c r="BD1000" s="5" t="s">
        <v>89</v>
      </c>
      <c r="BE1000" s="5" t="s">
        <v>1391</v>
      </c>
      <c r="BF1000" s="5" t="s">
        <v>2373</v>
      </c>
      <c r="BG1000" s="15">
        <v>40</v>
      </c>
      <c r="BH1000" s="5" t="s">
        <v>76</v>
      </c>
      <c r="BI1000" s="5" t="s">
        <v>194</v>
      </c>
      <c r="BJ1000" s="5" t="s">
        <v>1766</v>
      </c>
      <c r="BK1000" s="5" t="s">
        <v>759</v>
      </c>
      <c r="BL1000" s="5" t="s">
        <v>483</v>
      </c>
      <c r="BM1000" s="5" t="s">
        <v>658</v>
      </c>
      <c r="BN1000" s="5">
        <v>170</v>
      </c>
      <c r="BO1000" s="5">
        <f t="shared" si="15"/>
        <v>29.4117647058824</v>
      </c>
      <c r="BP1000" s="5" t="s">
        <v>1790</v>
      </c>
      <c r="BQ1000" s="5" t="s">
        <v>76</v>
      </c>
      <c r="BR1000" s="5">
        <v>2618</v>
      </c>
    </row>
    <row r="1001" s="1" customFormat="1" spans="1:70">
      <c r="A1001" s="1">
        <v>3510213</v>
      </c>
      <c r="B1001" s="1" t="s">
        <v>2374</v>
      </c>
      <c r="D1001" s="4">
        <v>45283</v>
      </c>
      <c r="E1001" s="4">
        <v>45288</v>
      </c>
      <c r="F1001" s="7">
        <v>22168</v>
      </c>
      <c r="G1001" s="1">
        <v>39</v>
      </c>
      <c r="H1001" s="1">
        <v>12</v>
      </c>
      <c r="I1001" s="1">
        <v>60</v>
      </c>
      <c r="J1001" s="1">
        <v>12</v>
      </c>
      <c r="K1001" s="1">
        <v>68</v>
      </c>
      <c r="L1001" s="1">
        <v>38</v>
      </c>
      <c r="M1001" s="1">
        <v>0.41</v>
      </c>
      <c r="N1001" s="1">
        <v>10</v>
      </c>
      <c r="O1001" s="7">
        <v>22168</v>
      </c>
      <c r="P1001" s="4">
        <v>45283</v>
      </c>
      <c r="Q1001" s="4">
        <v>45288</v>
      </c>
      <c r="R1001" s="1" t="s">
        <v>80</v>
      </c>
      <c r="S1001" s="1">
        <v>63</v>
      </c>
      <c r="T1001" s="1" t="s">
        <v>2375</v>
      </c>
      <c r="V1001" s="1">
        <v>1</v>
      </c>
      <c r="Z1001" s="1">
        <v>1</v>
      </c>
      <c r="AG1001" s="1">
        <v>1</v>
      </c>
      <c r="AH1001" s="1">
        <v>1</v>
      </c>
      <c r="AI1001" s="1">
        <v>1</v>
      </c>
      <c r="AO1001" s="7">
        <v>22168</v>
      </c>
      <c r="AP1001" s="5">
        <v>5</v>
      </c>
      <c r="AQ1001" s="5">
        <v>155</v>
      </c>
      <c r="AR1001" s="5">
        <v>47.9</v>
      </c>
      <c r="AS1001" s="5" t="s">
        <v>76</v>
      </c>
      <c r="AT1001" s="5">
        <v>24</v>
      </c>
      <c r="AU1001" s="5">
        <v>21</v>
      </c>
      <c r="AV1001" s="5">
        <v>47.6</v>
      </c>
      <c r="AW1001" s="5">
        <v>5.19</v>
      </c>
      <c r="AX1001" s="5">
        <v>67</v>
      </c>
      <c r="AY1001" s="5">
        <v>110.46</v>
      </c>
      <c r="AZ1001" s="5" t="s">
        <v>75</v>
      </c>
      <c r="BA1001" s="5">
        <v>5.59</v>
      </c>
      <c r="BB1001" s="12" t="s">
        <v>76</v>
      </c>
      <c r="BC1001" s="5">
        <v>4.2</v>
      </c>
      <c r="BD1001" s="5">
        <v>155</v>
      </c>
      <c r="BE1001" s="5">
        <v>1.45</v>
      </c>
      <c r="BF1001" s="5">
        <v>3.01</v>
      </c>
      <c r="BG1001" s="15">
        <v>36.4</v>
      </c>
      <c r="BH1001" s="5">
        <v>70</v>
      </c>
      <c r="BI1001" s="5">
        <v>70</v>
      </c>
      <c r="BJ1001" s="5">
        <v>16</v>
      </c>
      <c r="BK1001" s="5">
        <v>169</v>
      </c>
      <c r="BL1001" s="5">
        <v>64</v>
      </c>
      <c r="BM1001" s="5">
        <v>70</v>
      </c>
      <c r="BN1001" s="5">
        <v>165</v>
      </c>
      <c r="BO1001" s="5">
        <f t="shared" si="15"/>
        <v>25.7116620752984</v>
      </c>
      <c r="BP1001" s="5" t="s">
        <v>121</v>
      </c>
      <c r="BQ1001" s="5" t="s">
        <v>76</v>
      </c>
      <c r="BR1001" s="5">
        <v>1008</v>
      </c>
    </row>
    <row r="1002" s="1" customFormat="1" spans="1:70">
      <c r="A1002" s="1">
        <v>3508105</v>
      </c>
      <c r="B1002" s="1" t="s">
        <v>2376</v>
      </c>
      <c r="D1002" s="4">
        <v>45278</v>
      </c>
      <c r="E1002" s="4">
        <v>45300</v>
      </c>
      <c r="F1002" s="7">
        <v>22195</v>
      </c>
      <c r="G1002" s="1">
        <v>39</v>
      </c>
      <c r="H1002" s="1">
        <v>10</v>
      </c>
      <c r="I1002" s="1">
        <v>47</v>
      </c>
      <c r="J1002" s="1">
        <v>10</v>
      </c>
      <c r="K1002" s="1">
        <v>62</v>
      </c>
      <c r="L1002" s="1">
        <v>33</v>
      </c>
      <c r="O1002" s="7">
        <v>22195</v>
      </c>
      <c r="P1002" s="4">
        <v>45278</v>
      </c>
      <c r="Q1002" s="4">
        <v>45300</v>
      </c>
      <c r="R1002" s="1" t="s">
        <v>80</v>
      </c>
      <c r="AO1002" s="7">
        <v>22195</v>
      </c>
      <c r="AP1002" s="5">
        <v>9.9</v>
      </c>
      <c r="AQ1002" s="5">
        <v>98</v>
      </c>
      <c r="AR1002" s="5">
        <v>40</v>
      </c>
      <c r="AS1002" s="5">
        <v>84</v>
      </c>
      <c r="AT1002" s="5">
        <v>98</v>
      </c>
      <c r="AU1002" s="5">
        <v>99</v>
      </c>
      <c r="AV1002" s="5">
        <v>50.4</v>
      </c>
      <c r="AW1002" s="5">
        <v>8.02</v>
      </c>
      <c r="AX1002" s="5">
        <v>93</v>
      </c>
      <c r="AY1002" s="5">
        <v>96.98</v>
      </c>
      <c r="AZ1002" s="5" t="s">
        <v>75</v>
      </c>
      <c r="BA1002" s="5">
        <v>4.63</v>
      </c>
      <c r="BB1002" s="12" t="s">
        <v>76</v>
      </c>
      <c r="BC1002" s="5">
        <v>5.84</v>
      </c>
      <c r="BD1002" s="5">
        <v>98</v>
      </c>
      <c r="BE1002" s="5">
        <v>1.17</v>
      </c>
      <c r="BF1002" s="5">
        <v>2.55</v>
      </c>
      <c r="BG1002" s="15">
        <v>36.6</v>
      </c>
      <c r="BH1002" s="5">
        <v>72</v>
      </c>
      <c r="BI1002" s="5">
        <v>72</v>
      </c>
      <c r="BJ1002" s="5">
        <v>20</v>
      </c>
      <c r="BK1002" s="5">
        <v>130</v>
      </c>
      <c r="BL1002" s="5">
        <v>90</v>
      </c>
      <c r="BM1002" s="5">
        <v>50.5</v>
      </c>
      <c r="BN1002" s="5">
        <v>158</v>
      </c>
      <c r="BO1002" s="5">
        <f t="shared" si="15"/>
        <v>20.2291299471239</v>
      </c>
      <c r="BP1002" s="5" t="s">
        <v>1450</v>
      </c>
      <c r="BQ1002" s="5">
        <v>6</v>
      </c>
      <c r="BR1002" s="5">
        <v>8307</v>
      </c>
    </row>
    <row r="1003" s="1" customFormat="1" spans="1:70">
      <c r="A1003" s="1">
        <v>3498973</v>
      </c>
      <c r="B1003" s="1" t="s">
        <v>2377</v>
      </c>
      <c r="D1003" s="4">
        <v>45265</v>
      </c>
      <c r="E1003" s="4">
        <v>45271</v>
      </c>
      <c r="F1003" s="7">
        <v>22249</v>
      </c>
      <c r="G1003" s="1">
        <v>39</v>
      </c>
      <c r="H1003" s="1">
        <v>10</v>
      </c>
      <c r="I1003" s="1">
        <v>46</v>
      </c>
      <c r="J1003" s="1">
        <v>10</v>
      </c>
      <c r="K1003" s="1">
        <v>51</v>
      </c>
      <c r="L1003" s="1">
        <v>26</v>
      </c>
      <c r="N1003" s="1">
        <v>7.6</v>
      </c>
      <c r="O1003" s="7">
        <v>22249</v>
      </c>
      <c r="P1003" s="4">
        <v>45265</v>
      </c>
      <c r="Q1003" s="4">
        <v>45271</v>
      </c>
      <c r="R1003" s="1" t="s">
        <v>80</v>
      </c>
      <c r="AO1003" s="7">
        <v>22249</v>
      </c>
      <c r="AP1003" s="5">
        <v>6.4</v>
      </c>
      <c r="AQ1003" s="5">
        <v>152</v>
      </c>
      <c r="AR1003" s="5">
        <v>48.4</v>
      </c>
      <c r="AS1003" s="5">
        <v>0.8</v>
      </c>
      <c r="AT1003" s="5">
        <v>38</v>
      </c>
      <c r="AU1003" s="5">
        <v>43</v>
      </c>
      <c r="AV1003" s="5">
        <v>48.1</v>
      </c>
      <c r="AW1003" s="5">
        <v>6.5</v>
      </c>
      <c r="AX1003" s="5">
        <v>66</v>
      </c>
      <c r="AY1003" s="5">
        <v>112.4</v>
      </c>
      <c r="AZ1003" s="5" t="s">
        <v>75</v>
      </c>
      <c r="BA1003" s="5">
        <v>3.21</v>
      </c>
      <c r="BB1003" s="12" t="s">
        <v>76</v>
      </c>
      <c r="BC1003" s="5">
        <v>4.27</v>
      </c>
      <c r="BD1003" s="5">
        <v>152</v>
      </c>
      <c r="BE1003" s="5">
        <v>1.1</v>
      </c>
      <c r="BF1003" s="5">
        <v>1.26</v>
      </c>
      <c r="BG1003" s="15">
        <v>36.3</v>
      </c>
      <c r="BH1003" s="5">
        <v>79</v>
      </c>
      <c r="BI1003" s="5">
        <v>88</v>
      </c>
      <c r="BJ1003" s="5">
        <v>18</v>
      </c>
      <c r="BK1003" s="5">
        <v>115</v>
      </c>
      <c r="BL1003" s="5">
        <v>73</v>
      </c>
      <c r="BM1003" s="5">
        <v>64</v>
      </c>
      <c r="BN1003" s="5">
        <v>170</v>
      </c>
      <c r="BO1003" s="5">
        <f t="shared" si="15"/>
        <v>22.1453287197232</v>
      </c>
      <c r="BP1003" s="5" t="s">
        <v>78</v>
      </c>
      <c r="BQ1003" s="5">
        <v>6.4</v>
      </c>
      <c r="BR1003" s="5">
        <v>1134</v>
      </c>
    </row>
    <row r="1004" s="1" customFormat="1" spans="1:70">
      <c r="A1004" s="1">
        <v>3329687</v>
      </c>
      <c r="B1004" s="1" t="s">
        <v>2378</v>
      </c>
      <c r="C1004" s="1">
        <v>1</v>
      </c>
      <c r="D1004" s="4">
        <v>45032</v>
      </c>
      <c r="E1004" s="4">
        <v>45040</v>
      </c>
      <c r="F1004" s="7">
        <v>22258</v>
      </c>
      <c r="G1004" s="1">
        <v>41</v>
      </c>
      <c r="H1004" s="1">
        <v>10</v>
      </c>
      <c r="I1004" s="1">
        <v>48</v>
      </c>
      <c r="J1004" s="1">
        <v>10</v>
      </c>
      <c r="K1004" s="1">
        <v>63</v>
      </c>
      <c r="L1004" s="1">
        <v>34</v>
      </c>
      <c r="M1004" s="1">
        <v>1.13</v>
      </c>
      <c r="N1004" s="1">
        <v>9.3</v>
      </c>
      <c r="O1004" s="7">
        <v>22258</v>
      </c>
      <c r="P1004" s="4">
        <v>45032</v>
      </c>
      <c r="Q1004" s="4">
        <v>45040</v>
      </c>
      <c r="R1004" s="1" t="s">
        <v>80</v>
      </c>
      <c r="AO1004" s="7">
        <v>22258</v>
      </c>
      <c r="AP1004" s="5">
        <v>6.4</v>
      </c>
      <c r="AQ1004" s="5">
        <v>115</v>
      </c>
      <c r="AR1004" s="5">
        <v>36.5</v>
      </c>
      <c r="AS1004" s="5">
        <v>18.9</v>
      </c>
      <c r="AT1004" s="5">
        <v>11</v>
      </c>
      <c r="AU1004" s="5" t="s">
        <v>76</v>
      </c>
      <c r="AV1004" s="5" t="s">
        <v>76</v>
      </c>
      <c r="AW1004" s="5" t="s">
        <v>76</v>
      </c>
      <c r="AX1004" s="5" t="s">
        <v>76</v>
      </c>
      <c r="AY1004" s="5" t="s">
        <v>76</v>
      </c>
      <c r="AZ1004" s="5" t="s">
        <v>76</v>
      </c>
      <c r="BA1004" s="5" t="s">
        <v>76</v>
      </c>
      <c r="BB1004" s="12" t="s">
        <v>76</v>
      </c>
      <c r="BC1004" s="5" t="s">
        <v>4</v>
      </c>
      <c r="BD1004" s="5">
        <v>115</v>
      </c>
      <c r="BE1004" s="5" t="s">
        <v>76</v>
      </c>
      <c r="BF1004" s="5" t="s">
        <v>76</v>
      </c>
      <c r="BG1004" s="15">
        <v>36.3</v>
      </c>
      <c r="BH1004" s="5">
        <v>75</v>
      </c>
      <c r="BI1004" s="5">
        <v>75</v>
      </c>
      <c r="BJ1004" s="5">
        <v>19</v>
      </c>
      <c r="BK1004" s="5">
        <v>133</v>
      </c>
      <c r="BL1004" s="5">
        <v>83</v>
      </c>
      <c r="BM1004" s="5">
        <v>63.5</v>
      </c>
      <c r="BN1004" s="5">
        <v>168</v>
      </c>
      <c r="BO1004" s="5">
        <f t="shared" si="15"/>
        <v>22.4985827664399</v>
      </c>
      <c r="BP1004" s="5" t="s">
        <v>415</v>
      </c>
      <c r="BQ1004" s="5" t="s">
        <v>76</v>
      </c>
      <c r="BR1004" s="5">
        <v>14911</v>
      </c>
    </row>
    <row r="1005" s="1" customFormat="1" spans="1:70">
      <c r="A1005" s="1">
        <v>3248923</v>
      </c>
      <c r="B1005" s="1" t="s">
        <v>2379</v>
      </c>
      <c r="D1005" s="4">
        <v>44899</v>
      </c>
      <c r="E1005" s="4">
        <v>44905</v>
      </c>
      <c r="F1005" s="7">
        <v>22282</v>
      </c>
      <c r="G1005" s="1">
        <v>57</v>
      </c>
      <c r="H1005" s="1">
        <v>10</v>
      </c>
      <c r="I1005" s="1">
        <v>64</v>
      </c>
      <c r="J1005" s="1">
        <v>10</v>
      </c>
      <c r="K1005" s="1">
        <v>36</v>
      </c>
      <c r="L1005" s="1">
        <v>18</v>
      </c>
      <c r="M1005" s="1">
        <v>2</v>
      </c>
      <c r="N1005" s="1">
        <v>18.6</v>
      </c>
      <c r="O1005" s="7">
        <v>22282</v>
      </c>
      <c r="P1005" s="4">
        <v>44899</v>
      </c>
      <c r="Q1005" s="4">
        <v>44905</v>
      </c>
      <c r="R1005" s="1" t="s">
        <v>80</v>
      </c>
      <c r="AO1005" s="7">
        <v>22282</v>
      </c>
      <c r="AP1005" s="5">
        <v>5</v>
      </c>
      <c r="AQ1005" s="5">
        <v>118</v>
      </c>
      <c r="AR1005" s="5">
        <v>39.4</v>
      </c>
      <c r="AS1005" s="5" t="s">
        <v>76</v>
      </c>
      <c r="AT1005" s="5">
        <v>29</v>
      </c>
      <c r="AU1005" s="5">
        <v>69</v>
      </c>
      <c r="AV1005" s="5">
        <v>36</v>
      </c>
      <c r="AW1005" s="5">
        <v>8.69</v>
      </c>
      <c r="AX1005" s="5">
        <v>133</v>
      </c>
      <c r="AY1005" s="5">
        <v>50.4</v>
      </c>
      <c r="AZ1005" s="5" t="s">
        <v>75</v>
      </c>
      <c r="BA1005" s="5">
        <v>2.7</v>
      </c>
      <c r="BB1005" s="12" t="s">
        <v>76</v>
      </c>
      <c r="BC1005" s="5">
        <v>3.82</v>
      </c>
      <c r="BD1005" s="5">
        <v>118</v>
      </c>
      <c r="BE1005" s="5">
        <v>0.93</v>
      </c>
      <c r="BF1005" s="5">
        <v>1.43</v>
      </c>
      <c r="BG1005" s="15">
        <v>36.2</v>
      </c>
      <c r="BH1005" s="5">
        <v>78</v>
      </c>
      <c r="BI1005" s="5">
        <v>78</v>
      </c>
      <c r="BJ1005" s="5">
        <v>18</v>
      </c>
      <c r="BK1005" s="5">
        <v>173</v>
      </c>
      <c r="BL1005" s="5">
        <v>118</v>
      </c>
      <c r="BM1005" s="5">
        <v>75</v>
      </c>
      <c r="BN1005" s="5">
        <v>170</v>
      </c>
      <c r="BO1005" s="5">
        <f t="shared" si="15"/>
        <v>25.9515570934256</v>
      </c>
      <c r="BP1005" s="5" t="s">
        <v>121</v>
      </c>
      <c r="BQ1005" s="5">
        <v>7</v>
      </c>
      <c r="BR1005" s="5">
        <v>2894</v>
      </c>
    </row>
    <row r="1006" s="1" customFormat="1" spans="1:70">
      <c r="A1006" s="1">
        <v>3257244</v>
      </c>
      <c r="B1006" s="1" t="s">
        <v>2380</v>
      </c>
      <c r="D1006" s="4">
        <v>44923</v>
      </c>
      <c r="E1006" s="4">
        <v>44940</v>
      </c>
      <c r="F1006" s="7">
        <v>22291</v>
      </c>
      <c r="G1006" s="1">
        <v>31</v>
      </c>
      <c r="H1006" s="1">
        <v>9</v>
      </c>
      <c r="I1006" s="1">
        <v>43</v>
      </c>
      <c r="J1006" s="1">
        <v>9</v>
      </c>
      <c r="K1006" s="1">
        <v>67</v>
      </c>
      <c r="L1006" s="1">
        <v>37</v>
      </c>
      <c r="M1006" s="1">
        <v>0.84</v>
      </c>
      <c r="N1006" s="1">
        <v>10.2</v>
      </c>
      <c r="O1006" s="7">
        <v>22291</v>
      </c>
      <c r="P1006" s="4">
        <v>44923</v>
      </c>
      <c r="Q1006" s="4">
        <v>44940</v>
      </c>
      <c r="R1006" s="1" t="s">
        <v>73</v>
      </c>
      <c r="S1006" s="1">
        <v>61</v>
      </c>
      <c r="T1006" s="1" t="s">
        <v>2381</v>
      </c>
      <c r="V1006" s="1">
        <v>1</v>
      </c>
      <c r="X1006" s="1">
        <v>1</v>
      </c>
      <c r="AH1006" s="1">
        <v>1</v>
      </c>
      <c r="AL1006" s="1">
        <v>1</v>
      </c>
      <c r="AO1006" s="7">
        <v>22291</v>
      </c>
      <c r="AP1006" s="5">
        <v>6.5</v>
      </c>
      <c r="AQ1006" s="5">
        <v>113</v>
      </c>
      <c r="AR1006" s="5">
        <v>36.5</v>
      </c>
      <c r="AS1006" s="5">
        <v>97.2</v>
      </c>
      <c r="AT1006" s="5">
        <v>18</v>
      </c>
      <c r="AU1006" s="5">
        <v>25</v>
      </c>
      <c r="AV1006" s="5">
        <v>35.6</v>
      </c>
      <c r="AW1006" s="5">
        <v>5.81</v>
      </c>
      <c r="AX1006" s="5">
        <v>36</v>
      </c>
      <c r="AY1006" s="5" t="s">
        <v>125</v>
      </c>
      <c r="AZ1006" s="5" t="s">
        <v>375</v>
      </c>
      <c r="BA1006" s="5">
        <v>2.94</v>
      </c>
      <c r="BB1006" s="12" t="s">
        <v>76</v>
      </c>
      <c r="BC1006" s="5">
        <v>4.5</v>
      </c>
      <c r="BD1006" s="5">
        <v>113</v>
      </c>
      <c r="BE1006" s="5">
        <v>0.8</v>
      </c>
      <c r="BF1006" s="5">
        <v>1.64</v>
      </c>
      <c r="BG1006" s="15">
        <v>36.5</v>
      </c>
      <c r="BH1006" s="5">
        <v>88</v>
      </c>
      <c r="BI1006" s="5">
        <v>88</v>
      </c>
      <c r="BJ1006" s="5">
        <v>15</v>
      </c>
      <c r="BK1006" s="5">
        <v>149</v>
      </c>
      <c r="BL1006" s="5">
        <v>89</v>
      </c>
      <c r="BM1006" s="5">
        <v>51</v>
      </c>
      <c r="BN1006" s="5">
        <v>155</v>
      </c>
      <c r="BO1006" s="5">
        <f t="shared" si="15"/>
        <v>21.2278876170656</v>
      </c>
      <c r="BP1006" s="5" t="s">
        <v>258</v>
      </c>
      <c r="BQ1006" s="5">
        <v>7.2</v>
      </c>
      <c r="BR1006" s="5">
        <v>930</v>
      </c>
    </row>
    <row r="1007" s="1" customFormat="1" spans="1:70">
      <c r="A1007" s="1">
        <v>3488356</v>
      </c>
      <c r="B1007" s="1" t="s">
        <v>2382</v>
      </c>
      <c r="C1007" s="1">
        <v>1</v>
      </c>
      <c r="D1007" s="4">
        <v>45251</v>
      </c>
      <c r="E1007" s="4">
        <v>45276</v>
      </c>
      <c r="F1007" s="7">
        <v>22337</v>
      </c>
      <c r="G1007" s="1">
        <v>62</v>
      </c>
      <c r="H1007" s="1">
        <v>8</v>
      </c>
      <c r="I1007" s="1">
        <v>42</v>
      </c>
      <c r="J1007" s="1">
        <v>8</v>
      </c>
      <c r="K1007" s="1">
        <v>52</v>
      </c>
      <c r="L1007" s="1">
        <v>26</v>
      </c>
      <c r="O1007" s="7">
        <v>22337</v>
      </c>
      <c r="P1007" s="4">
        <v>45251</v>
      </c>
      <c r="Q1007" s="4">
        <v>45276</v>
      </c>
      <c r="R1007" s="1" t="s">
        <v>73</v>
      </c>
      <c r="AO1007" s="7">
        <v>22337</v>
      </c>
      <c r="AP1007" s="5">
        <v>9</v>
      </c>
      <c r="AQ1007" s="5">
        <v>99</v>
      </c>
      <c r="AR1007" s="5">
        <v>36.8</v>
      </c>
      <c r="AS1007" s="5">
        <v>80.6</v>
      </c>
      <c r="AT1007" s="5">
        <v>48</v>
      </c>
      <c r="AU1007" s="5">
        <v>7</v>
      </c>
      <c r="AV1007" s="5">
        <v>48.5</v>
      </c>
      <c r="AW1007" s="5">
        <v>8.54</v>
      </c>
      <c r="AX1007" s="5">
        <v>82</v>
      </c>
      <c r="AY1007" s="5" t="s">
        <v>125</v>
      </c>
      <c r="AZ1007" s="5" t="s">
        <v>75</v>
      </c>
      <c r="BA1007" s="5" t="s">
        <v>76</v>
      </c>
      <c r="BB1007" s="12" t="s">
        <v>76</v>
      </c>
      <c r="BC1007" s="5">
        <v>4.96</v>
      </c>
      <c r="BD1007" s="5">
        <v>99</v>
      </c>
      <c r="BE1007" s="5" t="s">
        <v>76</v>
      </c>
      <c r="BF1007" s="5" t="s">
        <v>76</v>
      </c>
      <c r="BG1007" s="15">
        <v>36.5</v>
      </c>
      <c r="BH1007" s="5">
        <v>62</v>
      </c>
      <c r="BI1007" s="5">
        <v>72</v>
      </c>
      <c r="BJ1007" s="5">
        <v>16</v>
      </c>
      <c r="BK1007" s="5">
        <v>84</v>
      </c>
      <c r="BL1007" s="5">
        <v>62</v>
      </c>
      <c r="BM1007" s="5">
        <v>55</v>
      </c>
      <c r="BN1007" s="5">
        <v>160</v>
      </c>
      <c r="BO1007" s="5">
        <f t="shared" si="15"/>
        <v>21.484375</v>
      </c>
      <c r="BP1007" s="5" t="s">
        <v>1450</v>
      </c>
      <c r="BQ1007" s="5">
        <v>5.4</v>
      </c>
      <c r="BR1007" s="5">
        <v>9970</v>
      </c>
    </row>
    <row r="1008" s="1" customFormat="1" spans="1:70">
      <c r="A1008" s="1">
        <v>3504332</v>
      </c>
      <c r="B1008" s="1" t="s">
        <v>2383</v>
      </c>
      <c r="C1008" s="1">
        <v>1</v>
      </c>
      <c r="D1008" s="4">
        <v>45272</v>
      </c>
      <c r="E1008" s="4">
        <v>45276</v>
      </c>
      <c r="F1008" s="7">
        <v>22342</v>
      </c>
      <c r="G1008" s="1">
        <v>53</v>
      </c>
      <c r="H1008" s="1">
        <v>8</v>
      </c>
      <c r="I1008" s="1">
        <v>43</v>
      </c>
      <c r="J1008" s="1">
        <v>8</v>
      </c>
      <c r="K1008" s="1">
        <v>63</v>
      </c>
      <c r="L1008" s="1">
        <v>33</v>
      </c>
      <c r="N1008" s="1">
        <v>20.9</v>
      </c>
      <c r="O1008" s="7">
        <v>22342</v>
      </c>
      <c r="P1008" s="4">
        <v>45272</v>
      </c>
      <c r="Q1008" s="4">
        <v>45276</v>
      </c>
      <c r="R1008" s="1" t="s">
        <v>80</v>
      </c>
      <c r="AO1008" s="7">
        <v>22342</v>
      </c>
      <c r="AP1008" s="5">
        <v>9.9</v>
      </c>
      <c r="AQ1008" s="5">
        <v>169</v>
      </c>
      <c r="AR1008" s="5">
        <v>50</v>
      </c>
      <c r="AS1008" s="5">
        <v>54.3</v>
      </c>
      <c r="AT1008" s="5">
        <v>37</v>
      </c>
      <c r="AU1008" s="5">
        <v>23</v>
      </c>
      <c r="AV1008" s="5">
        <v>41.9</v>
      </c>
      <c r="AW1008" s="5">
        <v>7.5</v>
      </c>
      <c r="AX1008" s="5">
        <v>59</v>
      </c>
      <c r="AY1008" s="5" t="s">
        <v>76</v>
      </c>
      <c r="AZ1008" s="5">
        <v>7.9</v>
      </c>
      <c r="BA1008" s="5">
        <v>2.31</v>
      </c>
      <c r="BB1008" s="12" t="s">
        <v>76</v>
      </c>
      <c r="BC1008" s="5">
        <v>4.06</v>
      </c>
      <c r="BD1008" s="5">
        <v>169</v>
      </c>
      <c r="BE1008" s="5" t="s">
        <v>76</v>
      </c>
      <c r="BF1008" s="5" t="s">
        <v>76</v>
      </c>
      <c r="BG1008" s="15">
        <v>36.5</v>
      </c>
      <c r="BH1008" s="5">
        <v>109</v>
      </c>
      <c r="BI1008" s="5">
        <v>109</v>
      </c>
      <c r="BJ1008" s="5">
        <v>31</v>
      </c>
      <c r="BK1008" s="5">
        <v>108</v>
      </c>
      <c r="BL1008" s="5">
        <v>72</v>
      </c>
      <c r="BM1008" s="5">
        <v>45</v>
      </c>
      <c r="BN1008" s="5">
        <v>160</v>
      </c>
      <c r="BO1008" s="5">
        <f t="shared" si="15"/>
        <v>17.578125</v>
      </c>
      <c r="BP1008" s="5" t="s">
        <v>622</v>
      </c>
      <c r="BQ1008" s="5" t="s">
        <v>76</v>
      </c>
      <c r="BR1008" s="5">
        <v>6348</v>
      </c>
    </row>
    <row r="1009" s="1" customFormat="1" spans="1:70">
      <c r="A1009" s="1">
        <v>3293569</v>
      </c>
      <c r="B1009" s="1" t="s">
        <v>2384</v>
      </c>
      <c r="D1009" s="4">
        <v>44982</v>
      </c>
      <c r="E1009" s="4">
        <v>44992</v>
      </c>
      <c r="F1009" s="7">
        <v>22359</v>
      </c>
      <c r="G1009" s="1">
        <v>34</v>
      </c>
      <c r="H1009" s="1">
        <v>10</v>
      </c>
      <c r="I1009" s="1">
        <v>43</v>
      </c>
      <c r="J1009" s="1">
        <v>10</v>
      </c>
      <c r="K1009" s="1">
        <v>65</v>
      </c>
      <c r="L1009" s="1">
        <v>36</v>
      </c>
      <c r="M1009" s="1">
        <v>0.66</v>
      </c>
      <c r="N1009" s="1">
        <v>9.8</v>
      </c>
      <c r="O1009" s="7">
        <v>22359</v>
      </c>
      <c r="P1009" s="4">
        <v>44982</v>
      </c>
      <c r="Q1009" s="4">
        <v>44992</v>
      </c>
      <c r="R1009" s="1" t="s">
        <v>80</v>
      </c>
      <c r="AO1009" s="7">
        <v>22359</v>
      </c>
      <c r="AP1009" s="5">
        <v>6.4</v>
      </c>
      <c r="AQ1009" s="5">
        <v>140</v>
      </c>
      <c r="AR1009" s="5">
        <v>44.1</v>
      </c>
      <c r="AS1009" s="5">
        <v>33</v>
      </c>
      <c r="AT1009" s="5">
        <v>26</v>
      </c>
      <c r="AU1009" s="5">
        <v>15</v>
      </c>
      <c r="AV1009" s="5">
        <v>24.8</v>
      </c>
      <c r="AW1009" s="5">
        <v>22.31</v>
      </c>
      <c r="AX1009" s="5">
        <v>206</v>
      </c>
      <c r="AY1009" s="5">
        <v>61.45</v>
      </c>
      <c r="AZ1009" s="5">
        <v>8.93</v>
      </c>
      <c r="BA1009" s="5">
        <v>7.35</v>
      </c>
      <c r="BB1009" s="12" t="s">
        <v>76</v>
      </c>
      <c r="BC1009" s="5">
        <v>4.64</v>
      </c>
      <c r="BD1009" s="5">
        <v>140</v>
      </c>
      <c r="BE1009" s="5" t="s">
        <v>76</v>
      </c>
      <c r="BF1009" s="5" t="s">
        <v>76</v>
      </c>
      <c r="BG1009" s="15">
        <v>38.3</v>
      </c>
      <c r="BH1009" s="5">
        <v>102</v>
      </c>
      <c r="BI1009" s="5" t="s">
        <v>76</v>
      </c>
      <c r="BJ1009" s="5">
        <v>16</v>
      </c>
      <c r="BK1009" s="5">
        <v>100</v>
      </c>
      <c r="BL1009" s="5">
        <v>59</v>
      </c>
      <c r="BM1009" s="5">
        <v>88</v>
      </c>
      <c r="BN1009" s="5">
        <v>175</v>
      </c>
      <c r="BO1009" s="5">
        <f t="shared" si="15"/>
        <v>28.734693877551</v>
      </c>
      <c r="BP1009" s="5" t="s">
        <v>415</v>
      </c>
      <c r="BQ1009" s="5">
        <v>6.7</v>
      </c>
      <c r="BR1009" s="5">
        <v>3435</v>
      </c>
    </row>
    <row r="1010" s="1" customFormat="1" spans="1:70">
      <c r="A1010" s="1">
        <v>3291715</v>
      </c>
      <c r="B1010" s="1" t="s">
        <v>2385</v>
      </c>
      <c r="D1010" s="4">
        <v>44979</v>
      </c>
      <c r="E1010" s="4">
        <v>44984</v>
      </c>
      <c r="F1010" s="7">
        <v>22366</v>
      </c>
      <c r="G1010" s="1">
        <v>47</v>
      </c>
      <c r="H1010" s="1">
        <v>10</v>
      </c>
      <c r="I1010" s="1">
        <v>59</v>
      </c>
      <c r="J1010" s="1">
        <v>9</v>
      </c>
      <c r="K1010" s="1">
        <v>39</v>
      </c>
      <c r="L1010" s="1">
        <v>19</v>
      </c>
      <c r="M1010" s="1">
        <v>0.76</v>
      </c>
      <c r="N1010" s="1">
        <v>9.5</v>
      </c>
      <c r="O1010" s="7">
        <v>22366</v>
      </c>
      <c r="P1010" s="4">
        <v>44979</v>
      </c>
      <c r="Q1010" s="4">
        <v>44984</v>
      </c>
      <c r="R1010" s="1" t="s">
        <v>80</v>
      </c>
      <c r="AO1010" s="7">
        <v>22366</v>
      </c>
      <c r="AP1010" s="5">
        <v>7.2</v>
      </c>
      <c r="AQ1010" s="5">
        <v>139</v>
      </c>
      <c r="AR1010" s="5">
        <v>44.9</v>
      </c>
      <c r="AS1010" s="5" t="s">
        <v>76</v>
      </c>
      <c r="AT1010" s="5">
        <v>83</v>
      </c>
      <c r="AU1010" s="5">
        <v>74</v>
      </c>
      <c r="AV1010" s="5">
        <v>36.7</v>
      </c>
      <c r="AW1010" s="5">
        <v>9.7</v>
      </c>
      <c r="AX1010" s="5">
        <v>133</v>
      </c>
      <c r="AY1010" s="5">
        <v>52.21</v>
      </c>
      <c r="AZ1010" s="5" t="s">
        <v>75</v>
      </c>
      <c r="BA1010" s="5">
        <v>4.07</v>
      </c>
      <c r="BB1010" s="12" t="s">
        <v>76</v>
      </c>
      <c r="BC1010" s="5">
        <v>4.38</v>
      </c>
      <c r="BD1010" s="5">
        <v>139</v>
      </c>
      <c r="BE1010" s="5">
        <v>0.72</v>
      </c>
      <c r="BF1010" s="5">
        <v>2.51</v>
      </c>
      <c r="BG1010" s="15">
        <v>36.5</v>
      </c>
      <c r="BH1010" s="5">
        <v>74</v>
      </c>
      <c r="BI1010" s="5" t="s">
        <v>76</v>
      </c>
      <c r="BJ1010" s="5">
        <v>16</v>
      </c>
      <c r="BK1010" s="5">
        <v>145</v>
      </c>
      <c r="BL1010" s="5">
        <v>85</v>
      </c>
      <c r="BM1010" s="5">
        <v>70</v>
      </c>
      <c r="BN1010" s="5">
        <v>170</v>
      </c>
      <c r="BO1010" s="5">
        <f t="shared" si="15"/>
        <v>24.2214532871972</v>
      </c>
      <c r="BP1010" s="5" t="s">
        <v>107</v>
      </c>
      <c r="BQ1010" s="5">
        <v>5.9</v>
      </c>
      <c r="BR1010" s="5">
        <v>4726</v>
      </c>
    </row>
    <row r="1011" s="1" customFormat="1" spans="1:70">
      <c r="A1011" s="1">
        <v>3295064</v>
      </c>
      <c r="B1011" s="1" t="s">
        <v>2386</v>
      </c>
      <c r="D1011" s="4">
        <v>44984</v>
      </c>
      <c r="E1011" s="4">
        <v>44991</v>
      </c>
      <c r="F1011" s="7">
        <v>22478</v>
      </c>
      <c r="G1011" s="1">
        <v>65</v>
      </c>
      <c r="H1011" s="1">
        <v>10</v>
      </c>
      <c r="I1011" s="1">
        <v>50</v>
      </c>
      <c r="J1011" s="1">
        <v>9</v>
      </c>
      <c r="K1011" s="1">
        <v>53</v>
      </c>
      <c r="L1011" s="1">
        <v>28</v>
      </c>
      <c r="N1011" s="1">
        <v>12.8</v>
      </c>
      <c r="O1011" s="7">
        <v>22478</v>
      </c>
      <c r="P1011" s="4">
        <v>44984</v>
      </c>
      <c r="Q1011" s="4">
        <v>44991</v>
      </c>
      <c r="R1011" s="1" t="s">
        <v>73</v>
      </c>
      <c r="AO1011" s="7">
        <v>22478</v>
      </c>
      <c r="AP1011" s="5">
        <v>7.5</v>
      </c>
      <c r="AQ1011" s="5">
        <v>87</v>
      </c>
      <c r="AR1011" s="5">
        <v>28.8</v>
      </c>
      <c r="AS1011" s="5">
        <v>0.9</v>
      </c>
      <c r="AT1011" s="5">
        <v>15</v>
      </c>
      <c r="AU1011" s="5">
        <v>10</v>
      </c>
      <c r="AV1011" s="5">
        <v>28.9</v>
      </c>
      <c r="AW1011" s="5">
        <v>16.57</v>
      </c>
      <c r="AX1011" s="5">
        <v>115</v>
      </c>
      <c r="AY1011" s="5">
        <v>44.23</v>
      </c>
      <c r="AZ1011" s="5" t="s">
        <v>871</v>
      </c>
      <c r="BA1011" s="5">
        <v>6.59</v>
      </c>
      <c r="BB1011" s="12" t="s">
        <v>76</v>
      </c>
      <c r="BC1011" s="5">
        <v>4.25</v>
      </c>
      <c r="BD1011" s="5">
        <v>87</v>
      </c>
      <c r="BE1011" s="5" t="s">
        <v>76</v>
      </c>
      <c r="BF1011" s="5" t="s">
        <v>76</v>
      </c>
      <c r="BG1011" s="15">
        <v>36.5</v>
      </c>
      <c r="BH1011" s="5">
        <v>95</v>
      </c>
      <c r="BI1011" s="5" t="s">
        <v>76</v>
      </c>
      <c r="BJ1011" s="5">
        <v>17</v>
      </c>
      <c r="BK1011" s="5">
        <v>97</v>
      </c>
      <c r="BL1011" s="5">
        <v>48</v>
      </c>
      <c r="BM1011" s="5">
        <v>68</v>
      </c>
      <c r="BN1011" s="5">
        <v>167</v>
      </c>
      <c r="BO1011" s="5">
        <f t="shared" si="15"/>
        <v>24.3823729785937</v>
      </c>
      <c r="BP1011" s="5" t="s">
        <v>415</v>
      </c>
      <c r="BQ1011" s="5">
        <v>11.8</v>
      </c>
      <c r="BR1011" s="5">
        <v>1044</v>
      </c>
    </row>
    <row r="1012" s="1" customFormat="1" spans="1:70">
      <c r="A1012" s="1">
        <v>3296293</v>
      </c>
      <c r="B1012" s="1" t="s">
        <v>2387</v>
      </c>
      <c r="D1012" s="4">
        <v>44985</v>
      </c>
      <c r="E1012" s="4">
        <v>44999</v>
      </c>
      <c r="F1012" s="7">
        <v>22482</v>
      </c>
      <c r="G1012" s="1">
        <v>37</v>
      </c>
      <c r="H1012" s="1">
        <v>8</v>
      </c>
      <c r="I1012" s="1">
        <v>48</v>
      </c>
      <c r="J1012" s="1">
        <v>8</v>
      </c>
      <c r="K1012" s="1">
        <v>59</v>
      </c>
      <c r="L1012" s="1">
        <v>31</v>
      </c>
      <c r="M1012" s="1">
        <v>0.81</v>
      </c>
      <c r="N1012" s="1">
        <v>7.5</v>
      </c>
      <c r="O1012" s="7">
        <v>22482</v>
      </c>
      <c r="P1012" s="4">
        <v>44985</v>
      </c>
      <c r="Q1012" s="4">
        <v>44999</v>
      </c>
      <c r="R1012" s="1" t="s">
        <v>80</v>
      </c>
      <c r="AO1012" s="7">
        <v>22482</v>
      </c>
      <c r="AP1012" s="5">
        <v>7.7</v>
      </c>
      <c r="AQ1012" s="5">
        <v>130</v>
      </c>
      <c r="AR1012" s="5">
        <v>40.4</v>
      </c>
      <c r="AS1012" s="5">
        <v>9.2</v>
      </c>
      <c r="AT1012" s="5">
        <v>17</v>
      </c>
      <c r="AU1012" s="5">
        <v>9</v>
      </c>
      <c r="AV1012" s="5">
        <v>36.8</v>
      </c>
      <c r="AW1012" s="5">
        <v>8.03</v>
      </c>
      <c r="AX1012" s="5">
        <v>62</v>
      </c>
      <c r="AY1012" s="5" t="s">
        <v>125</v>
      </c>
      <c r="AZ1012" s="5" t="s">
        <v>75</v>
      </c>
      <c r="BA1012" s="5" t="s">
        <v>76</v>
      </c>
      <c r="BB1012" s="12" t="s">
        <v>76</v>
      </c>
      <c r="BC1012" s="5">
        <v>3.96</v>
      </c>
      <c r="BD1012" s="5">
        <v>130</v>
      </c>
      <c r="BE1012" s="5" t="s">
        <v>76</v>
      </c>
      <c r="BF1012" s="5" t="s">
        <v>76</v>
      </c>
      <c r="BG1012" s="15">
        <v>36.5</v>
      </c>
      <c r="BH1012" s="5">
        <v>86</v>
      </c>
      <c r="BI1012" s="5">
        <v>86</v>
      </c>
      <c r="BJ1012" s="5">
        <v>25</v>
      </c>
      <c r="BK1012" s="5">
        <v>130</v>
      </c>
      <c r="BL1012" s="5">
        <v>90</v>
      </c>
      <c r="BM1012" s="5" t="s">
        <v>77</v>
      </c>
      <c r="BN1012" s="5" t="s">
        <v>77</v>
      </c>
      <c r="BO1012" s="5" t="e">
        <f t="shared" si="15"/>
        <v>#VALUE!</v>
      </c>
      <c r="BP1012" s="5" t="s">
        <v>109</v>
      </c>
      <c r="BQ1012" s="5">
        <v>5</v>
      </c>
      <c r="BR1012" s="5">
        <v>955</v>
      </c>
    </row>
    <row r="1013" s="1" customFormat="1" spans="1:70">
      <c r="A1013" s="1">
        <v>3281624</v>
      </c>
      <c r="B1013" s="1" t="s">
        <v>2388</v>
      </c>
      <c r="D1013" s="4">
        <v>44965</v>
      </c>
      <c r="E1013" s="4">
        <v>44977</v>
      </c>
      <c r="F1013" s="7">
        <v>22544</v>
      </c>
      <c r="G1013" s="1">
        <v>42</v>
      </c>
      <c r="H1013" s="1">
        <v>9</v>
      </c>
      <c r="I1013" s="1">
        <v>82</v>
      </c>
      <c r="J1013" s="1">
        <v>9</v>
      </c>
      <c r="K1013" s="1">
        <v>30</v>
      </c>
      <c r="L1013" s="1">
        <v>15</v>
      </c>
      <c r="M1013" s="1">
        <v>0.85</v>
      </c>
      <c r="N1013" s="1">
        <v>10.6</v>
      </c>
      <c r="O1013" s="7">
        <v>22544</v>
      </c>
      <c r="P1013" s="4">
        <v>44965</v>
      </c>
      <c r="Q1013" s="4">
        <v>44977</v>
      </c>
      <c r="R1013" s="1" t="s">
        <v>73</v>
      </c>
      <c r="AO1013" s="7">
        <v>22544</v>
      </c>
      <c r="AP1013" s="5">
        <v>5.2</v>
      </c>
      <c r="AQ1013" s="5">
        <v>129</v>
      </c>
      <c r="AR1013" s="5">
        <v>41.6</v>
      </c>
      <c r="AS1013" s="5">
        <v>0.6</v>
      </c>
      <c r="AT1013" s="5">
        <v>22</v>
      </c>
      <c r="AU1013" s="5">
        <v>9</v>
      </c>
      <c r="AV1013" s="5">
        <v>42.3</v>
      </c>
      <c r="AW1013" s="5">
        <v>7.22</v>
      </c>
      <c r="AX1013" s="5">
        <v>52</v>
      </c>
      <c r="AY1013" s="5">
        <v>110.53</v>
      </c>
      <c r="AZ1013" s="5" t="s">
        <v>75</v>
      </c>
      <c r="BA1013" s="5">
        <v>4.82</v>
      </c>
      <c r="BB1013" s="12" t="s">
        <v>76</v>
      </c>
      <c r="BC1013" s="5">
        <v>4.04</v>
      </c>
      <c r="BD1013" s="5">
        <v>129</v>
      </c>
      <c r="BE1013" s="5">
        <v>1.35</v>
      </c>
      <c r="BF1013" s="5">
        <v>3.14</v>
      </c>
      <c r="BG1013" s="5" t="s">
        <v>76</v>
      </c>
      <c r="BH1013" s="5" t="s">
        <v>76</v>
      </c>
      <c r="BI1013" s="5" t="s">
        <v>76</v>
      </c>
      <c r="BJ1013" s="5" t="s">
        <v>76</v>
      </c>
      <c r="BK1013" s="5" t="s">
        <v>76</v>
      </c>
      <c r="BL1013" s="5" t="s">
        <v>76</v>
      </c>
      <c r="BM1013" s="5" t="s">
        <v>76</v>
      </c>
      <c r="BN1013" s="5" t="s">
        <v>76</v>
      </c>
      <c r="BO1013" s="5" t="e">
        <f t="shared" si="15"/>
        <v>#VALUE!</v>
      </c>
      <c r="BP1013" s="5" t="s">
        <v>78</v>
      </c>
      <c r="BQ1013" s="5">
        <v>5.7</v>
      </c>
      <c r="BR1013" s="5">
        <v>2607</v>
      </c>
    </row>
    <row r="1014" s="1" customFormat="1" spans="1:70">
      <c r="A1014" s="1">
        <v>3510466</v>
      </c>
      <c r="B1014" s="1" t="s">
        <v>2389</v>
      </c>
      <c r="D1014" s="4">
        <v>45280</v>
      </c>
      <c r="E1014" s="4">
        <v>45295</v>
      </c>
      <c r="F1014" s="7">
        <v>22570</v>
      </c>
      <c r="G1014" s="1">
        <v>56</v>
      </c>
      <c r="H1014" s="1">
        <v>9</v>
      </c>
      <c r="I1014" s="1">
        <v>49</v>
      </c>
      <c r="J1014" s="1">
        <v>9</v>
      </c>
      <c r="K1014" s="1">
        <v>62</v>
      </c>
      <c r="L1014" s="1">
        <v>33</v>
      </c>
      <c r="O1014" s="7">
        <v>22570</v>
      </c>
      <c r="P1014" s="4">
        <v>45280</v>
      </c>
      <c r="Q1014" s="4">
        <v>45295</v>
      </c>
      <c r="R1014" s="1" t="s">
        <v>73</v>
      </c>
      <c r="AO1014" s="7">
        <v>22570</v>
      </c>
      <c r="AP1014" s="5">
        <v>9.3</v>
      </c>
      <c r="AQ1014" s="5">
        <v>95</v>
      </c>
      <c r="AR1014" s="5">
        <v>36</v>
      </c>
      <c r="AS1014" s="5">
        <v>98.7</v>
      </c>
      <c r="AT1014" s="5">
        <v>87</v>
      </c>
      <c r="AU1014" s="5">
        <v>88</v>
      </c>
      <c r="AV1014" s="5">
        <v>37</v>
      </c>
      <c r="AW1014" s="5">
        <v>6.62</v>
      </c>
      <c r="AX1014" s="5">
        <v>35</v>
      </c>
      <c r="AY1014" s="5" t="s">
        <v>125</v>
      </c>
      <c r="AZ1014" s="5" t="s">
        <v>75</v>
      </c>
      <c r="BA1014" s="5" t="s">
        <v>76</v>
      </c>
      <c r="BB1014" s="12" t="s">
        <v>76</v>
      </c>
      <c r="BC1014" s="5">
        <v>4.69</v>
      </c>
      <c r="BD1014" s="5">
        <v>95</v>
      </c>
      <c r="BE1014" s="5" t="s">
        <v>76</v>
      </c>
      <c r="BF1014" s="5" t="s">
        <v>76</v>
      </c>
      <c r="BG1014" s="5" t="s">
        <v>76</v>
      </c>
      <c r="BH1014" s="5" t="s">
        <v>76</v>
      </c>
      <c r="BI1014" s="5" t="s">
        <v>76</v>
      </c>
      <c r="BJ1014" s="5" t="s">
        <v>76</v>
      </c>
      <c r="BK1014" s="5" t="s">
        <v>76</v>
      </c>
      <c r="BL1014" s="5" t="s">
        <v>76</v>
      </c>
      <c r="BM1014" s="5" t="s">
        <v>76</v>
      </c>
      <c r="BN1014" s="5" t="s">
        <v>76</v>
      </c>
      <c r="BO1014" s="5" t="e">
        <f t="shared" si="15"/>
        <v>#VALUE!</v>
      </c>
      <c r="BP1014" s="5" t="s">
        <v>117</v>
      </c>
      <c r="BQ1014" s="5" t="s">
        <v>76</v>
      </c>
      <c r="BR1014" s="5">
        <v>963.53</v>
      </c>
    </row>
    <row r="1015" s="1" customFormat="1" spans="1:70">
      <c r="A1015" s="1">
        <v>3316144</v>
      </c>
      <c r="B1015" s="1" t="s">
        <v>2390</v>
      </c>
      <c r="C1015" s="1">
        <v>1</v>
      </c>
      <c r="D1015" s="4">
        <v>45012</v>
      </c>
      <c r="E1015" s="4">
        <v>45026</v>
      </c>
      <c r="F1015" s="7">
        <v>22599</v>
      </c>
      <c r="G1015" s="1">
        <v>38</v>
      </c>
      <c r="H1015" s="1">
        <v>10</v>
      </c>
      <c r="I1015" s="1">
        <v>55</v>
      </c>
      <c r="J1015" s="1">
        <v>10</v>
      </c>
      <c r="K1015" s="1">
        <v>32</v>
      </c>
      <c r="M1015" s="1">
        <v>1.52</v>
      </c>
      <c r="O1015" s="7">
        <v>22599</v>
      </c>
      <c r="P1015" s="4">
        <v>45012</v>
      </c>
      <c r="Q1015" s="4">
        <v>45026</v>
      </c>
      <c r="R1015" s="1" t="s">
        <v>80</v>
      </c>
      <c r="AO1015" s="7">
        <v>22599</v>
      </c>
      <c r="AP1015" s="5">
        <v>8.8</v>
      </c>
      <c r="AQ1015" s="5">
        <v>96</v>
      </c>
      <c r="AR1015" s="5">
        <v>41.9</v>
      </c>
      <c r="AS1015" s="5">
        <v>83.9</v>
      </c>
      <c r="AT1015" s="5">
        <v>68</v>
      </c>
      <c r="AU1015" s="5">
        <v>72</v>
      </c>
      <c r="AV1015" s="5">
        <v>8.1</v>
      </c>
      <c r="AW1015" s="5">
        <v>9.8</v>
      </c>
      <c r="AX1015" s="5">
        <v>59</v>
      </c>
      <c r="AY1015" s="5" t="s">
        <v>125</v>
      </c>
      <c r="AZ1015" s="5">
        <v>9.8</v>
      </c>
      <c r="BA1015" s="5">
        <v>4.78</v>
      </c>
      <c r="BB1015" s="12" t="s">
        <v>76</v>
      </c>
      <c r="BC1015" s="5">
        <v>4.93</v>
      </c>
      <c r="BD1015" s="5">
        <v>96</v>
      </c>
      <c r="BE1015" s="5" t="s">
        <v>76</v>
      </c>
      <c r="BF1015" s="5" t="s">
        <v>76</v>
      </c>
      <c r="BG1015" s="15">
        <v>36.3</v>
      </c>
      <c r="BH1015" s="5">
        <v>73</v>
      </c>
      <c r="BI1015" s="5">
        <v>73</v>
      </c>
      <c r="BJ1015" s="5">
        <v>14</v>
      </c>
      <c r="BK1015" s="5">
        <v>149</v>
      </c>
      <c r="BL1015" s="5">
        <v>77</v>
      </c>
      <c r="BM1015" s="5" t="s">
        <v>77</v>
      </c>
      <c r="BN1015" s="5" t="s">
        <v>77</v>
      </c>
      <c r="BO1015" s="5" t="e">
        <f t="shared" si="15"/>
        <v>#VALUE!</v>
      </c>
      <c r="BP1015" s="5" t="s">
        <v>117</v>
      </c>
      <c r="BQ1015" s="5">
        <v>10.2</v>
      </c>
      <c r="BR1015" s="5">
        <v>8635</v>
      </c>
    </row>
    <row r="1016" s="1" customFormat="1" spans="1:70">
      <c r="A1016" s="1">
        <v>3237268</v>
      </c>
      <c r="B1016" s="1" t="s">
        <v>2391</v>
      </c>
      <c r="D1016" s="4">
        <v>44882</v>
      </c>
      <c r="E1016" s="4">
        <v>44886</v>
      </c>
      <c r="F1016" s="7">
        <v>22604</v>
      </c>
      <c r="G1016" s="1">
        <v>31</v>
      </c>
      <c r="H1016" s="1">
        <v>8</v>
      </c>
      <c r="I1016" s="1">
        <v>29</v>
      </c>
      <c r="J1016" s="1">
        <v>8</v>
      </c>
      <c r="K1016" s="1">
        <v>68</v>
      </c>
      <c r="L1016" s="1">
        <v>38</v>
      </c>
      <c r="M1016" s="1">
        <v>0.56</v>
      </c>
      <c r="O1016" s="7">
        <v>22604</v>
      </c>
      <c r="P1016" s="4">
        <v>44882</v>
      </c>
      <c r="Q1016" s="4">
        <v>44886</v>
      </c>
      <c r="R1016" s="1" t="s">
        <v>80</v>
      </c>
      <c r="AO1016" s="7">
        <v>22604</v>
      </c>
      <c r="AP1016" s="5">
        <v>4.5</v>
      </c>
      <c r="AQ1016" s="5">
        <v>154</v>
      </c>
      <c r="AR1016" s="5">
        <v>52.3</v>
      </c>
      <c r="AS1016" s="5">
        <v>6</v>
      </c>
      <c r="AT1016" s="5">
        <v>33</v>
      </c>
      <c r="AU1016" s="5">
        <v>45</v>
      </c>
      <c r="AV1016" s="5">
        <v>39.1</v>
      </c>
      <c r="AW1016" s="5">
        <v>12.69</v>
      </c>
      <c r="AX1016" s="5">
        <v>90</v>
      </c>
      <c r="AY1016" s="5" t="s">
        <v>76</v>
      </c>
      <c r="AZ1016" s="5">
        <v>8.09</v>
      </c>
      <c r="BA1016" s="5" t="s">
        <v>76</v>
      </c>
      <c r="BB1016" s="12" t="s">
        <v>76</v>
      </c>
      <c r="BC1016" s="5">
        <v>4.7</v>
      </c>
      <c r="BD1016" s="5">
        <v>154</v>
      </c>
      <c r="BE1016" s="5" t="s">
        <v>76</v>
      </c>
      <c r="BF1016" s="5" t="s">
        <v>76</v>
      </c>
      <c r="BG1016" s="15">
        <v>36.5</v>
      </c>
      <c r="BH1016" s="5">
        <v>96</v>
      </c>
      <c r="BI1016" s="5" t="s">
        <v>76</v>
      </c>
      <c r="BJ1016" s="5">
        <v>24</v>
      </c>
      <c r="BK1016" s="5">
        <v>105</v>
      </c>
      <c r="BL1016" s="5">
        <v>85</v>
      </c>
      <c r="BM1016" s="5">
        <v>59</v>
      </c>
      <c r="BN1016" s="5">
        <v>159</v>
      </c>
      <c r="BO1016" s="5">
        <f t="shared" si="15"/>
        <v>23.3376844270401</v>
      </c>
      <c r="BP1016" s="5" t="s">
        <v>168</v>
      </c>
      <c r="BQ1016" s="5">
        <v>7</v>
      </c>
      <c r="BR1016" s="5">
        <v>4043</v>
      </c>
    </row>
    <row r="1017" s="1" customFormat="1" spans="1:70">
      <c r="A1017" s="1">
        <v>3491127</v>
      </c>
      <c r="B1017" s="1" t="s">
        <v>2392</v>
      </c>
      <c r="D1017" s="4">
        <v>45254</v>
      </c>
      <c r="E1017" s="4">
        <v>45272</v>
      </c>
      <c r="F1017" s="7">
        <v>22609</v>
      </c>
      <c r="G1017" s="1">
        <v>32</v>
      </c>
      <c r="H1017" s="1">
        <v>8</v>
      </c>
      <c r="I1017" s="1">
        <v>48</v>
      </c>
      <c r="J1017" s="1">
        <v>8</v>
      </c>
      <c r="K1017" s="1">
        <v>58</v>
      </c>
      <c r="L1017" s="1">
        <v>31</v>
      </c>
      <c r="M1017" s="1">
        <v>1.64</v>
      </c>
      <c r="O1017" s="7">
        <v>22609</v>
      </c>
      <c r="P1017" s="4">
        <v>45254</v>
      </c>
      <c r="Q1017" s="4">
        <v>45272</v>
      </c>
      <c r="R1017" s="1" t="s">
        <v>80</v>
      </c>
      <c r="AO1017" s="7">
        <v>22609</v>
      </c>
      <c r="AP1017" s="5">
        <v>9.7</v>
      </c>
      <c r="AQ1017" s="5">
        <v>147</v>
      </c>
      <c r="AR1017" s="5">
        <v>45.4</v>
      </c>
      <c r="AS1017" s="5">
        <v>90.5</v>
      </c>
      <c r="AT1017" s="5">
        <v>55</v>
      </c>
      <c r="AU1017" s="5">
        <v>61</v>
      </c>
      <c r="AV1017" s="5">
        <v>39.4</v>
      </c>
      <c r="AW1017" s="5">
        <v>8.3</v>
      </c>
      <c r="AX1017" s="5">
        <v>80</v>
      </c>
      <c r="AY1017" s="5" t="s">
        <v>76</v>
      </c>
      <c r="AZ1017" s="5" t="s">
        <v>75</v>
      </c>
      <c r="BA1017" s="5">
        <v>3.61</v>
      </c>
      <c r="BB1017" s="12" t="s">
        <v>76</v>
      </c>
      <c r="BC1017" s="5">
        <v>4.92</v>
      </c>
      <c r="BD1017" s="5">
        <v>147</v>
      </c>
      <c r="BE1017" s="5">
        <v>0.56</v>
      </c>
      <c r="BF1017" s="5">
        <v>2.03</v>
      </c>
      <c r="BG1017" s="15">
        <v>36</v>
      </c>
      <c r="BH1017" s="5">
        <v>105</v>
      </c>
      <c r="BI1017" s="5">
        <v>105</v>
      </c>
      <c r="BJ1017" s="5">
        <v>11</v>
      </c>
      <c r="BK1017" s="5">
        <v>148</v>
      </c>
      <c r="BL1017" s="5">
        <v>102</v>
      </c>
      <c r="BM1017" s="5">
        <v>65</v>
      </c>
      <c r="BN1017" s="5">
        <v>170</v>
      </c>
      <c r="BO1017" s="5">
        <f t="shared" si="15"/>
        <v>22.4913494809689</v>
      </c>
      <c r="BP1017" s="5" t="s">
        <v>164</v>
      </c>
      <c r="BQ1017" s="5">
        <v>5.9</v>
      </c>
      <c r="BR1017" s="5">
        <v>957</v>
      </c>
    </row>
    <row r="1018" s="1" customFormat="1" spans="1:70">
      <c r="A1018" s="1">
        <v>3278348</v>
      </c>
      <c r="B1018" s="1" t="s">
        <v>2393</v>
      </c>
      <c r="D1018" s="4">
        <v>44961</v>
      </c>
      <c r="E1018" s="4">
        <v>44978</v>
      </c>
      <c r="F1018" s="7">
        <v>22617</v>
      </c>
      <c r="G1018" s="1">
        <v>56</v>
      </c>
      <c r="H1018" s="1">
        <v>9</v>
      </c>
      <c r="I1018" s="1">
        <v>58</v>
      </c>
      <c r="J1018" s="1">
        <v>9</v>
      </c>
      <c r="K1018" s="1">
        <v>56</v>
      </c>
      <c r="L1018" s="1">
        <v>30</v>
      </c>
      <c r="O1018" s="7">
        <v>22617</v>
      </c>
      <c r="P1018" s="4">
        <v>44961</v>
      </c>
      <c r="Q1018" s="4">
        <v>44978</v>
      </c>
      <c r="R1018" s="1" t="s">
        <v>80</v>
      </c>
      <c r="AO1018" s="7">
        <v>22617</v>
      </c>
      <c r="AP1018" s="5">
        <v>9.7</v>
      </c>
      <c r="AQ1018" s="5">
        <v>98</v>
      </c>
      <c r="AR1018" s="5">
        <v>51</v>
      </c>
      <c r="AS1018" s="5">
        <v>81.7</v>
      </c>
      <c r="AT1018" s="5">
        <v>97</v>
      </c>
      <c r="AU1018" s="5">
        <v>62</v>
      </c>
      <c r="AV1018" s="5">
        <v>45.3</v>
      </c>
      <c r="AW1018" s="5">
        <v>9.51</v>
      </c>
      <c r="AX1018" s="5">
        <v>83</v>
      </c>
      <c r="AY1018" s="5" t="s">
        <v>125</v>
      </c>
      <c r="AZ1018" s="5" t="s">
        <v>75</v>
      </c>
      <c r="BA1018" s="5" t="s">
        <v>76</v>
      </c>
      <c r="BB1018" s="12" t="s">
        <v>76</v>
      </c>
      <c r="BC1018" s="5">
        <v>4.86</v>
      </c>
      <c r="BD1018" s="5">
        <v>98</v>
      </c>
      <c r="BE1018" s="5" t="s">
        <v>76</v>
      </c>
      <c r="BF1018" s="5" t="s">
        <v>76</v>
      </c>
      <c r="BG1018" s="15">
        <v>36.5</v>
      </c>
      <c r="BH1018" s="5">
        <v>80</v>
      </c>
      <c r="BI1018" s="5">
        <v>80</v>
      </c>
      <c r="BJ1018" s="5">
        <v>15</v>
      </c>
      <c r="BK1018" s="5">
        <v>120</v>
      </c>
      <c r="BL1018" s="5">
        <v>80</v>
      </c>
      <c r="BM1018" s="5">
        <v>75</v>
      </c>
      <c r="BN1018" s="5">
        <v>177</v>
      </c>
      <c r="BO1018" s="5">
        <f t="shared" si="15"/>
        <v>23.9394809920521</v>
      </c>
      <c r="BP1018" s="5" t="s">
        <v>1450</v>
      </c>
      <c r="BQ1018" s="5">
        <v>5.5</v>
      </c>
      <c r="BR1018" s="5">
        <v>956</v>
      </c>
    </row>
    <row r="1019" s="1" customFormat="1" spans="1:70">
      <c r="A1019" s="1" t="s">
        <v>2394</v>
      </c>
      <c r="B1019" s="1" t="s">
        <v>2395</v>
      </c>
      <c r="D1019" s="4">
        <v>44955</v>
      </c>
      <c r="E1019" s="4">
        <v>44974</v>
      </c>
      <c r="F1019" s="7">
        <v>22679</v>
      </c>
      <c r="G1019" s="1">
        <v>34</v>
      </c>
      <c r="H1019" s="1">
        <v>9</v>
      </c>
      <c r="I1019" s="1">
        <v>46</v>
      </c>
      <c r="J1019" s="1">
        <v>9</v>
      </c>
      <c r="K1019" s="1">
        <v>64</v>
      </c>
      <c r="L1019" s="1">
        <v>35</v>
      </c>
      <c r="M1019" s="1">
        <v>0.79</v>
      </c>
      <c r="N1019" s="1">
        <v>10.7</v>
      </c>
      <c r="O1019" s="7">
        <v>22679</v>
      </c>
      <c r="P1019" s="4">
        <v>44955</v>
      </c>
      <c r="Q1019" s="4">
        <v>44974</v>
      </c>
      <c r="R1019" s="1" t="s">
        <v>73</v>
      </c>
      <c r="AO1019" s="7">
        <v>22679</v>
      </c>
      <c r="AP1019" s="5" t="s">
        <v>941</v>
      </c>
      <c r="AQ1019" s="5" t="s">
        <v>137</v>
      </c>
      <c r="AR1019" s="5" t="s">
        <v>2396</v>
      </c>
      <c r="AS1019" s="5" t="s">
        <v>2397</v>
      </c>
      <c r="AT1019" s="5" t="s">
        <v>93</v>
      </c>
      <c r="AU1019" s="5" t="s">
        <v>1000</v>
      </c>
      <c r="AV1019" s="5" t="s">
        <v>536</v>
      </c>
      <c r="AW1019" s="5" t="s">
        <v>2398</v>
      </c>
      <c r="AX1019" s="5" t="s">
        <v>425</v>
      </c>
      <c r="AY1019" s="5" t="s">
        <v>2399</v>
      </c>
      <c r="AZ1019" s="5" t="s">
        <v>2400</v>
      </c>
      <c r="BA1019" s="5" t="s">
        <v>2401</v>
      </c>
      <c r="BB1019" s="12" t="s">
        <v>76</v>
      </c>
      <c r="BC1019" s="5" t="s">
        <v>2402</v>
      </c>
      <c r="BD1019" s="5" t="s">
        <v>137</v>
      </c>
      <c r="BE1019" s="5" t="s">
        <v>76</v>
      </c>
      <c r="BF1019" s="5" t="s">
        <v>76</v>
      </c>
      <c r="BG1019" s="15">
        <v>38.1</v>
      </c>
      <c r="BH1019" s="5" t="s">
        <v>825</v>
      </c>
      <c r="BI1019" s="5" t="s">
        <v>825</v>
      </c>
      <c r="BJ1019" s="5" t="s">
        <v>240</v>
      </c>
      <c r="BK1019" s="5" t="s">
        <v>429</v>
      </c>
      <c r="BL1019" s="5" t="s">
        <v>228</v>
      </c>
      <c r="BM1019" s="5" t="s">
        <v>352</v>
      </c>
      <c r="BN1019" s="5">
        <v>160</v>
      </c>
      <c r="BO1019" s="5">
        <f t="shared" si="15"/>
        <v>21.484375</v>
      </c>
      <c r="BP1019" s="5" t="s">
        <v>953</v>
      </c>
      <c r="BQ1019" s="5" t="s">
        <v>2403</v>
      </c>
      <c r="BR1019" s="5">
        <v>7457</v>
      </c>
    </row>
    <row r="1020" s="1" customFormat="1" spans="1:70">
      <c r="A1020" s="1">
        <v>3318041</v>
      </c>
      <c r="B1020" s="1" t="s">
        <v>2404</v>
      </c>
      <c r="C1020" s="1">
        <v>1</v>
      </c>
      <c r="D1020" s="4">
        <v>45015</v>
      </c>
      <c r="E1020" s="4">
        <v>45019</v>
      </c>
      <c r="F1020" s="7">
        <v>22682</v>
      </c>
      <c r="G1020" s="1">
        <v>55</v>
      </c>
      <c r="H1020" s="1">
        <v>10</v>
      </c>
      <c r="I1020" s="1">
        <v>68</v>
      </c>
      <c r="J1020" s="1">
        <v>10</v>
      </c>
      <c r="K1020" s="1">
        <v>38</v>
      </c>
      <c r="L1020" s="1">
        <v>19</v>
      </c>
      <c r="M1020" s="1">
        <v>1.46</v>
      </c>
      <c r="N1020" s="1">
        <v>27.3</v>
      </c>
      <c r="O1020" s="7">
        <v>22682</v>
      </c>
      <c r="P1020" s="4">
        <v>45015</v>
      </c>
      <c r="Q1020" s="4">
        <v>45019</v>
      </c>
      <c r="R1020" s="1" t="s">
        <v>80</v>
      </c>
      <c r="AO1020" s="7">
        <v>22682</v>
      </c>
      <c r="AP1020" s="5">
        <v>8.5</v>
      </c>
      <c r="AQ1020" s="5">
        <v>144</v>
      </c>
      <c r="AR1020" s="5">
        <v>45</v>
      </c>
      <c r="AS1020" s="5" t="s">
        <v>76</v>
      </c>
      <c r="AT1020" s="5">
        <v>19</v>
      </c>
      <c r="AU1020" s="5">
        <v>20</v>
      </c>
      <c r="AV1020" s="5">
        <v>38</v>
      </c>
      <c r="AW1020" s="5">
        <v>5.12</v>
      </c>
      <c r="AX1020" s="5">
        <v>62</v>
      </c>
      <c r="AY1020" s="5" t="s">
        <v>125</v>
      </c>
      <c r="AZ1020" s="5" t="s">
        <v>75</v>
      </c>
      <c r="BA1020" s="5">
        <v>4.08</v>
      </c>
      <c r="BB1020" s="12" t="s">
        <v>76</v>
      </c>
      <c r="BC1020" s="5">
        <v>4.37</v>
      </c>
      <c r="BD1020" s="5">
        <v>144</v>
      </c>
      <c r="BE1020" s="5">
        <v>1.14</v>
      </c>
      <c r="BF1020" s="5">
        <v>2.2</v>
      </c>
      <c r="BG1020" s="15">
        <v>36</v>
      </c>
      <c r="BH1020" s="5">
        <v>100</v>
      </c>
      <c r="BI1020" s="5">
        <v>100</v>
      </c>
      <c r="BJ1020" s="5">
        <v>17</v>
      </c>
      <c r="BK1020" s="5">
        <v>125</v>
      </c>
      <c r="BL1020" s="5">
        <v>80</v>
      </c>
      <c r="BM1020" s="5">
        <v>90</v>
      </c>
      <c r="BN1020" s="5">
        <v>165</v>
      </c>
      <c r="BO1020" s="5">
        <f t="shared" si="15"/>
        <v>33.0578512396694</v>
      </c>
      <c r="BP1020" s="5" t="s">
        <v>121</v>
      </c>
      <c r="BQ1020" s="5" t="s">
        <v>76</v>
      </c>
      <c r="BR1020" s="5">
        <v>1554</v>
      </c>
    </row>
    <row r="1021" s="1" customFormat="1" spans="1:70">
      <c r="A1021" s="1">
        <v>3268273</v>
      </c>
      <c r="B1021" s="1" t="s">
        <v>2405</v>
      </c>
      <c r="D1021" s="4">
        <v>44943</v>
      </c>
      <c r="E1021" s="4">
        <v>44946</v>
      </c>
      <c r="F1021" s="7">
        <v>22695</v>
      </c>
      <c r="G1021" s="1">
        <v>39</v>
      </c>
      <c r="H1021" s="1">
        <v>10</v>
      </c>
      <c r="I1021" s="1">
        <v>45</v>
      </c>
      <c r="J1021" s="1">
        <v>10</v>
      </c>
      <c r="K1021" s="1">
        <v>58</v>
      </c>
      <c r="L1021" s="1">
        <v>31</v>
      </c>
      <c r="N1021" s="1">
        <v>9.5</v>
      </c>
      <c r="O1021" s="7">
        <v>22695</v>
      </c>
      <c r="P1021" s="4">
        <v>44943</v>
      </c>
      <c r="Q1021" s="4">
        <v>44946</v>
      </c>
      <c r="R1021" s="1" t="s">
        <v>80</v>
      </c>
      <c r="AO1021" s="7">
        <v>22695</v>
      </c>
      <c r="AP1021" s="5">
        <v>8.2</v>
      </c>
      <c r="AQ1021" s="5">
        <v>158</v>
      </c>
      <c r="AR1021" s="5">
        <v>50.4</v>
      </c>
      <c r="AS1021" s="5">
        <v>1.4</v>
      </c>
      <c r="AT1021" s="5">
        <v>13</v>
      </c>
      <c r="AU1021" s="5" t="s">
        <v>76</v>
      </c>
      <c r="AV1021" s="5" t="s">
        <v>76</v>
      </c>
      <c r="AW1021" s="5" t="s">
        <v>76</v>
      </c>
      <c r="AX1021" s="5" t="s">
        <v>76</v>
      </c>
      <c r="AY1021" s="5" t="s">
        <v>76</v>
      </c>
      <c r="AZ1021" s="5" t="s">
        <v>75</v>
      </c>
      <c r="BA1021" s="5">
        <v>4.76</v>
      </c>
      <c r="BB1021" s="12" t="s">
        <v>76</v>
      </c>
      <c r="BC1021" s="5">
        <v>4.11</v>
      </c>
      <c r="BD1021" s="5">
        <v>158</v>
      </c>
      <c r="BE1021" s="5">
        <v>0.92</v>
      </c>
      <c r="BF1021" s="5">
        <v>3.6</v>
      </c>
      <c r="BG1021" s="15">
        <v>36.5</v>
      </c>
      <c r="BH1021" s="5" t="s">
        <v>76</v>
      </c>
      <c r="BI1021" s="5">
        <v>150</v>
      </c>
      <c r="BJ1021" s="5">
        <v>20</v>
      </c>
      <c r="BK1021" s="5">
        <v>127</v>
      </c>
      <c r="BL1021" s="5">
        <v>92</v>
      </c>
      <c r="BM1021" s="5">
        <v>75</v>
      </c>
      <c r="BN1021" s="5">
        <v>173</v>
      </c>
      <c r="BO1021" s="5">
        <f t="shared" si="15"/>
        <v>25.0593070266297</v>
      </c>
      <c r="BP1021" s="5" t="s">
        <v>78</v>
      </c>
      <c r="BQ1021" s="5">
        <v>5.7</v>
      </c>
      <c r="BR1021" s="5">
        <v>2232</v>
      </c>
    </row>
    <row r="1022" s="1" customFormat="1" spans="1:70">
      <c r="A1022" s="1">
        <v>3291349</v>
      </c>
      <c r="B1022" s="1" t="s">
        <v>2406</v>
      </c>
      <c r="D1022" s="4">
        <v>44979</v>
      </c>
      <c r="E1022" s="4">
        <v>44986</v>
      </c>
      <c r="F1022" s="7">
        <v>22726</v>
      </c>
      <c r="G1022" s="1">
        <v>46</v>
      </c>
      <c r="H1022" s="1">
        <v>8</v>
      </c>
      <c r="I1022" s="1">
        <v>53</v>
      </c>
      <c r="J1022" s="1">
        <v>8</v>
      </c>
      <c r="K1022" s="1">
        <v>37</v>
      </c>
      <c r="L1022" s="1">
        <v>18</v>
      </c>
      <c r="M1022" s="1">
        <v>0.95</v>
      </c>
      <c r="N1022" s="1">
        <v>28</v>
      </c>
      <c r="O1022" s="7">
        <v>22726</v>
      </c>
      <c r="P1022" s="4">
        <v>44979</v>
      </c>
      <c r="Q1022" s="4">
        <v>44986</v>
      </c>
      <c r="R1022" s="1" t="s">
        <v>80</v>
      </c>
      <c r="AO1022" s="7">
        <v>22726</v>
      </c>
      <c r="AP1022" s="5">
        <v>12.7</v>
      </c>
      <c r="AQ1022" s="5">
        <v>125</v>
      </c>
      <c r="AR1022" s="5">
        <v>38.7</v>
      </c>
      <c r="AS1022" s="5">
        <v>6.8</v>
      </c>
      <c r="AT1022" s="5">
        <v>67</v>
      </c>
      <c r="AU1022" s="5">
        <v>71</v>
      </c>
      <c r="AV1022" s="5">
        <v>36.4</v>
      </c>
      <c r="AW1022" s="5">
        <v>9.28</v>
      </c>
      <c r="AX1022" s="5">
        <v>99</v>
      </c>
      <c r="AY1022" s="5">
        <v>71.1</v>
      </c>
      <c r="AZ1022" s="5">
        <v>5.7</v>
      </c>
      <c r="BA1022" s="5">
        <v>5.42</v>
      </c>
      <c r="BB1022" s="12" t="s">
        <v>76</v>
      </c>
      <c r="BC1022" s="5">
        <v>5.07</v>
      </c>
      <c r="BD1022" s="5">
        <v>125</v>
      </c>
      <c r="BE1022" s="5">
        <v>1.2</v>
      </c>
      <c r="BF1022" s="5">
        <v>3.33</v>
      </c>
      <c r="BG1022" s="15">
        <v>36.5</v>
      </c>
      <c r="BH1022" s="5">
        <v>53</v>
      </c>
      <c r="BI1022" s="5" t="s">
        <v>76</v>
      </c>
      <c r="BJ1022" s="5">
        <v>17</v>
      </c>
      <c r="BK1022" s="5">
        <v>71</v>
      </c>
      <c r="BL1022" s="5">
        <v>51</v>
      </c>
      <c r="BM1022" s="5">
        <v>60</v>
      </c>
      <c r="BN1022" s="5">
        <v>165</v>
      </c>
      <c r="BO1022" s="5">
        <f t="shared" si="15"/>
        <v>22.038567493113</v>
      </c>
      <c r="BP1022" s="5" t="s">
        <v>107</v>
      </c>
      <c r="BQ1022" s="5">
        <v>5.7</v>
      </c>
      <c r="BR1022" s="5">
        <v>9682</v>
      </c>
    </row>
    <row r="1023" s="1" customFormat="1" spans="1:70">
      <c r="A1023" s="1">
        <v>3515408</v>
      </c>
      <c r="B1023" s="1" t="s">
        <v>2407</v>
      </c>
      <c r="C1023" s="1">
        <v>1</v>
      </c>
      <c r="D1023" s="4">
        <v>45287</v>
      </c>
      <c r="E1023" s="4">
        <v>45290</v>
      </c>
      <c r="F1023" s="7">
        <v>22779</v>
      </c>
      <c r="G1023" s="1">
        <v>48</v>
      </c>
      <c r="H1023" s="1">
        <v>15</v>
      </c>
      <c r="I1023" s="1">
        <v>52</v>
      </c>
      <c r="J1023" s="1">
        <v>15</v>
      </c>
      <c r="K1023" s="1">
        <v>60</v>
      </c>
      <c r="L1023" s="1">
        <v>32</v>
      </c>
      <c r="M1023" s="1">
        <v>0.76</v>
      </c>
      <c r="O1023" s="7">
        <v>22779</v>
      </c>
      <c r="P1023" s="4">
        <v>45287</v>
      </c>
      <c r="Q1023" s="4">
        <v>45290</v>
      </c>
      <c r="R1023" s="1" t="s">
        <v>80</v>
      </c>
      <c r="AO1023" s="7">
        <v>22779</v>
      </c>
      <c r="AP1023" s="5">
        <v>19</v>
      </c>
      <c r="AQ1023" s="5">
        <v>160</v>
      </c>
      <c r="AR1023" s="5">
        <v>55.8</v>
      </c>
      <c r="AS1023" s="5" t="s">
        <v>76</v>
      </c>
      <c r="AT1023" s="5">
        <v>80</v>
      </c>
      <c r="AU1023" s="5">
        <v>49</v>
      </c>
      <c r="AV1023" s="5">
        <v>36.2</v>
      </c>
      <c r="AW1023" s="5">
        <v>41.83</v>
      </c>
      <c r="AX1023" s="5">
        <v>293</v>
      </c>
      <c r="AY1023" s="5">
        <v>32.03</v>
      </c>
      <c r="AZ1023" s="5">
        <v>8.8</v>
      </c>
      <c r="BA1023" s="5" t="s">
        <v>76</v>
      </c>
      <c r="BB1023" s="12" t="s">
        <v>76</v>
      </c>
      <c r="BC1023" s="5">
        <v>4.7</v>
      </c>
      <c r="BD1023" s="5">
        <v>160</v>
      </c>
      <c r="BE1023" s="5" t="s">
        <v>76</v>
      </c>
      <c r="BF1023" s="5" t="s">
        <v>76</v>
      </c>
      <c r="BG1023" s="5" t="s">
        <v>76</v>
      </c>
      <c r="BH1023" s="5" t="s">
        <v>76</v>
      </c>
      <c r="BI1023" s="5" t="s">
        <v>76</v>
      </c>
      <c r="BJ1023" s="5" t="s">
        <v>76</v>
      </c>
      <c r="BK1023" s="5" t="s">
        <v>76</v>
      </c>
      <c r="BL1023" s="5" t="s">
        <v>76</v>
      </c>
      <c r="BM1023" s="5" t="s">
        <v>76</v>
      </c>
      <c r="BN1023" s="5" t="s">
        <v>76</v>
      </c>
      <c r="BO1023" s="5" t="e">
        <f t="shared" si="15"/>
        <v>#VALUE!</v>
      </c>
      <c r="BP1023" s="5" t="s">
        <v>85</v>
      </c>
      <c r="BQ1023" s="5" t="s">
        <v>76</v>
      </c>
      <c r="BR1023" s="5">
        <v>6798</v>
      </c>
    </row>
    <row r="1024" s="1" customFormat="1" spans="1:70">
      <c r="A1024" s="1">
        <v>3300187</v>
      </c>
      <c r="B1024" s="1" t="s">
        <v>2408</v>
      </c>
      <c r="D1024" s="4">
        <v>44991</v>
      </c>
      <c r="E1024" s="4">
        <v>45012</v>
      </c>
      <c r="F1024" s="7">
        <v>22809</v>
      </c>
      <c r="G1024" s="1">
        <v>33</v>
      </c>
      <c r="H1024" s="1">
        <v>10</v>
      </c>
      <c r="I1024" s="1">
        <v>47</v>
      </c>
      <c r="J1024" s="1">
        <v>10</v>
      </c>
      <c r="K1024" s="1">
        <v>60</v>
      </c>
      <c r="L1024" s="1">
        <v>32</v>
      </c>
      <c r="M1024" s="1">
        <v>0.69</v>
      </c>
      <c r="N1024" s="1">
        <v>14.7</v>
      </c>
      <c r="O1024" s="7">
        <v>22809</v>
      </c>
      <c r="P1024" s="4">
        <v>44991</v>
      </c>
      <c r="Q1024" s="4">
        <v>45012</v>
      </c>
      <c r="R1024" s="1" t="s">
        <v>73</v>
      </c>
      <c r="AO1024" s="7">
        <v>22809</v>
      </c>
      <c r="AP1024" s="5">
        <v>9.8</v>
      </c>
      <c r="AQ1024" s="5">
        <v>97</v>
      </c>
      <c r="AR1024" s="5">
        <v>33</v>
      </c>
      <c r="AS1024" s="5" t="s">
        <v>81</v>
      </c>
      <c r="AT1024" s="5">
        <v>65</v>
      </c>
      <c r="AU1024" s="5">
        <v>57</v>
      </c>
      <c r="AV1024" s="5">
        <v>35.1</v>
      </c>
      <c r="AW1024" s="5">
        <v>28.51</v>
      </c>
      <c r="AX1024" s="5">
        <v>253</v>
      </c>
      <c r="AY1024" s="5">
        <v>21.91</v>
      </c>
      <c r="AZ1024" s="5" t="s">
        <v>75</v>
      </c>
      <c r="BA1024" s="5">
        <v>8.05</v>
      </c>
      <c r="BB1024" s="12" t="s">
        <v>76</v>
      </c>
      <c r="BC1024" s="5" t="s">
        <v>4</v>
      </c>
      <c r="BD1024" s="5">
        <v>97</v>
      </c>
      <c r="BE1024" s="5">
        <v>2.14</v>
      </c>
      <c r="BF1024" s="5">
        <v>4.94</v>
      </c>
      <c r="BG1024" s="15">
        <v>36.7</v>
      </c>
      <c r="BH1024" s="5">
        <v>72</v>
      </c>
      <c r="BI1024" s="5">
        <v>72</v>
      </c>
      <c r="BJ1024" s="5">
        <v>16</v>
      </c>
      <c r="BK1024" s="5">
        <v>150</v>
      </c>
      <c r="BL1024" s="5">
        <v>74</v>
      </c>
      <c r="BM1024" s="5">
        <v>54</v>
      </c>
      <c r="BN1024" s="5">
        <v>159</v>
      </c>
      <c r="BO1024" s="5">
        <f t="shared" si="15"/>
        <v>21.3599145603418</v>
      </c>
      <c r="BP1024" s="5" t="s">
        <v>300</v>
      </c>
      <c r="BQ1024" s="5">
        <v>5.2</v>
      </c>
      <c r="BR1024" s="5">
        <v>1412</v>
      </c>
    </row>
    <row r="1025" s="1" customFormat="1" spans="1:70">
      <c r="A1025" s="1">
        <v>3495774</v>
      </c>
      <c r="B1025" s="1" t="s">
        <v>2409</v>
      </c>
      <c r="C1025" s="1">
        <v>1</v>
      </c>
      <c r="D1025" s="4">
        <v>45261</v>
      </c>
      <c r="E1025" s="4">
        <v>45285</v>
      </c>
      <c r="F1025" s="7">
        <v>22817</v>
      </c>
      <c r="G1025" s="1">
        <v>33</v>
      </c>
      <c r="H1025" s="1">
        <v>9</v>
      </c>
      <c r="I1025" s="1">
        <v>47</v>
      </c>
      <c r="J1025" s="1">
        <v>9</v>
      </c>
      <c r="K1025" s="1">
        <v>56</v>
      </c>
      <c r="L1025" s="1">
        <v>29</v>
      </c>
      <c r="M1025" s="9">
        <v>1.2</v>
      </c>
      <c r="N1025" s="1">
        <v>11.8</v>
      </c>
      <c r="O1025" s="7">
        <v>22817</v>
      </c>
      <c r="P1025" s="4">
        <v>45261</v>
      </c>
      <c r="Q1025" s="4">
        <v>45285</v>
      </c>
      <c r="R1025" s="1" t="s">
        <v>80</v>
      </c>
      <c r="AO1025" s="7">
        <v>22817</v>
      </c>
      <c r="AP1025" s="5">
        <v>7.4</v>
      </c>
      <c r="AQ1025" s="5">
        <v>94</v>
      </c>
      <c r="AR1025" s="5">
        <v>44.6</v>
      </c>
      <c r="AS1025" s="5">
        <v>92.8</v>
      </c>
      <c r="AT1025" s="5">
        <v>46</v>
      </c>
      <c r="AU1025" s="5">
        <v>9</v>
      </c>
      <c r="AV1025" s="5">
        <v>40.5</v>
      </c>
      <c r="AW1025" s="5">
        <v>7.72</v>
      </c>
      <c r="AX1025" s="5">
        <v>98</v>
      </c>
      <c r="AY1025" s="5">
        <v>83.36</v>
      </c>
      <c r="AZ1025" s="5">
        <v>9.7</v>
      </c>
      <c r="BA1025" s="5">
        <v>6.33</v>
      </c>
      <c r="BB1025" s="12" t="s">
        <v>76</v>
      </c>
      <c r="BC1025" s="5">
        <v>5.16</v>
      </c>
      <c r="BD1025" s="5">
        <v>94</v>
      </c>
      <c r="BE1025" s="5">
        <v>0.93</v>
      </c>
      <c r="BF1025" s="5">
        <v>4.43</v>
      </c>
      <c r="BG1025" s="15">
        <v>36.5</v>
      </c>
      <c r="BH1025" s="5">
        <v>80</v>
      </c>
      <c r="BI1025" s="5">
        <v>80</v>
      </c>
      <c r="BJ1025" s="5">
        <v>17</v>
      </c>
      <c r="BK1025" s="5">
        <v>162</v>
      </c>
      <c r="BL1025" s="5">
        <v>97</v>
      </c>
      <c r="BM1025" s="5">
        <v>73</v>
      </c>
      <c r="BN1025" s="5">
        <v>175</v>
      </c>
      <c r="BO1025" s="5">
        <f t="shared" si="15"/>
        <v>23.8367346938776</v>
      </c>
      <c r="BP1025" s="5" t="s">
        <v>1450</v>
      </c>
      <c r="BQ1025" s="5">
        <v>9.9</v>
      </c>
      <c r="BR1025" s="5">
        <v>950.62</v>
      </c>
    </row>
    <row r="1026" s="1" customFormat="1" spans="1:70">
      <c r="A1026" s="1">
        <v>3248321</v>
      </c>
      <c r="B1026" s="1" t="s">
        <v>2410</v>
      </c>
      <c r="D1026" s="4">
        <v>44897</v>
      </c>
      <c r="E1026" s="4">
        <v>44907</v>
      </c>
      <c r="F1026" s="7">
        <v>22826</v>
      </c>
      <c r="G1026" s="1">
        <v>51</v>
      </c>
      <c r="H1026" s="1">
        <v>10</v>
      </c>
      <c r="I1026" s="1">
        <v>65</v>
      </c>
      <c r="J1026" s="1">
        <v>10</v>
      </c>
      <c r="K1026" s="1">
        <v>28</v>
      </c>
      <c r="L1026" s="1">
        <v>13</v>
      </c>
      <c r="N1026" s="1">
        <v>14</v>
      </c>
      <c r="O1026" s="7">
        <v>22826</v>
      </c>
      <c r="P1026" s="4">
        <v>44897</v>
      </c>
      <c r="Q1026" s="4">
        <v>44907</v>
      </c>
      <c r="R1026" s="1" t="s">
        <v>80</v>
      </c>
      <c r="AO1026" s="7">
        <v>22826</v>
      </c>
      <c r="AP1026" s="5">
        <v>7</v>
      </c>
      <c r="AQ1026" s="5">
        <v>155</v>
      </c>
      <c r="AR1026" s="5">
        <v>49.7</v>
      </c>
      <c r="AS1026" s="5">
        <v>1.6</v>
      </c>
      <c r="AT1026" s="5">
        <v>48</v>
      </c>
      <c r="AU1026" s="5">
        <v>69</v>
      </c>
      <c r="AV1026" s="5">
        <v>32</v>
      </c>
      <c r="AW1026" s="5">
        <v>8.75</v>
      </c>
      <c r="AX1026" s="5">
        <v>103</v>
      </c>
      <c r="AY1026" s="5">
        <v>69.47</v>
      </c>
      <c r="AZ1026" s="5" t="s">
        <v>375</v>
      </c>
      <c r="BA1026" s="5">
        <v>3.47</v>
      </c>
      <c r="BB1026" s="12" t="s">
        <v>76</v>
      </c>
      <c r="BC1026" s="5">
        <v>4.62</v>
      </c>
      <c r="BD1026" s="5">
        <v>155</v>
      </c>
      <c r="BE1026" s="5">
        <v>0.87</v>
      </c>
      <c r="BF1026" s="5">
        <v>2.38</v>
      </c>
      <c r="BG1026" s="15">
        <v>36.8</v>
      </c>
      <c r="BH1026" s="5">
        <v>76</v>
      </c>
      <c r="BI1026" s="5">
        <v>76</v>
      </c>
      <c r="BJ1026" s="5">
        <v>18</v>
      </c>
      <c r="BK1026" s="5">
        <v>141</v>
      </c>
      <c r="BL1026" s="5">
        <v>94</v>
      </c>
      <c r="BM1026" s="5">
        <v>93</v>
      </c>
      <c r="BN1026" s="5">
        <v>178</v>
      </c>
      <c r="BO1026" s="5">
        <f t="shared" si="15"/>
        <v>29.3523545006944</v>
      </c>
      <c r="BP1026" s="5" t="s">
        <v>107</v>
      </c>
      <c r="BQ1026" s="5">
        <v>7.1</v>
      </c>
      <c r="BR1026" s="5">
        <v>905.36</v>
      </c>
    </row>
    <row r="1027" s="1" customFormat="1" spans="1:70">
      <c r="A1027" s="16">
        <v>3507000</v>
      </c>
      <c r="B1027" s="1" t="s">
        <v>2411</v>
      </c>
      <c r="C1027" s="1">
        <v>1</v>
      </c>
      <c r="D1027" s="4">
        <v>45276</v>
      </c>
      <c r="E1027" s="4">
        <v>45296</v>
      </c>
      <c r="F1027" s="7">
        <v>22840</v>
      </c>
      <c r="G1027" s="1">
        <v>48</v>
      </c>
      <c r="H1027" s="1">
        <v>9</v>
      </c>
      <c r="I1027" s="1">
        <v>49</v>
      </c>
      <c r="J1027" s="1">
        <v>9</v>
      </c>
      <c r="K1027" s="1">
        <v>57</v>
      </c>
      <c r="L1027" s="1">
        <v>30</v>
      </c>
      <c r="O1027" s="7">
        <v>22840</v>
      </c>
      <c r="P1027" s="4">
        <v>45276</v>
      </c>
      <c r="Q1027" s="4">
        <v>45296</v>
      </c>
      <c r="R1027" s="1" t="s">
        <v>73</v>
      </c>
      <c r="AO1027" s="7">
        <v>22840</v>
      </c>
      <c r="AP1027" s="5">
        <v>9.9</v>
      </c>
      <c r="AQ1027" s="5">
        <v>99</v>
      </c>
      <c r="AR1027" s="5">
        <v>41</v>
      </c>
      <c r="AS1027" s="5" t="s">
        <v>374</v>
      </c>
      <c r="AT1027" s="5">
        <v>80</v>
      </c>
      <c r="AU1027" s="5">
        <v>79</v>
      </c>
      <c r="AV1027" s="5">
        <v>44.7</v>
      </c>
      <c r="AW1027" s="5">
        <v>6.77</v>
      </c>
      <c r="AX1027" s="5">
        <v>55</v>
      </c>
      <c r="AY1027" s="5" t="s">
        <v>125</v>
      </c>
      <c r="AZ1027" s="5" t="s">
        <v>75</v>
      </c>
      <c r="BA1027" s="5" t="s">
        <v>76</v>
      </c>
      <c r="BB1027" s="12" t="s">
        <v>76</v>
      </c>
      <c r="BC1027" s="5">
        <v>4.29</v>
      </c>
      <c r="BD1027" s="5">
        <v>99</v>
      </c>
      <c r="BE1027" s="5" t="s">
        <v>76</v>
      </c>
      <c r="BF1027" s="5" t="s">
        <v>76</v>
      </c>
      <c r="BG1027" s="15">
        <v>36.6</v>
      </c>
      <c r="BH1027" s="5">
        <v>70</v>
      </c>
      <c r="BI1027" s="5">
        <v>75</v>
      </c>
      <c r="BJ1027" s="5">
        <v>20</v>
      </c>
      <c r="BK1027" s="5">
        <v>110</v>
      </c>
      <c r="BL1027" s="5">
        <v>68</v>
      </c>
      <c r="BM1027" s="5">
        <v>65</v>
      </c>
      <c r="BN1027" s="5">
        <v>167</v>
      </c>
      <c r="BO1027" s="5">
        <f t="shared" ref="BO1027:BO1090" si="16">BM1027/(BN1027/100)^2</f>
        <v>23.3066800530675</v>
      </c>
      <c r="BP1027" s="5" t="s">
        <v>1450</v>
      </c>
      <c r="BQ1027" s="5">
        <v>5.9</v>
      </c>
      <c r="BR1027" s="5">
        <v>8528</v>
      </c>
    </row>
    <row r="1028" s="1" customFormat="1" spans="1:70">
      <c r="A1028" s="1">
        <v>3279723</v>
      </c>
      <c r="B1028" s="1" t="s">
        <v>2412</v>
      </c>
      <c r="D1028" s="4">
        <v>44963</v>
      </c>
      <c r="E1028" s="4">
        <v>44970</v>
      </c>
      <c r="F1028" s="7">
        <v>22841</v>
      </c>
      <c r="G1028" s="1">
        <v>51</v>
      </c>
      <c r="H1028" s="1">
        <v>10</v>
      </c>
      <c r="I1028" s="1">
        <v>63</v>
      </c>
      <c r="J1028" s="1">
        <v>10</v>
      </c>
      <c r="K1028" s="1">
        <v>40</v>
      </c>
      <c r="L1028" s="1">
        <v>20</v>
      </c>
      <c r="N1028" s="1">
        <v>10</v>
      </c>
      <c r="O1028" s="7">
        <v>22841</v>
      </c>
      <c r="P1028" s="4">
        <v>44963</v>
      </c>
      <c r="Q1028" s="4">
        <v>44970</v>
      </c>
      <c r="R1028" s="1" t="s">
        <v>80</v>
      </c>
      <c r="AO1028" s="7">
        <v>22841</v>
      </c>
      <c r="AP1028" s="5">
        <v>6.3</v>
      </c>
      <c r="AQ1028" s="5">
        <v>143</v>
      </c>
      <c r="AR1028" s="5">
        <v>43.1</v>
      </c>
      <c r="AS1028" s="5" t="s">
        <v>81</v>
      </c>
      <c r="AT1028" s="5">
        <v>16</v>
      </c>
      <c r="AU1028" s="5">
        <v>14</v>
      </c>
      <c r="AV1028" s="5">
        <v>38.2</v>
      </c>
      <c r="AW1028" s="5">
        <v>5.49</v>
      </c>
      <c r="AX1028" s="5">
        <v>48</v>
      </c>
      <c r="AY1028" s="5" t="s">
        <v>125</v>
      </c>
      <c r="AZ1028" s="5" t="s">
        <v>75</v>
      </c>
      <c r="BA1028" s="5">
        <v>2.87</v>
      </c>
      <c r="BB1028" s="12" t="s">
        <v>76</v>
      </c>
      <c r="BC1028" s="5">
        <v>4.03</v>
      </c>
      <c r="BD1028" s="5">
        <v>143</v>
      </c>
      <c r="BE1028" s="5">
        <v>1.1</v>
      </c>
      <c r="BF1028" s="5">
        <v>1.48</v>
      </c>
      <c r="BG1028" s="15">
        <v>36.6</v>
      </c>
      <c r="BH1028" s="5">
        <v>70</v>
      </c>
      <c r="BI1028" s="5">
        <v>75</v>
      </c>
      <c r="BJ1028" s="5">
        <v>17</v>
      </c>
      <c r="BK1028" s="5">
        <v>149</v>
      </c>
      <c r="BL1028" s="5">
        <v>100</v>
      </c>
      <c r="BM1028" s="5">
        <v>90</v>
      </c>
      <c r="BN1028" s="5">
        <v>173</v>
      </c>
      <c r="BO1028" s="5">
        <f t="shared" si="16"/>
        <v>30.0711684319556</v>
      </c>
      <c r="BP1028" s="5" t="s">
        <v>78</v>
      </c>
      <c r="BQ1028" s="5">
        <v>5.1</v>
      </c>
      <c r="BR1028" s="5">
        <v>1341</v>
      </c>
    </row>
    <row r="1029" s="1" customFormat="1" spans="1:70">
      <c r="A1029" s="1">
        <v>3245057</v>
      </c>
      <c r="B1029" s="1" t="s">
        <v>2413</v>
      </c>
      <c r="C1029" s="1">
        <v>1</v>
      </c>
      <c r="D1029" s="4">
        <v>44891</v>
      </c>
      <c r="E1029" s="4">
        <v>44900</v>
      </c>
      <c r="F1029" s="7">
        <v>22866</v>
      </c>
      <c r="G1029" s="1">
        <v>50</v>
      </c>
      <c r="H1029" s="1">
        <v>12</v>
      </c>
      <c r="I1029" s="1">
        <v>53</v>
      </c>
      <c r="J1029" s="1">
        <v>11</v>
      </c>
      <c r="K1029" s="1">
        <v>51</v>
      </c>
      <c r="L1029" s="1">
        <v>26</v>
      </c>
      <c r="M1029" s="1">
        <v>1.07</v>
      </c>
      <c r="N1029" s="1">
        <v>16.7</v>
      </c>
      <c r="O1029" s="7">
        <v>22866</v>
      </c>
      <c r="P1029" s="4">
        <v>44891</v>
      </c>
      <c r="Q1029" s="4">
        <v>44900</v>
      </c>
      <c r="R1029" s="1" t="s">
        <v>80</v>
      </c>
      <c r="AO1029" s="7">
        <v>22866</v>
      </c>
      <c r="AP1029" s="5">
        <v>7.2</v>
      </c>
      <c r="AQ1029" s="5">
        <v>110</v>
      </c>
      <c r="AR1029" s="5">
        <v>35.6</v>
      </c>
      <c r="AS1029" s="5">
        <v>7.4</v>
      </c>
      <c r="AT1029" s="5">
        <v>15</v>
      </c>
      <c r="AU1029" s="5">
        <v>8</v>
      </c>
      <c r="AV1029" s="5">
        <v>7</v>
      </c>
      <c r="AW1029" s="5">
        <v>9.92</v>
      </c>
      <c r="AX1029" s="5">
        <v>200</v>
      </c>
      <c r="AY1029" s="5">
        <v>55.34</v>
      </c>
      <c r="AZ1029" s="5">
        <v>6.21</v>
      </c>
      <c r="BA1029" s="5" t="s">
        <v>76</v>
      </c>
      <c r="BB1029" s="12" t="s">
        <v>76</v>
      </c>
      <c r="BC1029" s="5">
        <v>4.05</v>
      </c>
      <c r="BD1029" s="5">
        <v>110</v>
      </c>
      <c r="BE1029" s="5" t="s">
        <v>76</v>
      </c>
      <c r="BF1029" s="5" t="s">
        <v>76</v>
      </c>
      <c r="BG1029" s="15">
        <v>36.2</v>
      </c>
      <c r="BH1029" s="5">
        <v>80</v>
      </c>
      <c r="BI1029" s="5" t="s">
        <v>76</v>
      </c>
      <c r="BJ1029" s="5">
        <v>20</v>
      </c>
      <c r="BK1029" s="5">
        <v>152</v>
      </c>
      <c r="BL1029" s="5">
        <v>93</v>
      </c>
      <c r="BM1029" s="5">
        <v>70</v>
      </c>
      <c r="BN1029" s="5">
        <v>172</v>
      </c>
      <c r="BO1029" s="5">
        <f t="shared" si="16"/>
        <v>23.6614386154678</v>
      </c>
      <c r="BP1029" s="5" t="s">
        <v>109</v>
      </c>
      <c r="BQ1029" s="5">
        <v>6.5</v>
      </c>
      <c r="BR1029" s="5" t="s">
        <v>118</v>
      </c>
    </row>
    <row r="1030" s="1" customFormat="1" spans="1:70">
      <c r="A1030" s="1">
        <v>3292603</v>
      </c>
      <c r="B1030" s="1" t="s">
        <v>2414</v>
      </c>
      <c r="D1030" s="4">
        <v>44980</v>
      </c>
      <c r="E1030" s="4">
        <v>45001</v>
      </c>
      <c r="F1030" s="7">
        <v>22873</v>
      </c>
      <c r="G1030" s="1">
        <v>30</v>
      </c>
      <c r="H1030" s="1">
        <v>10</v>
      </c>
      <c r="I1030" s="1">
        <v>47</v>
      </c>
      <c r="J1030" s="1">
        <v>10</v>
      </c>
      <c r="K1030" s="1">
        <v>61</v>
      </c>
      <c r="L1030" s="1">
        <v>32</v>
      </c>
      <c r="M1030" s="1">
        <v>0.86</v>
      </c>
      <c r="N1030" s="1">
        <v>12.7</v>
      </c>
      <c r="O1030" s="7">
        <v>22873</v>
      </c>
      <c r="P1030" s="4">
        <v>44980</v>
      </c>
      <c r="Q1030" s="4">
        <v>45001</v>
      </c>
      <c r="R1030" s="1" t="s">
        <v>73</v>
      </c>
      <c r="AO1030" s="7">
        <v>22873</v>
      </c>
      <c r="AP1030" s="5">
        <v>9.3</v>
      </c>
      <c r="AQ1030" s="5">
        <v>149</v>
      </c>
      <c r="AR1030" s="5">
        <v>47.1</v>
      </c>
      <c r="AS1030" s="5">
        <v>9.7</v>
      </c>
      <c r="AT1030" s="5">
        <v>65</v>
      </c>
      <c r="AU1030" s="5">
        <v>94</v>
      </c>
      <c r="AV1030" s="5">
        <v>39.9</v>
      </c>
      <c r="AW1030" s="5">
        <v>9.05</v>
      </c>
      <c r="AX1030" s="5">
        <v>59</v>
      </c>
      <c r="AY1030" s="5" t="s">
        <v>125</v>
      </c>
      <c r="AZ1030" s="5">
        <v>9.8</v>
      </c>
      <c r="BA1030" s="5" t="s">
        <v>76</v>
      </c>
      <c r="BB1030" s="12" t="s">
        <v>76</v>
      </c>
      <c r="BC1030" s="5">
        <v>4.7</v>
      </c>
      <c r="BD1030" s="5">
        <v>149</v>
      </c>
      <c r="BE1030" s="5" t="s">
        <v>76</v>
      </c>
      <c r="BF1030" s="5" t="s">
        <v>76</v>
      </c>
      <c r="BG1030" s="15">
        <v>36.5</v>
      </c>
      <c r="BH1030" s="5">
        <v>107</v>
      </c>
      <c r="BI1030" s="5">
        <v>107</v>
      </c>
      <c r="BJ1030" s="5">
        <v>26</v>
      </c>
      <c r="BK1030" s="5">
        <v>131</v>
      </c>
      <c r="BL1030" s="5">
        <v>88</v>
      </c>
      <c r="BM1030" s="5">
        <v>53</v>
      </c>
      <c r="BN1030" s="5">
        <v>160</v>
      </c>
      <c r="BO1030" s="5">
        <f t="shared" si="16"/>
        <v>20.703125</v>
      </c>
      <c r="BP1030" s="5" t="s">
        <v>168</v>
      </c>
      <c r="BQ1030" s="5">
        <v>5.1</v>
      </c>
      <c r="BR1030" s="5">
        <v>965</v>
      </c>
    </row>
    <row r="1031" s="1" customFormat="1" spans="1:70">
      <c r="A1031" s="1" t="s">
        <v>2415</v>
      </c>
      <c r="B1031" s="1" t="s">
        <v>1226</v>
      </c>
      <c r="D1031" s="4">
        <v>44985</v>
      </c>
      <c r="E1031" s="4">
        <v>45000</v>
      </c>
      <c r="F1031" s="7">
        <v>22876</v>
      </c>
      <c r="G1031" s="1">
        <v>46</v>
      </c>
      <c r="H1031" s="1">
        <v>9</v>
      </c>
      <c r="I1031" s="1">
        <v>54</v>
      </c>
      <c r="J1031" s="1">
        <v>9</v>
      </c>
      <c r="K1031" s="1">
        <v>68</v>
      </c>
      <c r="L1031" s="1">
        <v>38</v>
      </c>
      <c r="M1031" s="1">
        <v>1.1</v>
      </c>
      <c r="N1031" s="1">
        <v>22.2</v>
      </c>
      <c r="O1031" s="7">
        <v>22876</v>
      </c>
      <c r="P1031" s="4">
        <v>44985</v>
      </c>
      <c r="Q1031" s="4">
        <v>45000</v>
      </c>
      <c r="R1031" s="1" t="s">
        <v>80</v>
      </c>
      <c r="AO1031" s="7">
        <v>22876</v>
      </c>
      <c r="AP1031" s="5" t="s">
        <v>2416</v>
      </c>
      <c r="AQ1031" s="5" t="s">
        <v>290</v>
      </c>
      <c r="AR1031" s="5" t="s">
        <v>2417</v>
      </c>
      <c r="AS1031" s="5" t="s">
        <v>81</v>
      </c>
      <c r="AT1031" s="5" t="s">
        <v>101</v>
      </c>
      <c r="AU1031" s="5" t="s">
        <v>246</v>
      </c>
      <c r="AV1031" s="5" t="s">
        <v>2418</v>
      </c>
      <c r="AW1031" s="5" t="s">
        <v>1117</v>
      </c>
      <c r="AX1031" s="5" t="s">
        <v>548</v>
      </c>
      <c r="AY1031" s="5" t="s">
        <v>2419</v>
      </c>
      <c r="AZ1031" s="5" t="s">
        <v>75</v>
      </c>
      <c r="BA1031" s="5" t="s">
        <v>76</v>
      </c>
      <c r="BB1031" s="12" t="s">
        <v>76</v>
      </c>
      <c r="BC1031" s="5" t="s">
        <v>4</v>
      </c>
      <c r="BD1031" s="5" t="s">
        <v>290</v>
      </c>
      <c r="BE1031" s="5" t="s">
        <v>76</v>
      </c>
      <c r="BF1031" s="5" t="s">
        <v>76</v>
      </c>
      <c r="BG1031" s="15">
        <v>36.5</v>
      </c>
      <c r="BH1031" s="5" t="s">
        <v>192</v>
      </c>
      <c r="BI1031" s="5" t="s">
        <v>192</v>
      </c>
      <c r="BJ1031" s="5" t="s">
        <v>246</v>
      </c>
      <c r="BK1031" s="5" t="s">
        <v>1043</v>
      </c>
      <c r="BL1031" s="5" t="s">
        <v>212</v>
      </c>
      <c r="BM1031" s="5" t="s">
        <v>482</v>
      </c>
      <c r="BN1031" s="5">
        <v>179</v>
      </c>
      <c r="BO1031" s="5">
        <f t="shared" si="16"/>
        <v>22.4712087637714</v>
      </c>
      <c r="BP1031" s="5" t="s">
        <v>542</v>
      </c>
      <c r="BQ1031" s="5" t="s">
        <v>1343</v>
      </c>
      <c r="BR1031" s="5">
        <v>2233</v>
      </c>
    </row>
    <row r="1032" s="1" customFormat="1" spans="1:70">
      <c r="A1032" s="1">
        <v>3494736</v>
      </c>
      <c r="B1032" s="1" t="s">
        <v>2420</v>
      </c>
      <c r="C1032" s="1">
        <v>1</v>
      </c>
      <c r="D1032" s="4">
        <v>45259</v>
      </c>
      <c r="E1032" s="4">
        <v>45267</v>
      </c>
      <c r="F1032" s="7">
        <v>22886</v>
      </c>
      <c r="G1032" s="1">
        <v>42</v>
      </c>
      <c r="H1032" s="1">
        <v>8</v>
      </c>
      <c r="I1032" s="1">
        <v>49</v>
      </c>
      <c r="J1032" s="1">
        <v>8</v>
      </c>
      <c r="K1032" s="1">
        <v>63</v>
      </c>
      <c r="L1032" s="1">
        <v>34</v>
      </c>
      <c r="M1032" s="1">
        <v>0.65</v>
      </c>
      <c r="N1032" s="10">
        <v>18</v>
      </c>
      <c r="O1032" s="7">
        <v>22886</v>
      </c>
      <c r="P1032" s="4">
        <v>45259</v>
      </c>
      <c r="Q1032" s="4">
        <v>45267</v>
      </c>
      <c r="R1032" s="1" t="s">
        <v>80</v>
      </c>
      <c r="AO1032" s="7">
        <v>22886</v>
      </c>
      <c r="AP1032" s="5">
        <v>9.5</v>
      </c>
      <c r="AQ1032" s="5">
        <v>145</v>
      </c>
      <c r="AR1032" s="5">
        <v>50.1</v>
      </c>
      <c r="AS1032" s="5" t="s">
        <v>881</v>
      </c>
      <c r="AT1032" s="5">
        <v>29</v>
      </c>
      <c r="AU1032" s="5">
        <v>31</v>
      </c>
      <c r="AV1032" s="5">
        <v>37.1</v>
      </c>
      <c r="AW1032" s="5">
        <v>8</v>
      </c>
      <c r="AX1032" s="5">
        <v>72</v>
      </c>
      <c r="AY1032" s="5" t="s">
        <v>76</v>
      </c>
      <c r="AZ1032" s="5">
        <v>8.9</v>
      </c>
      <c r="BA1032" s="5">
        <v>3.41</v>
      </c>
      <c r="BB1032" s="12" t="s">
        <v>76</v>
      </c>
      <c r="BC1032" s="5">
        <v>4.45</v>
      </c>
      <c r="BD1032" s="5">
        <v>145</v>
      </c>
      <c r="BE1032" s="5" t="s">
        <v>76</v>
      </c>
      <c r="BF1032" s="5" t="s">
        <v>76</v>
      </c>
      <c r="BG1032" s="15">
        <v>36.6</v>
      </c>
      <c r="BH1032" s="5">
        <v>75</v>
      </c>
      <c r="BI1032" s="5">
        <v>75</v>
      </c>
      <c r="BJ1032" s="5">
        <v>20</v>
      </c>
      <c r="BK1032" s="5">
        <v>121</v>
      </c>
      <c r="BL1032" s="5">
        <v>84</v>
      </c>
      <c r="BM1032" s="5">
        <v>69</v>
      </c>
      <c r="BN1032" s="5">
        <v>160</v>
      </c>
      <c r="BO1032" s="5">
        <f t="shared" si="16"/>
        <v>26.953125</v>
      </c>
      <c r="BP1032" s="5" t="s">
        <v>149</v>
      </c>
      <c r="BQ1032" s="5" t="s">
        <v>76</v>
      </c>
      <c r="BR1032" s="5">
        <v>3081</v>
      </c>
    </row>
    <row r="1033" s="1" customFormat="1" spans="1:70">
      <c r="A1033" s="1">
        <v>3322650</v>
      </c>
      <c r="B1033" s="1" t="s">
        <v>2421</v>
      </c>
      <c r="C1033" s="1">
        <v>1</v>
      </c>
      <c r="D1033" s="4">
        <v>45023</v>
      </c>
      <c r="E1033" s="4">
        <v>45040</v>
      </c>
      <c r="F1033" s="7">
        <v>22893</v>
      </c>
      <c r="G1033" s="1">
        <v>34</v>
      </c>
      <c r="H1033" s="1">
        <v>7</v>
      </c>
      <c r="I1033" s="1">
        <v>48</v>
      </c>
      <c r="J1033" s="1">
        <v>7</v>
      </c>
      <c r="K1033" s="1">
        <v>62</v>
      </c>
      <c r="L1033" s="1">
        <v>33</v>
      </c>
      <c r="M1033" s="1">
        <v>0.61</v>
      </c>
      <c r="N1033" s="1">
        <v>9.2</v>
      </c>
      <c r="O1033" s="7">
        <v>22893</v>
      </c>
      <c r="P1033" s="4">
        <v>45023</v>
      </c>
      <c r="Q1033" s="4">
        <v>45040</v>
      </c>
      <c r="R1033" s="1" t="s">
        <v>80</v>
      </c>
      <c r="AO1033" s="7">
        <v>22893</v>
      </c>
      <c r="AP1033" s="5">
        <v>8.8</v>
      </c>
      <c r="AQ1033" s="5">
        <v>94</v>
      </c>
      <c r="AR1033" s="5">
        <v>51.9</v>
      </c>
      <c r="AS1033" s="5">
        <v>74.9</v>
      </c>
      <c r="AT1033" s="5">
        <v>85</v>
      </c>
      <c r="AU1033" s="5">
        <v>90</v>
      </c>
      <c r="AV1033" s="5">
        <v>48.3</v>
      </c>
      <c r="AW1033" s="5">
        <v>9.77</v>
      </c>
      <c r="AX1033" s="5">
        <v>83</v>
      </c>
      <c r="AY1033" s="5">
        <v>95.02</v>
      </c>
      <c r="AZ1033" s="5">
        <v>9.67</v>
      </c>
      <c r="BA1033" s="5">
        <v>4.31</v>
      </c>
      <c r="BB1033" s="12" t="s">
        <v>76</v>
      </c>
      <c r="BC1033" s="5">
        <v>4.35</v>
      </c>
      <c r="BD1033" s="5">
        <v>94</v>
      </c>
      <c r="BE1033" s="5">
        <v>1.14</v>
      </c>
      <c r="BF1033" s="5">
        <v>2.16</v>
      </c>
      <c r="BG1033" s="15">
        <v>36.3</v>
      </c>
      <c r="BH1033" s="5">
        <v>78</v>
      </c>
      <c r="BI1033" s="5">
        <v>78</v>
      </c>
      <c r="BJ1033" s="5">
        <v>18</v>
      </c>
      <c r="BK1033" s="5">
        <v>135</v>
      </c>
      <c r="BL1033" s="5">
        <v>80</v>
      </c>
      <c r="BM1033" s="5">
        <v>65</v>
      </c>
      <c r="BN1033" s="5">
        <v>168</v>
      </c>
      <c r="BO1033" s="5">
        <f t="shared" si="16"/>
        <v>23.0300453514739</v>
      </c>
      <c r="BP1033" s="5" t="s">
        <v>1450</v>
      </c>
      <c r="BQ1033" s="5" t="s">
        <v>76</v>
      </c>
      <c r="BR1033" s="5">
        <v>988</v>
      </c>
    </row>
    <row r="1034" s="1" customFormat="1" spans="1:70">
      <c r="A1034" s="1">
        <v>3333713</v>
      </c>
      <c r="B1034" s="1" t="s">
        <v>2422</v>
      </c>
      <c r="D1034" s="4">
        <v>45036</v>
      </c>
      <c r="E1034" s="4">
        <v>45043</v>
      </c>
      <c r="F1034" s="7">
        <v>22896</v>
      </c>
      <c r="G1034" s="1">
        <v>40</v>
      </c>
      <c r="H1034" s="1">
        <v>9</v>
      </c>
      <c r="I1034" s="1">
        <v>60</v>
      </c>
      <c r="J1034" s="1">
        <v>9</v>
      </c>
      <c r="K1034" s="1">
        <v>39</v>
      </c>
      <c r="L1034" s="1">
        <v>19</v>
      </c>
      <c r="M1034" s="1">
        <v>0.84</v>
      </c>
      <c r="N1034" s="1">
        <v>22.1</v>
      </c>
      <c r="O1034" s="7">
        <v>22896</v>
      </c>
      <c r="P1034" s="4">
        <v>45036</v>
      </c>
      <c r="Q1034" s="4">
        <v>45043</v>
      </c>
      <c r="R1034" s="1" t="s">
        <v>80</v>
      </c>
      <c r="AO1034" s="7">
        <v>22896</v>
      </c>
      <c r="AP1034" s="5">
        <v>8.9</v>
      </c>
      <c r="AQ1034" s="5">
        <v>147</v>
      </c>
      <c r="AR1034" s="5">
        <v>44.5</v>
      </c>
      <c r="AS1034" s="5">
        <v>98.5</v>
      </c>
      <c r="AT1034" s="5">
        <v>75</v>
      </c>
      <c r="AU1034" s="5">
        <v>69</v>
      </c>
      <c r="AV1034" s="5">
        <v>43</v>
      </c>
      <c r="AW1034" s="5">
        <v>6.71</v>
      </c>
      <c r="AX1034" s="5">
        <v>68</v>
      </c>
      <c r="AY1034" s="5" t="s">
        <v>125</v>
      </c>
      <c r="AZ1034" s="5">
        <v>9.83</v>
      </c>
      <c r="BA1034" s="5">
        <v>5.36</v>
      </c>
      <c r="BB1034" s="12" t="s">
        <v>76</v>
      </c>
      <c r="BC1034" s="5">
        <v>4.63</v>
      </c>
      <c r="BD1034" s="5">
        <v>147</v>
      </c>
      <c r="BE1034" s="5">
        <v>1.04</v>
      </c>
      <c r="BF1034" s="5">
        <v>3.36</v>
      </c>
      <c r="BG1034" s="15">
        <v>36.6</v>
      </c>
      <c r="BH1034" s="5">
        <v>90</v>
      </c>
      <c r="BI1034" s="5">
        <v>90</v>
      </c>
      <c r="BJ1034" s="5">
        <v>17</v>
      </c>
      <c r="BK1034" s="5">
        <v>143</v>
      </c>
      <c r="BL1034" s="5">
        <v>93</v>
      </c>
      <c r="BM1034" s="5">
        <v>80</v>
      </c>
      <c r="BN1034" s="5">
        <v>170</v>
      </c>
      <c r="BO1034" s="5">
        <f t="shared" si="16"/>
        <v>27.681660899654</v>
      </c>
      <c r="BP1034" s="5" t="s">
        <v>323</v>
      </c>
      <c r="BQ1034" s="5">
        <v>8.7</v>
      </c>
      <c r="BR1034" s="5">
        <v>2114</v>
      </c>
    </row>
    <row r="1035" s="1" customFormat="1" spans="1:70">
      <c r="A1035" s="1">
        <v>3242285</v>
      </c>
      <c r="B1035" s="1" t="s">
        <v>2423</v>
      </c>
      <c r="D1035" s="4">
        <v>44886</v>
      </c>
      <c r="E1035" s="4">
        <v>44895</v>
      </c>
      <c r="F1035" s="7">
        <v>22909</v>
      </c>
      <c r="G1035" s="1">
        <v>42</v>
      </c>
      <c r="H1035" s="1">
        <v>9</v>
      </c>
      <c r="I1035" s="1">
        <v>61</v>
      </c>
      <c r="J1035" s="1">
        <v>10</v>
      </c>
      <c r="K1035" s="1">
        <v>33</v>
      </c>
      <c r="L1035" s="1">
        <v>16</v>
      </c>
      <c r="M1035" s="1">
        <v>1.24</v>
      </c>
      <c r="N1035" s="1">
        <v>15.6</v>
      </c>
      <c r="O1035" s="7">
        <v>22909</v>
      </c>
      <c r="P1035" s="4">
        <v>44886</v>
      </c>
      <c r="Q1035" s="4">
        <v>44895</v>
      </c>
      <c r="R1035" s="1" t="s">
        <v>80</v>
      </c>
      <c r="AO1035" s="7">
        <v>22909</v>
      </c>
      <c r="AP1035" s="5">
        <v>8</v>
      </c>
      <c r="AQ1035" s="5">
        <v>150</v>
      </c>
      <c r="AR1035" s="5">
        <v>46.7</v>
      </c>
      <c r="AS1035" s="5">
        <v>7.8</v>
      </c>
      <c r="AT1035" s="5">
        <v>59</v>
      </c>
      <c r="AU1035" s="5">
        <v>20</v>
      </c>
      <c r="AV1035" s="5">
        <v>35.3</v>
      </c>
      <c r="AW1035" s="5">
        <v>14.32</v>
      </c>
      <c r="AX1035" s="5">
        <v>149</v>
      </c>
      <c r="AY1035" s="5">
        <v>44.36</v>
      </c>
      <c r="AZ1035" s="5" t="s">
        <v>75</v>
      </c>
      <c r="BA1035" s="5">
        <v>4.21</v>
      </c>
      <c r="BB1035" s="12" t="s">
        <v>76</v>
      </c>
      <c r="BC1035" s="5">
        <v>4.6</v>
      </c>
      <c r="BD1035" s="5">
        <v>150</v>
      </c>
      <c r="BE1035" s="5">
        <v>0.71</v>
      </c>
      <c r="BF1035" s="5">
        <v>2.53</v>
      </c>
      <c r="BG1035" s="15">
        <v>36.5</v>
      </c>
      <c r="BH1035" s="5">
        <v>94</v>
      </c>
      <c r="BI1035" s="5">
        <v>94</v>
      </c>
      <c r="BJ1035" s="5">
        <v>17</v>
      </c>
      <c r="BK1035" s="5">
        <v>153</v>
      </c>
      <c r="BL1035" s="5">
        <v>93</v>
      </c>
      <c r="BM1035" s="5">
        <v>80</v>
      </c>
      <c r="BN1035" s="5">
        <v>174</v>
      </c>
      <c r="BO1035" s="5">
        <f t="shared" si="16"/>
        <v>26.4235698242833</v>
      </c>
      <c r="BP1035" s="5" t="s">
        <v>121</v>
      </c>
      <c r="BQ1035" s="5">
        <v>5.7</v>
      </c>
      <c r="BR1035" s="5">
        <v>6646</v>
      </c>
    </row>
    <row r="1036" s="1" customFormat="1" spans="1:70">
      <c r="A1036" s="1">
        <v>3268576</v>
      </c>
      <c r="B1036" s="1" t="s">
        <v>2424</v>
      </c>
      <c r="D1036" s="4">
        <v>44944</v>
      </c>
      <c r="E1036" s="4">
        <v>44956</v>
      </c>
      <c r="F1036" s="7">
        <v>22949</v>
      </c>
      <c r="G1036" s="1">
        <v>36</v>
      </c>
      <c r="H1036" s="1">
        <v>12</v>
      </c>
      <c r="I1036" s="1">
        <v>45</v>
      </c>
      <c r="J1036" s="1">
        <v>11</v>
      </c>
      <c r="K1036" s="1">
        <v>51</v>
      </c>
      <c r="L1036" s="1">
        <v>26</v>
      </c>
      <c r="M1036" s="1">
        <v>1.45</v>
      </c>
      <c r="O1036" s="7">
        <v>22949</v>
      </c>
      <c r="P1036" s="4">
        <v>44944</v>
      </c>
      <c r="Q1036" s="4">
        <v>44956</v>
      </c>
      <c r="R1036" s="1" t="s">
        <v>80</v>
      </c>
      <c r="AO1036" s="7">
        <v>22949</v>
      </c>
      <c r="AP1036" s="5">
        <v>9.6</v>
      </c>
      <c r="AQ1036" s="5">
        <v>149</v>
      </c>
      <c r="AR1036" s="5">
        <v>46.5</v>
      </c>
      <c r="AS1036" s="5">
        <v>9</v>
      </c>
      <c r="AT1036" s="5">
        <v>787</v>
      </c>
      <c r="AU1036" s="5">
        <v>84</v>
      </c>
      <c r="AV1036" s="5">
        <v>42.1</v>
      </c>
      <c r="AW1036" s="5">
        <v>8.29</v>
      </c>
      <c r="AX1036" s="5">
        <v>99</v>
      </c>
      <c r="AY1036" s="5">
        <v>78.36</v>
      </c>
      <c r="AZ1036" s="5">
        <v>9.11</v>
      </c>
      <c r="BA1036" s="5">
        <v>3.36</v>
      </c>
      <c r="BB1036" s="12" t="s">
        <v>76</v>
      </c>
      <c r="BC1036" s="5">
        <v>4.82</v>
      </c>
      <c r="BD1036" s="5">
        <v>149</v>
      </c>
      <c r="BE1036" s="5">
        <v>1.33</v>
      </c>
      <c r="BF1036" s="5">
        <v>1.66</v>
      </c>
      <c r="BG1036" s="15">
        <v>36.7</v>
      </c>
      <c r="BH1036" s="5">
        <v>105</v>
      </c>
      <c r="BI1036" s="5">
        <v>124</v>
      </c>
      <c r="BJ1036" s="5">
        <v>20</v>
      </c>
      <c r="BK1036" s="5">
        <v>120</v>
      </c>
      <c r="BL1036" s="5">
        <v>82</v>
      </c>
      <c r="BM1036" s="5">
        <v>96</v>
      </c>
      <c r="BN1036" s="5">
        <v>178</v>
      </c>
      <c r="BO1036" s="5">
        <f t="shared" si="16"/>
        <v>30.299204645878</v>
      </c>
      <c r="BP1036" s="5" t="s">
        <v>323</v>
      </c>
      <c r="BQ1036" s="5">
        <v>7.5</v>
      </c>
      <c r="BR1036" s="5">
        <v>947</v>
      </c>
    </row>
    <row r="1037" s="1" customFormat="1" spans="1:70">
      <c r="A1037" s="1">
        <v>3514458</v>
      </c>
      <c r="B1037" s="1" t="s">
        <v>2425</v>
      </c>
      <c r="C1037" s="1">
        <v>1</v>
      </c>
      <c r="D1037" s="4">
        <v>45286</v>
      </c>
      <c r="E1037" s="4">
        <v>45291</v>
      </c>
      <c r="F1037" s="7">
        <v>22949</v>
      </c>
      <c r="G1037" s="1">
        <v>34</v>
      </c>
      <c r="H1037" s="1">
        <v>9</v>
      </c>
      <c r="I1037" s="1">
        <v>49</v>
      </c>
      <c r="J1037" s="1">
        <v>9</v>
      </c>
      <c r="K1037" s="1">
        <v>63</v>
      </c>
      <c r="L1037" s="1">
        <v>34</v>
      </c>
      <c r="M1037" s="1">
        <v>0.68</v>
      </c>
      <c r="N1037" s="1">
        <v>13.7</v>
      </c>
      <c r="O1037" s="7">
        <v>22949</v>
      </c>
      <c r="P1037" s="4">
        <v>45286</v>
      </c>
      <c r="Q1037" s="4">
        <v>45291</v>
      </c>
      <c r="R1037" s="1" t="s">
        <v>73</v>
      </c>
      <c r="AO1037" s="7">
        <v>22949</v>
      </c>
      <c r="AP1037" s="5">
        <v>3.3</v>
      </c>
      <c r="AQ1037" s="5">
        <v>113</v>
      </c>
      <c r="AR1037" s="5">
        <v>36.2</v>
      </c>
      <c r="AS1037" s="5">
        <v>0.5</v>
      </c>
      <c r="AT1037" s="5">
        <v>25</v>
      </c>
      <c r="AU1037" s="5">
        <v>25</v>
      </c>
      <c r="AV1037" s="5">
        <v>33.8</v>
      </c>
      <c r="AW1037" s="5">
        <v>6</v>
      </c>
      <c r="AX1037" s="5">
        <v>34</v>
      </c>
      <c r="AY1037" s="5" t="s">
        <v>76</v>
      </c>
      <c r="AZ1037" s="5" t="s">
        <v>75</v>
      </c>
      <c r="BA1037" s="5">
        <v>2.77</v>
      </c>
      <c r="BB1037" s="12" t="s">
        <v>76</v>
      </c>
      <c r="BC1037" s="5">
        <v>4.44</v>
      </c>
      <c r="BD1037" s="5">
        <v>113</v>
      </c>
      <c r="BE1037" s="5">
        <v>0.85</v>
      </c>
      <c r="BF1037" s="5">
        <v>1.21</v>
      </c>
      <c r="BG1037" s="15">
        <v>36.5</v>
      </c>
      <c r="BH1037" s="5">
        <v>112</v>
      </c>
      <c r="BI1037" s="5">
        <v>112</v>
      </c>
      <c r="BJ1037" s="5">
        <v>20</v>
      </c>
      <c r="BK1037" s="5">
        <v>164</v>
      </c>
      <c r="BL1037" s="5">
        <v>102</v>
      </c>
      <c r="BM1037" s="5">
        <v>60</v>
      </c>
      <c r="BN1037" s="5">
        <v>161</v>
      </c>
      <c r="BO1037" s="5">
        <f t="shared" si="16"/>
        <v>23.1472551213302</v>
      </c>
      <c r="BP1037" s="5" t="s">
        <v>156</v>
      </c>
      <c r="BQ1037" s="5">
        <v>7.5</v>
      </c>
      <c r="BR1037" s="5">
        <v>2115</v>
      </c>
    </row>
    <row r="1038" s="1" customFormat="1" spans="1:70">
      <c r="A1038" s="1">
        <v>3335114</v>
      </c>
      <c r="B1038" s="1" t="s">
        <v>2426</v>
      </c>
      <c r="C1038" s="1">
        <v>1</v>
      </c>
      <c r="D1038" s="4">
        <v>45039</v>
      </c>
      <c r="E1038" s="4">
        <v>45044</v>
      </c>
      <c r="F1038" s="7">
        <v>22954</v>
      </c>
      <c r="G1038" s="1">
        <v>40</v>
      </c>
      <c r="H1038" s="1">
        <v>10</v>
      </c>
      <c r="I1038" s="1">
        <v>53</v>
      </c>
      <c r="J1038" s="1">
        <v>10</v>
      </c>
      <c r="K1038" s="1">
        <v>58</v>
      </c>
      <c r="L1038" s="1">
        <v>31</v>
      </c>
      <c r="M1038" s="1">
        <v>0.89</v>
      </c>
      <c r="N1038" s="1">
        <v>18.1</v>
      </c>
      <c r="O1038" s="7">
        <v>22954</v>
      </c>
      <c r="P1038" s="4">
        <v>45039</v>
      </c>
      <c r="Q1038" s="4">
        <v>45044</v>
      </c>
      <c r="R1038" s="1" t="s">
        <v>80</v>
      </c>
      <c r="AO1038" s="7">
        <v>22954</v>
      </c>
      <c r="AP1038" s="5">
        <v>9.4</v>
      </c>
      <c r="AQ1038" s="5">
        <v>132</v>
      </c>
      <c r="AR1038" s="5">
        <v>39.6</v>
      </c>
      <c r="AS1038" s="5" t="s">
        <v>81</v>
      </c>
      <c r="AT1038" s="5">
        <v>205</v>
      </c>
      <c r="AU1038" s="5">
        <v>37</v>
      </c>
      <c r="AV1038" s="5">
        <v>37.7</v>
      </c>
      <c r="AW1038" s="5">
        <v>4.02</v>
      </c>
      <c r="AX1038" s="5">
        <v>37</v>
      </c>
      <c r="AY1038" s="5" t="s">
        <v>125</v>
      </c>
      <c r="AZ1038" s="5" t="s">
        <v>75</v>
      </c>
      <c r="BA1038" s="5">
        <v>3.62</v>
      </c>
      <c r="BB1038" s="12" t="s">
        <v>76</v>
      </c>
      <c r="BC1038" s="5">
        <v>3.91</v>
      </c>
      <c r="BD1038" s="5">
        <v>132</v>
      </c>
      <c r="BE1038" s="5">
        <v>0.74</v>
      </c>
      <c r="BF1038" s="5">
        <v>2.05</v>
      </c>
      <c r="BG1038" s="15">
        <v>36.5</v>
      </c>
      <c r="BH1038" s="5">
        <v>82</v>
      </c>
      <c r="BI1038" s="5">
        <v>82</v>
      </c>
      <c r="BJ1038" s="5">
        <v>20</v>
      </c>
      <c r="BK1038" s="5">
        <v>123</v>
      </c>
      <c r="BL1038" s="5">
        <v>72</v>
      </c>
      <c r="BM1038" s="5">
        <v>80</v>
      </c>
      <c r="BN1038" s="5">
        <v>170</v>
      </c>
      <c r="BO1038" s="5">
        <f t="shared" si="16"/>
        <v>27.681660899654</v>
      </c>
      <c r="BP1038" s="5" t="s">
        <v>323</v>
      </c>
      <c r="BQ1038" s="5">
        <v>6.6</v>
      </c>
      <c r="BR1038" s="5">
        <v>940</v>
      </c>
    </row>
    <row r="1039" s="1" customFormat="1" spans="1:70">
      <c r="A1039" s="1" t="s">
        <v>2427</v>
      </c>
      <c r="B1039" s="1" t="s">
        <v>2428</v>
      </c>
      <c r="C1039" s="1">
        <v>1</v>
      </c>
      <c r="D1039" s="4">
        <v>45259</v>
      </c>
      <c r="E1039" s="4">
        <v>45271</v>
      </c>
      <c r="F1039" s="7">
        <v>22955</v>
      </c>
      <c r="G1039" s="1">
        <v>50</v>
      </c>
      <c r="H1039" s="1">
        <v>10</v>
      </c>
      <c r="I1039" s="1">
        <v>65</v>
      </c>
      <c r="J1039" s="1">
        <v>10</v>
      </c>
      <c r="K1039" s="1">
        <v>34</v>
      </c>
      <c r="L1039" s="1">
        <v>16</v>
      </c>
      <c r="M1039" s="1">
        <v>0.66</v>
      </c>
      <c r="N1039" s="1">
        <v>14.4</v>
      </c>
      <c r="O1039" s="7">
        <v>22955</v>
      </c>
      <c r="P1039" s="4">
        <v>45259</v>
      </c>
      <c r="Q1039" s="4">
        <v>45271</v>
      </c>
      <c r="R1039" s="1" t="s">
        <v>80</v>
      </c>
      <c r="AO1039" s="7">
        <v>22955</v>
      </c>
      <c r="AP1039" s="5" t="s">
        <v>1118</v>
      </c>
      <c r="AQ1039" s="5" t="s">
        <v>425</v>
      </c>
      <c r="AR1039" s="5" t="s">
        <v>2429</v>
      </c>
      <c r="AS1039" s="5" t="s">
        <v>793</v>
      </c>
      <c r="AT1039" s="5" t="s">
        <v>205</v>
      </c>
      <c r="AU1039" s="5" t="s">
        <v>171</v>
      </c>
      <c r="AV1039" s="5" t="s">
        <v>934</v>
      </c>
      <c r="AW1039" s="5" t="s">
        <v>2430</v>
      </c>
      <c r="AX1039" s="5" t="s">
        <v>2431</v>
      </c>
      <c r="AY1039" s="5" t="s">
        <v>2432</v>
      </c>
      <c r="AZ1039" s="5" t="s">
        <v>75</v>
      </c>
      <c r="BA1039" s="5" t="s">
        <v>76</v>
      </c>
      <c r="BB1039" s="12" t="s">
        <v>76</v>
      </c>
      <c r="BC1039" s="5" t="s">
        <v>4</v>
      </c>
      <c r="BD1039" s="5" t="s">
        <v>425</v>
      </c>
      <c r="BE1039" s="5" t="s">
        <v>76</v>
      </c>
      <c r="BF1039" s="5" t="s">
        <v>76</v>
      </c>
      <c r="BG1039" s="15">
        <v>36.5</v>
      </c>
      <c r="BH1039" s="5" t="s">
        <v>212</v>
      </c>
      <c r="BI1039" s="5" t="s">
        <v>212</v>
      </c>
      <c r="BJ1039" s="5" t="s">
        <v>445</v>
      </c>
      <c r="BK1039" s="5" t="s">
        <v>558</v>
      </c>
      <c r="BL1039" s="5" t="s">
        <v>407</v>
      </c>
      <c r="BM1039" s="5" t="s">
        <v>215</v>
      </c>
      <c r="BN1039" s="5">
        <v>170</v>
      </c>
      <c r="BO1039" s="5">
        <f t="shared" si="16"/>
        <v>20.7612456747405</v>
      </c>
      <c r="BP1039" s="5" t="s">
        <v>542</v>
      </c>
      <c r="BQ1039" s="5" t="s">
        <v>76</v>
      </c>
      <c r="BR1039" s="5" t="s">
        <v>118</v>
      </c>
    </row>
    <row r="1040" s="1" customFormat="1" spans="1:70">
      <c r="A1040" s="1">
        <v>3252431</v>
      </c>
      <c r="B1040" s="1" t="s">
        <v>2433</v>
      </c>
      <c r="D1040" s="4">
        <v>44907</v>
      </c>
      <c r="E1040" s="4">
        <v>44914</v>
      </c>
      <c r="F1040" s="7">
        <v>22958</v>
      </c>
      <c r="G1040" s="1">
        <v>37</v>
      </c>
      <c r="H1040" s="1">
        <v>9</v>
      </c>
      <c r="I1040" s="1">
        <v>52</v>
      </c>
      <c r="J1040" s="1">
        <v>9</v>
      </c>
      <c r="K1040" s="1">
        <v>48</v>
      </c>
      <c r="L1040" s="1">
        <v>24</v>
      </c>
      <c r="M1040" s="1">
        <v>0.84</v>
      </c>
      <c r="N1040" s="1">
        <v>12.6</v>
      </c>
      <c r="O1040" s="7">
        <v>22958</v>
      </c>
      <c r="P1040" s="4">
        <v>44907</v>
      </c>
      <c r="Q1040" s="4">
        <v>44914</v>
      </c>
      <c r="R1040" s="1" t="s">
        <v>80</v>
      </c>
      <c r="AO1040" s="7">
        <v>22958</v>
      </c>
      <c r="AP1040" s="5">
        <v>9.7</v>
      </c>
      <c r="AQ1040" s="5">
        <v>167</v>
      </c>
      <c r="AR1040" s="5">
        <v>49.6</v>
      </c>
      <c r="AS1040" s="5">
        <v>56.7</v>
      </c>
      <c r="AT1040" s="5">
        <v>515</v>
      </c>
      <c r="AU1040" s="5">
        <v>98</v>
      </c>
      <c r="AV1040" s="5">
        <v>38.8</v>
      </c>
      <c r="AW1040" s="5">
        <v>5.85</v>
      </c>
      <c r="AX1040" s="5">
        <v>77</v>
      </c>
      <c r="AY1040" s="5" t="s">
        <v>125</v>
      </c>
      <c r="AZ1040" s="5" t="s">
        <v>75</v>
      </c>
      <c r="BA1040" s="5">
        <v>3.45</v>
      </c>
      <c r="BB1040" s="12" t="s">
        <v>76</v>
      </c>
      <c r="BC1040" s="5">
        <v>4.4</v>
      </c>
      <c r="BD1040" s="5">
        <v>167</v>
      </c>
      <c r="BE1040" s="5">
        <v>1.02</v>
      </c>
      <c r="BF1040" s="5">
        <v>1.96</v>
      </c>
      <c r="BG1040" s="15">
        <v>36.2</v>
      </c>
      <c r="BH1040" s="5">
        <v>86</v>
      </c>
      <c r="BI1040" s="5">
        <v>86</v>
      </c>
      <c r="BJ1040" s="5">
        <v>16</v>
      </c>
      <c r="BK1040" s="5">
        <v>135</v>
      </c>
      <c r="BL1040" s="5">
        <v>99</v>
      </c>
      <c r="BM1040" s="5">
        <v>88</v>
      </c>
      <c r="BN1040" s="5">
        <v>178</v>
      </c>
      <c r="BO1040" s="5">
        <f t="shared" si="16"/>
        <v>27.7742709253882</v>
      </c>
      <c r="BP1040" s="5" t="s">
        <v>258</v>
      </c>
      <c r="BQ1040" s="5">
        <v>5.5</v>
      </c>
      <c r="BR1040" s="5">
        <v>987</v>
      </c>
    </row>
    <row r="1041" s="1" customFormat="1" spans="1:70">
      <c r="A1041" s="1">
        <v>3249900</v>
      </c>
      <c r="B1041" s="1" t="s">
        <v>2434</v>
      </c>
      <c r="D1041" s="4">
        <v>44900</v>
      </c>
      <c r="E1041" s="4">
        <v>44907</v>
      </c>
      <c r="F1041" s="7">
        <v>22961</v>
      </c>
      <c r="G1041" s="1">
        <v>39</v>
      </c>
      <c r="H1041" s="1">
        <v>9</v>
      </c>
      <c r="I1041" s="1">
        <v>57</v>
      </c>
      <c r="J1041" s="1">
        <v>9</v>
      </c>
      <c r="K1041" s="1">
        <v>40</v>
      </c>
      <c r="L1041" s="1">
        <v>20</v>
      </c>
      <c r="M1041" s="1">
        <v>0.49</v>
      </c>
      <c r="N1041" s="1">
        <v>14.7</v>
      </c>
      <c r="O1041" s="7">
        <v>22961</v>
      </c>
      <c r="P1041" s="4">
        <v>44900</v>
      </c>
      <c r="Q1041" s="4">
        <v>44907</v>
      </c>
      <c r="R1041" s="1" t="s">
        <v>73</v>
      </c>
      <c r="AO1041" s="7">
        <v>22961</v>
      </c>
      <c r="AP1041" s="5">
        <v>7.3</v>
      </c>
      <c r="AQ1041" s="5">
        <v>119</v>
      </c>
      <c r="AR1041" s="5">
        <v>36.2</v>
      </c>
      <c r="AS1041" s="5" t="s">
        <v>76</v>
      </c>
      <c r="AT1041" s="5">
        <v>27</v>
      </c>
      <c r="AU1041" s="5">
        <v>18</v>
      </c>
      <c r="AV1041" s="5">
        <v>37.2</v>
      </c>
      <c r="AW1041" s="5">
        <v>7.77</v>
      </c>
      <c r="AX1041" s="5">
        <v>79</v>
      </c>
      <c r="AY1041" s="5">
        <v>68.45</v>
      </c>
      <c r="AZ1041" s="5" t="s">
        <v>375</v>
      </c>
      <c r="BA1041" s="5">
        <v>5.73</v>
      </c>
      <c r="BB1041" s="12" t="s">
        <v>76</v>
      </c>
      <c r="BC1041" s="5">
        <v>4.92</v>
      </c>
      <c r="BD1041" s="5">
        <v>119</v>
      </c>
      <c r="BE1041" s="5" t="s">
        <v>76</v>
      </c>
      <c r="BF1041" s="5" t="s">
        <v>76</v>
      </c>
      <c r="BG1041" s="15">
        <v>36.5</v>
      </c>
      <c r="BH1041" s="5">
        <v>50</v>
      </c>
      <c r="BI1041" s="5" t="s">
        <v>76</v>
      </c>
      <c r="BJ1041" s="5">
        <v>18</v>
      </c>
      <c r="BK1041" s="5">
        <v>140</v>
      </c>
      <c r="BL1041" s="5">
        <v>84</v>
      </c>
      <c r="BM1041" s="5">
        <v>55</v>
      </c>
      <c r="BN1041" s="5">
        <v>158</v>
      </c>
      <c r="BO1041" s="5">
        <f t="shared" si="16"/>
        <v>22.0317256849864</v>
      </c>
      <c r="BP1041" s="5" t="s">
        <v>107</v>
      </c>
      <c r="BQ1041" s="5" t="s">
        <v>76</v>
      </c>
      <c r="BR1041" s="5">
        <v>4183</v>
      </c>
    </row>
    <row r="1042" s="1" customFormat="1" spans="1:70">
      <c r="A1042" s="1">
        <v>3250758</v>
      </c>
      <c r="B1042" s="1" t="s">
        <v>2435</v>
      </c>
      <c r="D1042" s="4">
        <v>44902</v>
      </c>
      <c r="E1042" s="4">
        <v>44904</v>
      </c>
      <c r="F1042" s="7">
        <v>22970</v>
      </c>
      <c r="G1042" s="1">
        <v>33</v>
      </c>
      <c r="H1042" s="1">
        <v>9</v>
      </c>
      <c r="I1042" s="1">
        <v>48</v>
      </c>
      <c r="J1042" s="1">
        <v>8</v>
      </c>
      <c r="K1042" s="1">
        <v>52</v>
      </c>
      <c r="L1042" s="1">
        <v>27</v>
      </c>
      <c r="M1042" s="1">
        <v>0.71</v>
      </c>
      <c r="N1042" s="1">
        <v>5.7</v>
      </c>
      <c r="O1042" s="7">
        <v>22970</v>
      </c>
      <c r="P1042" s="4">
        <v>44902</v>
      </c>
      <c r="Q1042" s="4">
        <v>44904</v>
      </c>
      <c r="R1042" s="1" t="s">
        <v>80</v>
      </c>
      <c r="S1042" s="1">
        <v>60</v>
      </c>
      <c r="T1042" s="1">
        <v>15052494798</v>
      </c>
      <c r="Z1042" s="1">
        <v>1</v>
      </c>
      <c r="AA1042" s="1">
        <v>1</v>
      </c>
      <c r="AG1042" s="1">
        <v>1</v>
      </c>
      <c r="AH1042" s="1">
        <v>1</v>
      </c>
      <c r="AM1042" s="1">
        <v>1</v>
      </c>
      <c r="AO1042" s="7">
        <v>22970</v>
      </c>
      <c r="AP1042" s="5">
        <v>8</v>
      </c>
      <c r="AQ1042" s="5">
        <v>128</v>
      </c>
      <c r="AR1042" s="5">
        <v>38.5</v>
      </c>
      <c r="AS1042" s="5" t="s">
        <v>76</v>
      </c>
      <c r="AT1042" s="5">
        <v>42</v>
      </c>
      <c r="AU1042" s="5">
        <v>75</v>
      </c>
      <c r="AV1042" s="5">
        <v>44.9</v>
      </c>
      <c r="AW1042" s="5">
        <v>16.74</v>
      </c>
      <c r="AX1042" s="5">
        <v>184</v>
      </c>
      <c r="AY1042" s="5">
        <v>34.77</v>
      </c>
      <c r="AZ1042" s="5" t="s">
        <v>75</v>
      </c>
      <c r="BA1042" s="5">
        <v>3.68</v>
      </c>
      <c r="BB1042" s="12" t="s">
        <v>76</v>
      </c>
      <c r="BC1042" s="5">
        <v>3.98</v>
      </c>
      <c r="BD1042" s="5">
        <v>128</v>
      </c>
      <c r="BE1042" s="5" t="s">
        <v>76</v>
      </c>
      <c r="BF1042" s="5" t="s">
        <v>76</v>
      </c>
      <c r="BG1042" s="15">
        <v>36.2</v>
      </c>
      <c r="BH1042" s="5">
        <v>116</v>
      </c>
      <c r="BI1042" s="5" t="s">
        <v>76</v>
      </c>
      <c r="BJ1042" s="5">
        <v>17</v>
      </c>
      <c r="BK1042" s="5">
        <v>101</v>
      </c>
      <c r="BL1042" s="5">
        <v>78</v>
      </c>
      <c r="BM1042" s="5">
        <v>70</v>
      </c>
      <c r="BN1042" s="5">
        <v>165</v>
      </c>
      <c r="BO1042" s="5">
        <f t="shared" si="16"/>
        <v>25.7116620752984</v>
      </c>
      <c r="BP1042" s="5" t="s">
        <v>78</v>
      </c>
      <c r="BQ1042" s="5">
        <v>6</v>
      </c>
      <c r="BR1042" s="5">
        <v>2008</v>
      </c>
    </row>
    <row r="1043" s="1" customFormat="1" spans="1:70">
      <c r="A1043" s="1">
        <v>3304311</v>
      </c>
      <c r="B1043" s="1" t="s">
        <v>2436</v>
      </c>
      <c r="D1043" s="4">
        <v>44998</v>
      </c>
      <c r="E1043" s="4">
        <v>45006</v>
      </c>
      <c r="F1043" s="7">
        <v>22980</v>
      </c>
      <c r="G1043" s="1">
        <v>42</v>
      </c>
      <c r="H1043" s="1">
        <v>11</v>
      </c>
      <c r="I1043" s="1">
        <v>50</v>
      </c>
      <c r="J1043" s="1">
        <v>10</v>
      </c>
      <c r="K1043" s="1">
        <v>59</v>
      </c>
      <c r="L1043" s="1">
        <v>31</v>
      </c>
      <c r="M1043" s="1">
        <v>0.8</v>
      </c>
      <c r="N1043" s="1">
        <v>16.9</v>
      </c>
      <c r="O1043" s="7">
        <v>22980</v>
      </c>
      <c r="P1043" s="4">
        <v>44998</v>
      </c>
      <c r="Q1043" s="4">
        <v>45006</v>
      </c>
      <c r="R1043" s="1" t="s">
        <v>73</v>
      </c>
      <c r="AO1043" s="7">
        <v>22980</v>
      </c>
      <c r="AP1043" s="5">
        <v>729.5</v>
      </c>
      <c r="AQ1043" s="5">
        <v>80</v>
      </c>
      <c r="AR1043" s="5">
        <v>24.9</v>
      </c>
      <c r="AS1043" s="5">
        <v>31.9</v>
      </c>
      <c r="AT1043" s="5">
        <v>9</v>
      </c>
      <c r="AU1043" s="5">
        <v>7</v>
      </c>
      <c r="AV1043" s="5">
        <v>31</v>
      </c>
      <c r="AW1043" s="5">
        <v>14.84</v>
      </c>
      <c r="AX1043" s="5">
        <v>192</v>
      </c>
      <c r="AY1043" s="5">
        <v>25.8</v>
      </c>
      <c r="AZ1043" s="5">
        <v>6.1</v>
      </c>
      <c r="BA1043" s="5">
        <v>5.57</v>
      </c>
      <c r="BB1043" s="12" t="s">
        <v>76</v>
      </c>
      <c r="BC1043" s="5">
        <v>3.45</v>
      </c>
      <c r="BD1043" s="5">
        <v>80</v>
      </c>
      <c r="BE1043" s="5">
        <v>0.93</v>
      </c>
      <c r="BF1043" s="5">
        <v>3.53</v>
      </c>
      <c r="BG1043" s="15">
        <v>36.3</v>
      </c>
      <c r="BH1043" s="5">
        <v>83</v>
      </c>
      <c r="BI1043" s="5">
        <v>83</v>
      </c>
      <c r="BJ1043" s="5">
        <v>20</v>
      </c>
      <c r="BK1043" s="5">
        <v>183</v>
      </c>
      <c r="BL1043" s="5">
        <v>92</v>
      </c>
      <c r="BM1043" s="5">
        <v>60</v>
      </c>
      <c r="BN1043" s="5">
        <v>160</v>
      </c>
      <c r="BO1043" s="5">
        <f t="shared" si="16"/>
        <v>23.4375</v>
      </c>
      <c r="BP1043" s="5" t="s">
        <v>415</v>
      </c>
      <c r="BQ1043" s="5">
        <v>6.3</v>
      </c>
      <c r="BR1043" s="5">
        <v>3251</v>
      </c>
    </row>
    <row r="1044" s="1" customFormat="1" spans="1:70">
      <c r="A1044" s="1">
        <v>3508516</v>
      </c>
      <c r="B1044" s="1" t="s">
        <v>2437</v>
      </c>
      <c r="C1044" s="1">
        <v>1</v>
      </c>
      <c r="D1044" s="4">
        <v>45278</v>
      </c>
      <c r="E1044" s="4">
        <v>45295</v>
      </c>
      <c r="F1044" s="7">
        <v>22988</v>
      </c>
      <c r="G1044" s="1">
        <v>33</v>
      </c>
      <c r="H1044" s="1">
        <v>10</v>
      </c>
      <c r="I1044" s="1">
        <v>40</v>
      </c>
      <c r="J1044" s="1">
        <v>10</v>
      </c>
      <c r="K1044" s="1">
        <v>60</v>
      </c>
      <c r="L1044" s="1">
        <v>31</v>
      </c>
      <c r="M1044" s="1">
        <v>2.42</v>
      </c>
      <c r="N1044" s="1">
        <v>7.2</v>
      </c>
      <c r="O1044" s="7">
        <v>22988</v>
      </c>
      <c r="P1044" s="4">
        <v>45278</v>
      </c>
      <c r="Q1044" s="4">
        <v>45295</v>
      </c>
      <c r="R1044" s="1" t="s">
        <v>80</v>
      </c>
      <c r="AO1044" s="7">
        <v>22988</v>
      </c>
      <c r="AP1044" s="5">
        <v>8.6</v>
      </c>
      <c r="AQ1044" s="5">
        <v>95</v>
      </c>
      <c r="AR1044" s="5">
        <v>41.8</v>
      </c>
      <c r="AS1044" s="5">
        <v>77</v>
      </c>
      <c r="AT1044" s="5">
        <v>63</v>
      </c>
      <c r="AU1044" s="5">
        <v>25</v>
      </c>
      <c r="AV1044" s="5">
        <v>46.9</v>
      </c>
      <c r="AW1044" s="5">
        <v>8.67</v>
      </c>
      <c r="AX1044" s="5">
        <v>69</v>
      </c>
      <c r="AY1044" s="5" t="s">
        <v>125</v>
      </c>
      <c r="AZ1044" s="5" t="s">
        <v>75</v>
      </c>
      <c r="BA1044" s="5" t="s">
        <v>76</v>
      </c>
      <c r="BB1044" s="12" t="s">
        <v>76</v>
      </c>
      <c r="BC1044" s="5">
        <v>4.21</v>
      </c>
      <c r="BD1044" s="5">
        <v>95</v>
      </c>
      <c r="BE1044" s="5" t="s">
        <v>76</v>
      </c>
      <c r="BF1044" s="5" t="s">
        <v>76</v>
      </c>
      <c r="BG1044" s="15">
        <v>36.5</v>
      </c>
      <c r="BH1044" s="5">
        <v>78</v>
      </c>
      <c r="BI1044" s="5">
        <v>78</v>
      </c>
      <c r="BJ1044" s="5">
        <v>15</v>
      </c>
      <c r="BK1044" s="5">
        <v>142</v>
      </c>
      <c r="BL1044" s="5">
        <v>105</v>
      </c>
      <c r="BM1044" s="5">
        <v>60</v>
      </c>
      <c r="BN1044" s="5">
        <v>165</v>
      </c>
      <c r="BO1044" s="5">
        <f t="shared" si="16"/>
        <v>22.038567493113</v>
      </c>
      <c r="BP1044" s="5" t="s">
        <v>1450</v>
      </c>
      <c r="BQ1044" s="5">
        <v>6.3</v>
      </c>
      <c r="BR1044" s="5">
        <v>975</v>
      </c>
    </row>
    <row r="1045" s="1" customFormat="1" spans="1:70">
      <c r="A1045" s="1">
        <v>3496356</v>
      </c>
      <c r="B1045" s="1" t="s">
        <v>2438</v>
      </c>
      <c r="C1045" s="1">
        <v>1</v>
      </c>
      <c r="D1045" s="4">
        <v>45261</v>
      </c>
      <c r="E1045" s="4">
        <v>45282</v>
      </c>
      <c r="F1045" s="7">
        <v>23003</v>
      </c>
      <c r="G1045" s="1">
        <v>36</v>
      </c>
      <c r="H1045" s="1">
        <v>10</v>
      </c>
      <c r="I1045" s="1">
        <v>51</v>
      </c>
      <c r="J1045" s="1">
        <v>9</v>
      </c>
      <c r="K1045" s="1">
        <v>56</v>
      </c>
      <c r="L1045" s="1">
        <v>29</v>
      </c>
      <c r="M1045" s="1">
        <v>0.76</v>
      </c>
      <c r="N1045" s="1">
        <v>9.2</v>
      </c>
      <c r="O1045" s="7">
        <v>23003</v>
      </c>
      <c r="P1045" s="4">
        <v>45261</v>
      </c>
      <c r="Q1045" s="4">
        <v>45282</v>
      </c>
      <c r="R1045" s="1" t="s">
        <v>80</v>
      </c>
      <c r="AO1045" s="7">
        <v>23003</v>
      </c>
      <c r="AP1045" s="5">
        <v>9.3</v>
      </c>
      <c r="AQ1045" s="5">
        <v>142</v>
      </c>
      <c r="AR1045" s="5">
        <v>45</v>
      </c>
      <c r="AS1045" s="5" t="s">
        <v>374</v>
      </c>
      <c r="AT1045" s="5">
        <v>89</v>
      </c>
      <c r="AU1045" s="5">
        <v>53</v>
      </c>
      <c r="AV1045" s="5">
        <v>41.6</v>
      </c>
      <c r="AW1045" s="5">
        <v>8.35</v>
      </c>
      <c r="AX1045" s="5">
        <v>55</v>
      </c>
      <c r="AY1045" s="5" t="s">
        <v>125</v>
      </c>
      <c r="AZ1045" s="5" t="s">
        <v>75</v>
      </c>
      <c r="BA1045" s="5" t="s">
        <v>76</v>
      </c>
      <c r="BB1045" s="12" t="s">
        <v>76</v>
      </c>
      <c r="BC1045" s="5">
        <v>4.73</v>
      </c>
      <c r="BD1045" s="5">
        <v>142</v>
      </c>
      <c r="BE1045" s="5" t="s">
        <v>76</v>
      </c>
      <c r="BF1045" s="5" t="s">
        <v>76</v>
      </c>
      <c r="BG1045" s="15">
        <v>36.8</v>
      </c>
      <c r="BH1045" s="5">
        <v>68</v>
      </c>
      <c r="BI1045" s="5">
        <v>68</v>
      </c>
      <c r="BJ1045" s="5">
        <v>17</v>
      </c>
      <c r="BK1045" s="5">
        <v>150</v>
      </c>
      <c r="BL1045" s="5">
        <v>111</v>
      </c>
      <c r="BM1045" s="5">
        <v>78</v>
      </c>
      <c r="BN1045" s="5">
        <v>173</v>
      </c>
      <c r="BO1045" s="5">
        <f t="shared" si="16"/>
        <v>26.0616793076949</v>
      </c>
      <c r="BP1045" s="5" t="s">
        <v>1450</v>
      </c>
      <c r="BQ1045" s="5">
        <v>5.7</v>
      </c>
      <c r="BR1045" s="5">
        <v>949</v>
      </c>
    </row>
    <row r="1046" s="1" customFormat="1" spans="1:70">
      <c r="A1046" s="1">
        <v>3319749</v>
      </c>
      <c r="B1046" s="1" t="s">
        <v>2439</v>
      </c>
      <c r="D1046" s="4">
        <v>45018</v>
      </c>
      <c r="E1046" s="4">
        <v>45040</v>
      </c>
      <c r="F1046" s="7">
        <v>23015</v>
      </c>
      <c r="G1046" s="1">
        <v>52</v>
      </c>
      <c r="I1046" s="1">
        <v>16</v>
      </c>
      <c r="K1046" s="1">
        <v>60</v>
      </c>
      <c r="L1046" s="1">
        <v>32</v>
      </c>
      <c r="M1046" s="1">
        <v>0.84</v>
      </c>
      <c r="N1046" s="1">
        <v>21.6</v>
      </c>
      <c r="O1046" s="7">
        <v>23015</v>
      </c>
      <c r="P1046" s="4">
        <v>45018</v>
      </c>
      <c r="Q1046" s="4">
        <v>45040</v>
      </c>
      <c r="R1046" s="1" t="s">
        <v>80</v>
      </c>
      <c r="AO1046" s="7">
        <v>23015</v>
      </c>
      <c r="AP1046" s="5">
        <v>4.6</v>
      </c>
      <c r="AQ1046" s="5">
        <v>109</v>
      </c>
      <c r="AR1046" s="5">
        <v>34</v>
      </c>
      <c r="AS1046" s="5" t="s">
        <v>81</v>
      </c>
      <c r="AT1046" s="5">
        <v>30</v>
      </c>
      <c r="AU1046" s="5">
        <v>9</v>
      </c>
      <c r="AV1046" s="5">
        <v>26</v>
      </c>
      <c r="AW1046" s="5">
        <v>19.26</v>
      </c>
      <c r="AX1046" s="5">
        <v>263</v>
      </c>
      <c r="AY1046" s="5">
        <v>24.41</v>
      </c>
      <c r="AZ1046" s="5">
        <v>4.12</v>
      </c>
      <c r="BA1046" s="5">
        <v>3.67</v>
      </c>
      <c r="BB1046" s="12" t="s">
        <v>76</v>
      </c>
      <c r="BC1046" s="5">
        <v>3.73</v>
      </c>
      <c r="BD1046" s="5">
        <v>109</v>
      </c>
      <c r="BE1046" s="5">
        <v>1.01</v>
      </c>
      <c r="BF1046" s="5">
        <v>2</v>
      </c>
      <c r="BG1046" s="15">
        <v>36.5</v>
      </c>
      <c r="BH1046" s="5">
        <v>76</v>
      </c>
      <c r="BI1046" s="5" t="s">
        <v>76</v>
      </c>
      <c r="BJ1046" s="5">
        <v>15</v>
      </c>
      <c r="BK1046" s="5">
        <v>126</v>
      </c>
      <c r="BL1046" s="5">
        <v>78</v>
      </c>
      <c r="BM1046" s="5">
        <v>55</v>
      </c>
      <c r="BN1046" s="5">
        <v>170</v>
      </c>
      <c r="BO1046" s="5">
        <f t="shared" si="16"/>
        <v>19.0311418685121</v>
      </c>
      <c r="BP1046" s="5" t="s">
        <v>300</v>
      </c>
      <c r="BQ1046" s="5" t="s">
        <v>76</v>
      </c>
      <c r="BR1046" s="5" t="s">
        <v>118</v>
      </c>
    </row>
    <row r="1047" s="1" customFormat="1" spans="1:70">
      <c r="A1047" s="1" t="s">
        <v>2440</v>
      </c>
      <c r="B1047" s="1" t="s">
        <v>2441</v>
      </c>
      <c r="D1047" s="4">
        <v>44980</v>
      </c>
      <c r="E1047" s="4">
        <v>45008</v>
      </c>
      <c r="F1047" s="7">
        <v>23046</v>
      </c>
      <c r="G1047" s="1">
        <v>37</v>
      </c>
      <c r="H1047" s="1">
        <v>12</v>
      </c>
      <c r="I1047" s="1">
        <v>47</v>
      </c>
      <c r="J1047" s="1">
        <v>12</v>
      </c>
      <c r="K1047" s="1">
        <v>56</v>
      </c>
      <c r="L1047" s="1">
        <v>29</v>
      </c>
      <c r="M1047" s="1">
        <v>1.67</v>
      </c>
      <c r="N1047" s="1">
        <v>22.4</v>
      </c>
      <c r="O1047" s="7">
        <v>23046</v>
      </c>
      <c r="P1047" s="4">
        <v>44980</v>
      </c>
      <c r="Q1047" s="4">
        <v>45008</v>
      </c>
      <c r="R1047" s="1" t="s">
        <v>80</v>
      </c>
      <c r="AO1047" s="7">
        <v>23046</v>
      </c>
      <c r="AP1047" s="5" t="s">
        <v>463</v>
      </c>
      <c r="AQ1047" s="5" t="s">
        <v>972</v>
      </c>
      <c r="AR1047" s="5" t="s">
        <v>285</v>
      </c>
      <c r="AS1047" s="5" t="s">
        <v>81</v>
      </c>
      <c r="AT1047" s="5" t="s">
        <v>293</v>
      </c>
      <c r="AU1047" s="5" t="s">
        <v>93</v>
      </c>
      <c r="AV1047" s="5" t="s">
        <v>1674</v>
      </c>
      <c r="AW1047" s="5" t="s">
        <v>2442</v>
      </c>
      <c r="AX1047" s="5" t="s">
        <v>422</v>
      </c>
      <c r="AY1047" s="5" t="s">
        <v>125</v>
      </c>
      <c r="AZ1047" s="5" t="s">
        <v>75</v>
      </c>
      <c r="BA1047" s="5" t="s">
        <v>2314</v>
      </c>
      <c r="BB1047" s="12" t="s">
        <v>76</v>
      </c>
      <c r="BC1047" s="5" t="s">
        <v>4</v>
      </c>
      <c r="BD1047" s="5" t="s">
        <v>972</v>
      </c>
      <c r="BE1047" s="5" t="s">
        <v>1997</v>
      </c>
      <c r="BF1047" s="5" t="s">
        <v>2443</v>
      </c>
      <c r="BG1047" s="15">
        <v>36.3</v>
      </c>
      <c r="BH1047" s="5" t="s">
        <v>103</v>
      </c>
      <c r="BI1047" s="5" t="s">
        <v>103</v>
      </c>
      <c r="BJ1047" s="5" t="s">
        <v>246</v>
      </c>
      <c r="BK1047" s="5" t="s">
        <v>1771</v>
      </c>
      <c r="BL1047" s="5" t="s">
        <v>336</v>
      </c>
      <c r="BM1047" s="5" t="s">
        <v>215</v>
      </c>
      <c r="BN1047" s="5">
        <v>160</v>
      </c>
      <c r="BO1047" s="5">
        <f t="shared" si="16"/>
        <v>23.4375</v>
      </c>
      <c r="BP1047" s="5" t="s">
        <v>353</v>
      </c>
      <c r="BQ1047" s="5" t="s">
        <v>76</v>
      </c>
      <c r="BR1047" s="5">
        <v>3692</v>
      </c>
    </row>
    <row r="1048" s="1" customFormat="1" spans="1:70">
      <c r="A1048" s="1" t="s">
        <v>2444</v>
      </c>
      <c r="B1048" s="1" t="s">
        <v>2441</v>
      </c>
      <c r="D1048" s="4">
        <v>45023</v>
      </c>
      <c r="E1048" s="4">
        <v>45037</v>
      </c>
      <c r="F1048" s="7">
        <v>23046</v>
      </c>
      <c r="G1048" s="1">
        <v>38</v>
      </c>
      <c r="H1048" s="1">
        <v>12</v>
      </c>
      <c r="I1048" s="1">
        <v>46</v>
      </c>
      <c r="J1048" s="1">
        <v>12</v>
      </c>
      <c r="K1048" s="1">
        <v>66</v>
      </c>
      <c r="L1048" s="1">
        <v>36</v>
      </c>
      <c r="M1048" s="1">
        <v>1.76</v>
      </c>
      <c r="N1048" s="1">
        <v>19.9</v>
      </c>
      <c r="O1048" s="7">
        <v>23046</v>
      </c>
      <c r="P1048" s="4">
        <v>45023</v>
      </c>
      <c r="Q1048" s="4">
        <v>45037</v>
      </c>
      <c r="R1048" s="1" t="s">
        <v>80</v>
      </c>
      <c r="AO1048" s="7">
        <v>23046</v>
      </c>
      <c r="AP1048" s="5" t="s">
        <v>608</v>
      </c>
      <c r="AQ1048" s="5" t="s">
        <v>683</v>
      </c>
      <c r="AR1048" s="5" t="s">
        <v>2049</v>
      </c>
      <c r="AS1048" s="5" t="s">
        <v>1231</v>
      </c>
      <c r="AT1048" s="5" t="s">
        <v>606</v>
      </c>
      <c r="AU1048" s="5" t="s">
        <v>606</v>
      </c>
      <c r="AV1048" s="5" t="s">
        <v>782</v>
      </c>
      <c r="AW1048" s="5" t="s">
        <v>447</v>
      </c>
      <c r="AX1048" s="5" t="s">
        <v>228</v>
      </c>
      <c r="AY1048" s="5" t="s">
        <v>125</v>
      </c>
      <c r="AZ1048" s="5" t="s">
        <v>75</v>
      </c>
      <c r="BA1048" s="5" t="s">
        <v>76</v>
      </c>
      <c r="BB1048" s="12" t="s">
        <v>76</v>
      </c>
      <c r="BC1048" s="5" t="s">
        <v>4</v>
      </c>
      <c r="BD1048" s="5" t="s">
        <v>683</v>
      </c>
      <c r="BE1048" s="5" t="s">
        <v>76</v>
      </c>
      <c r="BF1048" s="5" t="s">
        <v>76</v>
      </c>
      <c r="BG1048" s="15">
        <v>36.4</v>
      </c>
      <c r="BH1048" s="5" t="s">
        <v>103</v>
      </c>
      <c r="BI1048" s="5" t="s">
        <v>103</v>
      </c>
      <c r="BJ1048" s="5" t="s">
        <v>246</v>
      </c>
      <c r="BK1048" s="5" t="s">
        <v>572</v>
      </c>
      <c r="BL1048" s="5" t="s">
        <v>425</v>
      </c>
      <c r="BM1048" s="5" t="s">
        <v>215</v>
      </c>
      <c r="BN1048" s="5">
        <v>160</v>
      </c>
      <c r="BO1048" s="5">
        <f t="shared" si="16"/>
        <v>23.4375</v>
      </c>
      <c r="BP1048" s="5" t="s">
        <v>353</v>
      </c>
      <c r="BQ1048" s="5" t="s">
        <v>76</v>
      </c>
      <c r="BR1048" s="5">
        <v>3937</v>
      </c>
    </row>
    <row r="1049" s="1" customFormat="1" spans="1:70">
      <c r="A1049" s="1">
        <v>3313609</v>
      </c>
      <c r="B1049" s="1" t="s">
        <v>2445</v>
      </c>
      <c r="C1049" s="1">
        <v>1</v>
      </c>
      <c r="D1049" s="4">
        <v>45008</v>
      </c>
      <c r="E1049" s="4">
        <v>45016</v>
      </c>
      <c r="F1049" s="7">
        <v>23051</v>
      </c>
      <c r="G1049" s="1">
        <v>43</v>
      </c>
      <c r="H1049" s="1">
        <v>9</v>
      </c>
      <c r="I1049" s="1">
        <v>44</v>
      </c>
      <c r="J1049" s="1">
        <v>9</v>
      </c>
      <c r="K1049" s="1">
        <v>57</v>
      </c>
      <c r="L1049" s="1">
        <v>30</v>
      </c>
      <c r="M1049" s="1">
        <v>1.05</v>
      </c>
      <c r="N1049" s="1">
        <v>14.5</v>
      </c>
      <c r="O1049" s="7">
        <v>23051</v>
      </c>
      <c r="P1049" s="4">
        <v>45008</v>
      </c>
      <c r="Q1049" s="4">
        <v>45016</v>
      </c>
      <c r="R1049" s="1" t="s">
        <v>80</v>
      </c>
      <c r="AO1049" s="7">
        <v>23051</v>
      </c>
      <c r="AP1049" s="5">
        <v>8.5</v>
      </c>
      <c r="AQ1049" s="5">
        <v>136</v>
      </c>
      <c r="AR1049" s="5">
        <v>40.9</v>
      </c>
      <c r="AS1049" s="5">
        <v>8.1</v>
      </c>
      <c r="AT1049" s="5">
        <v>92</v>
      </c>
      <c r="AU1049" s="5">
        <v>26</v>
      </c>
      <c r="AV1049" s="5">
        <v>42.8</v>
      </c>
      <c r="AW1049" s="5">
        <v>3.9</v>
      </c>
      <c r="AX1049" s="5">
        <v>57</v>
      </c>
      <c r="AY1049" s="5" t="s">
        <v>125</v>
      </c>
      <c r="AZ1049" s="5">
        <v>9.74</v>
      </c>
      <c r="BA1049" s="5">
        <v>3.31</v>
      </c>
      <c r="BB1049" s="12" t="s">
        <v>76</v>
      </c>
      <c r="BC1049" s="5">
        <v>4.07</v>
      </c>
      <c r="BD1049" s="5">
        <v>136</v>
      </c>
      <c r="BE1049" s="5">
        <v>0.86</v>
      </c>
      <c r="BF1049" s="5">
        <v>2.06</v>
      </c>
      <c r="BG1049" s="15">
        <v>36.8</v>
      </c>
      <c r="BH1049" s="5">
        <v>75</v>
      </c>
      <c r="BI1049" s="5">
        <v>75</v>
      </c>
      <c r="BJ1049" s="5">
        <v>17</v>
      </c>
      <c r="BK1049" s="5">
        <v>141</v>
      </c>
      <c r="BL1049" s="5">
        <v>89</v>
      </c>
      <c r="BM1049" s="5">
        <v>70</v>
      </c>
      <c r="BN1049" s="5">
        <v>170</v>
      </c>
      <c r="BO1049" s="5">
        <f t="shared" si="16"/>
        <v>24.2214532871972</v>
      </c>
      <c r="BP1049" s="5" t="s">
        <v>78</v>
      </c>
      <c r="BQ1049" s="5">
        <v>6.6</v>
      </c>
      <c r="BR1049" s="5">
        <v>926</v>
      </c>
    </row>
    <row r="1050" s="1" customFormat="1" spans="1:70">
      <c r="A1050" s="1">
        <v>3252858</v>
      </c>
      <c r="B1050" s="1" t="s">
        <v>2446</v>
      </c>
      <c r="D1050" s="4">
        <v>44907</v>
      </c>
      <c r="E1050" s="4">
        <v>44915</v>
      </c>
      <c r="F1050" s="7">
        <v>23060</v>
      </c>
      <c r="G1050" s="1">
        <v>47</v>
      </c>
      <c r="H1050" s="1">
        <v>8</v>
      </c>
      <c r="I1050" s="1">
        <v>69</v>
      </c>
      <c r="J1050" s="1">
        <v>8</v>
      </c>
      <c r="K1050" s="1">
        <v>22</v>
      </c>
      <c r="L1050" s="1">
        <v>10</v>
      </c>
      <c r="M1050" s="1">
        <v>2.3</v>
      </c>
      <c r="N1050" s="1">
        <v>18.7</v>
      </c>
      <c r="O1050" s="7">
        <v>23060</v>
      </c>
      <c r="P1050" s="4">
        <v>44907</v>
      </c>
      <c r="Q1050" s="4">
        <v>44915</v>
      </c>
      <c r="R1050" s="1" t="s">
        <v>80</v>
      </c>
      <c r="AO1050" s="7">
        <v>23060</v>
      </c>
      <c r="AP1050" s="5">
        <v>6.2</v>
      </c>
      <c r="AQ1050" s="5">
        <v>117</v>
      </c>
      <c r="AR1050" s="5">
        <v>39.5</v>
      </c>
      <c r="AS1050" s="5" t="s">
        <v>76</v>
      </c>
      <c r="AT1050" s="5">
        <v>22</v>
      </c>
      <c r="AU1050" s="5">
        <v>18</v>
      </c>
      <c r="AV1050" s="5">
        <v>28.7</v>
      </c>
      <c r="AW1050" s="5">
        <v>7.88</v>
      </c>
      <c r="AX1050" s="5">
        <v>102</v>
      </c>
      <c r="AY1050" s="5">
        <v>68.92</v>
      </c>
      <c r="AZ1050" s="5">
        <v>5.16</v>
      </c>
      <c r="BA1050" s="5">
        <v>3.92</v>
      </c>
      <c r="BB1050" s="12" t="s">
        <v>76</v>
      </c>
      <c r="BC1050" s="5">
        <v>4.14</v>
      </c>
      <c r="BD1050" s="5">
        <v>117</v>
      </c>
      <c r="BE1050" s="5">
        <v>1.36</v>
      </c>
      <c r="BF1050" s="5">
        <v>2.29</v>
      </c>
      <c r="BG1050" s="15">
        <v>36.2</v>
      </c>
      <c r="BH1050" s="5">
        <v>78</v>
      </c>
      <c r="BI1050" s="5">
        <v>78</v>
      </c>
      <c r="BJ1050" s="5">
        <v>18</v>
      </c>
      <c r="BK1050" s="5">
        <v>130</v>
      </c>
      <c r="BL1050" s="5">
        <v>90</v>
      </c>
      <c r="BM1050" s="5">
        <v>70</v>
      </c>
      <c r="BN1050" s="5">
        <v>164</v>
      </c>
      <c r="BO1050" s="5">
        <f t="shared" si="16"/>
        <v>26.0261748958953</v>
      </c>
      <c r="BP1050" s="5" t="s">
        <v>588</v>
      </c>
      <c r="BQ1050" s="5">
        <v>9.2</v>
      </c>
      <c r="BR1050" s="5">
        <v>28178</v>
      </c>
    </row>
    <row r="1051" s="1" customFormat="1" spans="1:70">
      <c r="A1051" s="1">
        <v>3310693</v>
      </c>
      <c r="B1051" s="1" t="s">
        <v>2447</v>
      </c>
      <c r="D1051" s="4">
        <v>45005</v>
      </c>
      <c r="E1051" s="4">
        <v>45008</v>
      </c>
      <c r="F1051" s="7">
        <v>23061</v>
      </c>
      <c r="G1051" s="1">
        <v>84</v>
      </c>
      <c r="H1051" s="1">
        <v>8</v>
      </c>
      <c r="I1051" s="1">
        <v>51</v>
      </c>
      <c r="J1051" s="1">
        <v>8</v>
      </c>
      <c r="K1051" s="1">
        <v>59</v>
      </c>
      <c r="L1051" s="1">
        <v>31</v>
      </c>
      <c r="O1051" s="7">
        <v>23061</v>
      </c>
      <c r="P1051" s="4">
        <v>45005</v>
      </c>
      <c r="Q1051" s="4">
        <v>45008</v>
      </c>
      <c r="R1051" s="1" t="s">
        <v>80</v>
      </c>
      <c r="AO1051" s="7">
        <v>23061</v>
      </c>
      <c r="AP1051" s="5">
        <v>3</v>
      </c>
      <c r="AQ1051" s="5">
        <v>116</v>
      </c>
      <c r="AR1051" s="5">
        <v>35.7</v>
      </c>
      <c r="AS1051" s="5" t="s">
        <v>76</v>
      </c>
      <c r="AT1051" s="5">
        <v>36</v>
      </c>
      <c r="AU1051" s="5">
        <v>27</v>
      </c>
      <c r="AV1051" s="5">
        <v>40.6</v>
      </c>
      <c r="AW1051" s="5">
        <v>12.49</v>
      </c>
      <c r="AX1051" s="5">
        <v>69</v>
      </c>
      <c r="AY1051" s="5">
        <v>107.84</v>
      </c>
      <c r="AZ1051" s="5">
        <v>3.8</v>
      </c>
      <c r="BA1051" s="5">
        <v>2.79</v>
      </c>
      <c r="BB1051" s="12" t="s">
        <v>76</v>
      </c>
      <c r="BC1051" s="5">
        <v>4.36</v>
      </c>
      <c r="BD1051" s="5">
        <v>116</v>
      </c>
      <c r="BE1051" s="5">
        <v>1.39</v>
      </c>
      <c r="BF1051" s="5">
        <v>1.26</v>
      </c>
      <c r="BG1051" s="15">
        <v>36.5</v>
      </c>
      <c r="BH1051" s="5">
        <v>56</v>
      </c>
      <c r="BI1051" s="5">
        <v>56</v>
      </c>
      <c r="BJ1051" s="5">
        <v>17</v>
      </c>
      <c r="BK1051" s="5">
        <v>108</v>
      </c>
      <c r="BL1051" s="5">
        <v>57</v>
      </c>
      <c r="BM1051" s="5">
        <v>108</v>
      </c>
      <c r="BN1051" s="5">
        <v>167</v>
      </c>
      <c r="BO1051" s="5">
        <f t="shared" si="16"/>
        <v>38.724945318943</v>
      </c>
      <c r="BP1051" s="5" t="s">
        <v>121</v>
      </c>
      <c r="BQ1051" s="5" t="s">
        <v>76</v>
      </c>
      <c r="BR1051" s="5">
        <v>2417</v>
      </c>
    </row>
    <row r="1052" s="1" customFormat="1" spans="1:70">
      <c r="A1052" s="1">
        <v>3262656</v>
      </c>
      <c r="B1052" s="1" t="s">
        <v>2448</v>
      </c>
      <c r="D1052" s="4">
        <v>44932</v>
      </c>
      <c r="E1052" s="4">
        <v>44944</v>
      </c>
      <c r="F1052" s="7">
        <v>23068</v>
      </c>
      <c r="G1052" s="1">
        <v>40</v>
      </c>
      <c r="H1052" s="1">
        <v>9</v>
      </c>
      <c r="I1052" s="1">
        <v>45</v>
      </c>
      <c r="J1052" s="1">
        <v>9</v>
      </c>
      <c r="K1052" s="1">
        <v>60</v>
      </c>
      <c r="L1052" s="1">
        <v>32</v>
      </c>
      <c r="M1052" s="1">
        <v>0.74</v>
      </c>
      <c r="N1052" s="1">
        <v>5.5</v>
      </c>
      <c r="O1052" s="7">
        <v>23068</v>
      </c>
      <c r="P1052" s="4">
        <v>44932</v>
      </c>
      <c r="Q1052" s="4">
        <v>44944</v>
      </c>
      <c r="R1052" s="1" t="s">
        <v>80</v>
      </c>
      <c r="AO1052" s="7">
        <v>23068</v>
      </c>
      <c r="AP1052" s="5">
        <v>6</v>
      </c>
      <c r="AQ1052" s="5">
        <v>140</v>
      </c>
      <c r="AR1052" s="5">
        <v>46.1</v>
      </c>
      <c r="AS1052" s="5">
        <v>161.6</v>
      </c>
      <c r="AT1052" s="5">
        <v>114</v>
      </c>
      <c r="AU1052" s="5">
        <v>39</v>
      </c>
      <c r="AV1052" s="5">
        <v>31.4</v>
      </c>
      <c r="AW1052" s="5">
        <v>23.77</v>
      </c>
      <c r="AX1052" s="5">
        <v>898</v>
      </c>
      <c r="AY1052" s="5" t="s">
        <v>76</v>
      </c>
      <c r="AZ1052" s="5" t="s">
        <v>76</v>
      </c>
      <c r="BA1052" s="5">
        <v>3.24</v>
      </c>
      <c r="BB1052" s="12" t="s">
        <v>76</v>
      </c>
      <c r="BC1052" s="5">
        <v>4.22</v>
      </c>
      <c r="BD1052" s="5">
        <v>140</v>
      </c>
      <c r="BE1052" s="5" t="s">
        <v>76</v>
      </c>
      <c r="BF1052" s="5" t="s">
        <v>76</v>
      </c>
      <c r="BG1052" s="15">
        <v>36.9</v>
      </c>
      <c r="BH1052" s="5">
        <v>88</v>
      </c>
      <c r="BI1052" s="5" t="s">
        <v>76</v>
      </c>
      <c r="BJ1052" s="5">
        <v>20</v>
      </c>
      <c r="BK1052" s="5">
        <v>85</v>
      </c>
      <c r="BL1052" s="5">
        <v>60</v>
      </c>
      <c r="BM1052" s="5">
        <v>75</v>
      </c>
      <c r="BN1052" s="5">
        <v>171</v>
      </c>
      <c r="BO1052" s="5">
        <f t="shared" si="16"/>
        <v>25.6489176156766</v>
      </c>
      <c r="BP1052" s="5" t="s">
        <v>415</v>
      </c>
      <c r="BQ1052" s="5" t="s">
        <v>76</v>
      </c>
      <c r="BR1052" s="5">
        <v>4341</v>
      </c>
    </row>
    <row r="1053" s="1" customFormat="1" spans="1:70">
      <c r="A1053" s="1">
        <v>3329926</v>
      </c>
      <c r="B1053" s="1" t="s">
        <v>2449</v>
      </c>
      <c r="C1053" s="1">
        <v>1</v>
      </c>
      <c r="D1053" s="4">
        <v>45033</v>
      </c>
      <c r="E1053" s="4">
        <v>45038</v>
      </c>
      <c r="F1053" s="7">
        <v>23074</v>
      </c>
      <c r="G1053" s="1">
        <v>48</v>
      </c>
      <c r="H1053" s="1">
        <v>9</v>
      </c>
      <c r="I1053" s="1">
        <v>44</v>
      </c>
      <c r="J1053" s="1">
        <v>9</v>
      </c>
      <c r="K1053" s="1">
        <v>56</v>
      </c>
      <c r="O1053" s="7">
        <v>23074</v>
      </c>
      <c r="P1053" s="4">
        <v>45033</v>
      </c>
      <c r="Q1053" s="4">
        <v>45038</v>
      </c>
      <c r="R1053" s="1" t="s">
        <v>73</v>
      </c>
      <c r="AO1053" s="7">
        <v>23074</v>
      </c>
      <c r="AP1053" s="5">
        <v>8</v>
      </c>
      <c r="AQ1053" s="5">
        <v>105</v>
      </c>
      <c r="AR1053" s="5">
        <v>33.8</v>
      </c>
      <c r="AS1053" s="5" t="s">
        <v>81</v>
      </c>
      <c r="AT1053" s="5">
        <v>29</v>
      </c>
      <c r="AU1053" s="5">
        <v>19</v>
      </c>
      <c r="AV1053" s="5">
        <v>53.1</v>
      </c>
      <c r="AW1053" s="5">
        <v>15.26</v>
      </c>
      <c r="AX1053" s="5">
        <v>165</v>
      </c>
      <c r="AY1053" s="5">
        <v>29.26</v>
      </c>
      <c r="AZ1053" s="5" t="s">
        <v>75</v>
      </c>
      <c r="BA1053" s="5">
        <v>4.16</v>
      </c>
      <c r="BB1053" s="12" t="s">
        <v>76</v>
      </c>
      <c r="BC1053" s="5">
        <v>4.54</v>
      </c>
      <c r="BD1053" s="5">
        <v>105</v>
      </c>
      <c r="BE1053" s="5">
        <v>0.59</v>
      </c>
      <c r="BF1053" s="5">
        <v>2.63</v>
      </c>
      <c r="BG1053" s="15">
        <v>36.3</v>
      </c>
      <c r="BH1053" s="5">
        <v>65</v>
      </c>
      <c r="BI1053" s="5">
        <v>65</v>
      </c>
      <c r="BJ1053" s="5">
        <v>17</v>
      </c>
      <c r="BK1053" s="5">
        <v>132</v>
      </c>
      <c r="BL1053" s="5">
        <v>76</v>
      </c>
      <c r="BM1053" s="5">
        <v>50</v>
      </c>
      <c r="BN1053" s="5">
        <v>160</v>
      </c>
      <c r="BO1053" s="5">
        <f t="shared" si="16"/>
        <v>19.53125</v>
      </c>
      <c r="BP1053" s="5" t="s">
        <v>121</v>
      </c>
      <c r="BQ1053" s="5">
        <v>6.7</v>
      </c>
      <c r="BR1053" s="5">
        <v>1316</v>
      </c>
    </row>
    <row r="1054" s="1" customFormat="1" spans="1:70">
      <c r="A1054" s="1">
        <v>3303870</v>
      </c>
      <c r="B1054" s="1" t="s">
        <v>2450</v>
      </c>
      <c r="D1054" s="4">
        <v>44995</v>
      </c>
      <c r="E1054" s="4">
        <v>45001</v>
      </c>
      <c r="F1054" s="7">
        <v>23089</v>
      </c>
      <c r="G1054" s="1">
        <v>44</v>
      </c>
      <c r="H1054" s="1">
        <v>8</v>
      </c>
      <c r="I1054" s="1">
        <v>70</v>
      </c>
      <c r="J1054" s="1">
        <v>8</v>
      </c>
      <c r="K1054" s="1">
        <v>30</v>
      </c>
      <c r="N1054" s="1">
        <v>11.1</v>
      </c>
      <c r="O1054" s="7">
        <v>23089</v>
      </c>
      <c r="P1054" s="4">
        <v>44995</v>
      </c>
      <c r="Q1054" s="4">
        <v>45001</v>
      </c>
      <c r="R1054" s="1" t="s">
        <v>80</v>
      </c>
      <c r="AO1054" s="7">
        <v>23089</v>
      </c>
      <c r="AP1054" s="5">
        <v>5.4</v>
      </c>
      <c r="AQ1054" s="5">
        <v>157</v>
      </c>
      <c r="AR1054" s="5">
        <v>48.3</v>
      </c>
      <c r="AS1054" s="5" t="s">
        <v>81</v>
      </c>
      <c r="AT1054" s="5">
        <v>29</v>
      </c>
      <c r="AU1054" s="5">
        <v>26</v>
      </c>
      <c r="AV1054" s="5">
        <v>42.4</v>
      </c>
      <c r="AW1054" s="5">
        <v>14.16</v>
      </c>
      <c r="AX1054" s="5">
        <v>85</v>
      </c>
      <c r="AY1054" s="5">
        <v>85.06</v>
      </c>
      <c r="AZ1054" s="5">
        <v>8.8</v>
      </c>
      <c r="BA1054" s="5">
        <v>4.82</v>
      </c>
      <c r="BB1054" s="12" t="s">
        <v>76</v>
      </c>
      <c r="BC1054" s="5">
        <v>4.73</v>
      </c>
      <c r="BD1054" s="5">
        <v>157</v>
      </c>
      <c r="BE1054" s="5">
        <v>1.46</v>
      </c>
      <c r="BF1054" s="5">
        <v>3.21</v>
      </c>
      <c r="BG1054" s="15">
        <v>36</v>
      </c>
      <c r="BH1054" s="5">
        <v>60</v>
      </c>
      <c r="BI1054" s="5">
        <v>60</v>
      </c>
      <c r="BJ1054" s="5">
        <v>16</v>
      </c>
      <c r="BK1054" s="5">
        <v>113</v>
      </c>
      <c r="BL1054" s="5">
        <v>58</v>
      </c>
      <c r="BM1054" s="5">
        <v>68</v>
      </c>
      <c r="BN1054" s="5">
        <v>172</v>
      </c>
      <c r="BO1054" s="5">
        <f t="shared" si="16"/>
        <v>22.9853975121687</v>
      </c>
      <c r="BP1054" s="5" t="s">
        <v>107</v>
      </c>
      <c r="BQ1054" s="5">
        <v>8.6</v>
      </c>
      <c r="BR1054" s="5">
        <v>3588</v>
      </c>
    </row>
    <row r="1055" s="1" customFormat="1" spans="1:70">
      <c r="A1055" s="1">
        <v>3275573</v>
      </c>
      <c r="B1055" s="1" t="s">
        <v>2451</v>
      </c>
      <c r="D1055" s="4">
        <v>44969</v>
      </c>
      <c r="E1055" s="4">
        <v>44973</v>
      </c>
      <c r="F1055" s="7">
        <v>23092</v>
      </c>
      <c r="G1055" s="1">
        <v>45</v>
      </c>
      <c r="H1055" s="1">
        <v>10</v>
      </c>
      <c r="I1055" s="1">
        <v>50</v>
      </c>
      <c r="J1055" s="1">
        <v>10</v>
      </c>
      <c r="K1055" s="1">
        <v>65</v>
      </c>
      <c r="L1055" s="1">
        <v>35</v>
      </c>
      <c r="N1055" s="1">
        <v>10</v>
      </c>
      <c r="O1055" s="7">
        <v>23092</v>
      </c>
      <c r="P1055" s="4">
        <v>44969</v>
      </c>
      <c r="Q1055" s="4">
        <v>44973</v>
      </c>
      <c r="R1055" s="1" t="s">
        <v>73</v>
      </c>
      <c r="AO1055" s="7">
        <v>23092</v>
      </c>
      <c r="AP1055" s="5">
        <v>6.6</v>
      </c>
      <c r="AQ1055" s="5">
        <v>113</v>
      </c>
      <c r="AR1055" s="5">
        <v>35.4</v>
      </c>
      <c r="AS1055" s="5">
        <v>3</v>
      </c>
      <c r="AT1055" s="5">
        <v>55</v>
      </c>
      <c r="AU1055" s="5">
        <v>89</v>
      </c>
      <c r="AV1055" s="5">
        <v>38.7</v>
      </c>
      <c r="AW1055" s="5">
        <v>7.12</v>
      </c>
      <c r="AX1055" s="5">
        <v>44</v>
      </c>
      <c r="AY1055" s="5" t="s">
        <v>125</v>
      </c>
      <c r="AZ1055" s="5" t="s">
        <v>75</v>
      </c>
      <c r="BA1055" s="5" t="s">
        <v>76</v>
      </c>
      <c r="BB1055" s="12" t="s">
        <v>76</v>
      </c>
      <c r="BC1055" s="5">
        <v>4.06</v>
      </c>
      <c r="BD1055" s="5">
        <v>113</v>
      </c>
      <c r="BE1055" s="5" t="s">
        <v>76</v>
      </c>
      <c r="BF1055" s="5" t="s">
        <v>76</v>
      </c>
      <c r="BG1055" s="15">
        <v>36.5</v>
      </c>
      <c r="BH1055" s="5">
        <v>74</v>
      </c>
      <c r="BI1055" s="5" t="s">
        <v>76</v>
      </c>
      <c r="BJ1055" s="5">
        <v>17</v>
      </c>
      <c r="BK1055" s="5">
        <v>161</v>
      </c>
      <c r="BL1055" s="5">
        <v>112</v>
      </c>
      <c r="BM1055" s="5">
        <v>82</v>
      </c>
      <c r="BN1055" s="5">
        <v>161</v>
      </c>
      <c r="BO1055" s="5">
        <f t="shared" si="16"/>
        <v>31.6345819991513</v>
      </c>
      <c r="BP1055" s="5" t="s">
        <v>262</v>
      </c>
      <c r="BQ1055" s="5" t="s">
        <v>76</v>
      </c>
      <c r="BR1055" s="5">
        <v>1642</v>
      </c>
    </row>
    <row r="1056" s="1" customFormat="1" spans="1:70">
      <c r="A1056" s="1">
        <v>3309586</v>
      </c>
      <c r="B1056" s="1" t="s">
        <v>2452</v>
      </c>
      <c r="D1056" s="4">
        <v>45004</v>
      </c>
      <c r="E1056" s="4">
        <v>45009</v>
      </c>
      <c r="F1056" s="7">
        <v>23095</v>
      </c>
      <c r="G1056" s="1">
        <v>46</v>
      </c>
      <c r="H1056" s="1">
        <v>9</v>
      </c>
      <c r="I1056" s="1">
        <v>77</v>
      </c>
      <c r="J1056" s="1">
        <v>9</v>
      </c>
      <c r="K1056" s="1">
        <v>23</v>
      </c>
      <c r="L1056" s="1">
        <v>11</v>
      </c>
      <c r="M1056" s="1">
        <v>2.07</v>
      </c>
      <c r="N1056" s="1">
        <v>19.2</v>
      </c>
      <c r="O1056" s="7">
        <v>23095</v>
      </c>
      <c r="P1056" s="4">
        <v>45004</v>
      </c>
      <c r="Q1056" s="4">
        <v>45009</v>
      </c>
      <c r="R1056" s="1" t="s">
        <v>80</v>
      </c>
      <c r="AO1056" s="7">
        <v>23095</v>
      </c>
      <c r="AP1056" s="5">
        <v>3.6</v>
      </c>
      <c r="AQ1056" s="5">
        <v>157</v>
      </c>
      <c r="AR1056" s="5">
        <v>47.1</v>
      </c>
      <c r="AS1056" s="5">
        <v>2.7</v>
      </c>
      <c r="AT1056" s="5">
        <v>28</v>
      </c>
      <c r="AU1056" s="5">
        <v>25</v>
      </c>
      <c r="AV1056" s="5">
        <v>41.4</v>
      </c>
      <c r="AW1056" s="5">
        <v>8.24</v>
      </c>
      <c r="AX1056" s="5">
        <v>59</v>
      </c>
      <c r="AY1056" s="5" t="s">
        <v>125</v>
      </c>
      <c r="AZ1056" s="5" t="s">
        <v>75</v>
      </c>
      <c r="BA1056" s="5">
        <v>4.15</v>
      </c>
      <c r="BB1056" s="12" t="s">
        <v>76</v>
      </c>
      <c r="BC1056" s="5">
        <v>4.19</v>
      </c>
      <c r="BD1056" s="5">
        <v>157</v>
      </c>
      <c r="BE1056" s="5">
        <v>0.79</v>
      </c>
      <c r="BF1056" s="5">
        <v>2.27</v>
      </c>
      <c r="BG1056" s="15">
        <v>36.6</v>
      </c>
      <c r="BH1056" s="5">
        <v>65</v>
      </c>
      <c r="BI1056" s="5">
        <v>65</v>
      </c>
      <c r="BJ1056" s="5">
        <v>17</v>
      </c>
      <c r="BK1056" s="5">
        <v>125</v>
      </c>
      <c r="BL1056" s="5">
        <v>75</v>
      </c>
      <c r="BM1056" s="5">
        <v>80</v>
      </c>
      <c r="BN1056" s="5">
        <v>178</v>
      </c>
      <c r="BO1056" s="5">
        <f t="shared" si="16"/>
        <v>25.2493372048984</v>
      </c>
      <c r="BP1056" s="5" t="s">
        <v>121</v>
      </c>
      <c r="BQ1056" s="5" t="s">
        <v>76</v>
      </c>
      <c r="BR1056" s="5">
        <v>1272</v>
      </c>
    </row>
    <row r="1057" s="1" customFormat="1" spans="1:70">
      <c r="A1057" s="1">
        <v>3286912</v>
      </c>
      <c r="B1057" s="1" t="s">
        <v>2453</v>
      </c>
      <c r="D1057" s="4">
        <v>44972</v>
      </c>
      <c r="E1057" s="4">
        <v>44979</v>
      </c>
      <c r="F1057" s="7">
        <v>23119</v>
      </c>
      <c r="G1057" s="1">
        <v>34</v>
      </c>
      <c r="H1057" s="1">
        <v>9</v>
      </c>
      <c r="I1057" s="1">
        <v>49</v>
      </c>
      <c r="J1057" s="1">
        <v>9</v>
      </c>
      <c r="K1057" s="1">
        <v>58</v>
      </c>
      <c r="L1057" s="1">
        <v>31</v>
      </c>
      <c r="N1057" s="1">
        <v>5.3</v>
      </c>
      <c r="O1057" s="7">
        <v>23119</v>
      </c>
      <c r="P1057" s="4">
        <v>44972</v>
      </c>
      <c r="Q1057" s="4">
        <v>44979</v>
      </c>
      <c r="R1057" s="1" t="s">
        <v>73</v>
      </c>
      <c r="AO1057" s="7">
        <v>23119</v>
      </c>
      <c r="AP1057" s="5">
        <v>9.8</v>
      </c>
      <c r="AQ1057" s="5">
        <v>166</v>
      </c>
      <c r="AR1057" s="5">
        <v>51.9</v>
      </c>
      <c r="AS1057" s="5">
        <v>3</v>
      </c>
      <c r="AT1057" s="5">
        <v>934</v>
      </c>
      <c r="AU1057" s="5">
        <v>68</v>
      </c>
      <c r="AV1057" s="5">
        <v>38.5</v>
      </c>
      <c r="AW1057" s="5">
        <v>9.6</v>
      </c>
      <c r="AX1057" s="5">
        <v>97</v>
      </c>
      <c r="AY1057" s="5">
        <v>54.2</v>
      </c>
      <c r="AZ1057" s="5" t="s">
        <v>75</v>
      </c>
      <c r="BA1057" s="5">
        <v>2.17</v>
      </c>
      <c r="BB1057" s="12" t="s">
        <v>76</v>
      </c>
      <c r="BC1057" s="5">
        <v>6.8</v>
      </c>
      <c r="BD1057" s="5">
        <v>166</v>
      </c>
      <c r="BE1057" s="5" t="s">
        <v>76</v>
      </c>
      <c r="BF1057" s="5" t="s">
        <v>76</v>
      </c>
      <c r="BG1057" s="15">
        <v>36.4</v>
      </c>
      <c r="BH1057" s="5">
        <v>75</v>
      </c>
      <c r="BI1057" s="5" t="s">
        <v>76</v>
      </c>
      <c r="BJ1057" s="5">
        <v>18</v>
      </c>
      <c r="BK1057" s="5">
        <v>116</v>
      </c>
      <c r="BL1057" s="5">
        <v>80</v>
      </c>
      <c r="BM1057" s="5">
        <v>50</v>
      </c>
      <c r="BN1057" s="5">
        <v>158</v>
      </c>
      <c r="BO1057" s="5">
        <f t="shared" si="16"/>
        <v>20.0288415318058</v>
      </c>
      <c r="BP1057" s="5" t="s">
        <v>85</v>
      </c>
      <c r="BQ1057" s="5" t="s">
        <v>76</v>
      </c>
      <c r="BR1057" s="5">
        <v>8573</v>
      </c>
    </row>
    <row r="1058" s="1" customFormat="1" spans="1:70">
      <c r="A1058" s="1">
        <v>3259307</v>
      </c>
      <c r="B1058" s="1" t="s">
        <v>2454</v>
      </c>
      <c r="D1058" s="4">
        <v>44927</v>
      </c>
      <c r="E1058" s="4">
        <v>44955</v>
      </c>
      <c r="F1058" s="7">
        <v>23121</v>
      </c>
      <c r="G1058" s="1">
        <v>36</v>
      </c>
      <c r="H1058" s="1">
        <v>10</v>
      </c>
      <c r="I1058" s="1">
        <v>47</v>
      </c>
      <c r="J1058" s="1">
        <v>10</v>
      </c>
      <c r="K1058" s="1">
        <v>65</v>
      </c>
      <c r="L1058" s="1">
        <v>35</v>
      </c>
      <c r="M1058" s="1">
        <v>0.79</v>
      </c>
      <c r="N1058" s="1">
        <v>6.2</v>
      </c>
      <c r="O1058" s="7">
        <v>23121</v>
      </c>
      <c r="P1058" s="4">
        <v>44927</v>
      </c>
      <c r="Q1058" s="4">
        <v>44955</v>
      </c>
      <c r="R1058" s="1" t="s">
        <v>80</v>
      </c>
      <c r="AO1058" s="7">
        <v>23121</v>
      </c>
      <c r="AP1058" s="5">
        <v>9.8</v>
      </c>
      <c r="AQ1058" s="5">
        <v>97</v>
      </c>
      <c r="AR1058" s="5">
        <v>38.5</v>
      </c>
      <c r="AS1058" s="5">
        <v>9.7</v>
      </c>
      <c r="AT1058" s="5">
        <v>67</v>
      </c>
      <c r="AU1058" s="5">
        <v>99</v>
      </c>
      <c r="AV1058" s="5" t="s">
        <v>303</v>
      </c>
      <c r="AW1058" s="5">
        <v>9</v>
      </c>
      <c r="AX1058" s="5">
        <v>52</v>
      </c>
      <c r="AY1058" s="5" t="s">
        <v>76</v>
      </c>
      <c r="AZ1058" s="5">
        <v>9</v>
      </c>
      <c r="BA1058" s="5">
        <v>4.32</v>
      </c>
      <c r="BB1058" s="12" t="s">
        <v>76</v>
      </c>
      <c r="BC1058" s="5">
        <v>4.48</v>
      </c>
      <c r="BD1058" s="5">
        <v>97</v>
      </c>
      <c r="BE1058" s="5" t="s">
        <v>76</v>
      </c>
      <c r="BF1058" s="5" t="s">
        <v>76</v>
      </c>
      <c r="BG1058" s="15">
        <v>35.6</v>
      </c>
      <c r="BH1058" s="5">
        <v>71</v>
      </c>
      <c r="BI1058" s="5">
        <v>71</v>
      </c>
      <c r="BJ1058" s="5">
        <v>22</v>
      </c>
      <c r="BK1058" s="5">
        <v>153</v>
      </c>
      <c r="BL1058" s="5">
        <v>104</v>
      </c>
      <c r="BM1058" s="5">
        <v>85</v>
      </c>
      <c r="BN1058" s="5">
        <v>176</v>
      </c>
      <c r="BO1058" s="5">
        <f t="shared" si="16"/>
        <v>27.4405991735537</v>
      </c>
      <c r="BP1058" s="5" t="s">
        <v>149</v>
      </c>
      <c r="BQ1058" s="5" t="s">
        <v>76</v>
      </c>
      <c r="BR1058" s="5">
        <v>918.4</v>
      </c>
    </row>
    <row r="1059" s="1" customFormat="1" spans="1:70">
      <c r="A1059" s="1">
        <v>3277603</v>
      </c>
      <c r="B1059" s="1" t="s">
        <v>2455</v>
      </c>
      <c r="D1059" s="4">
        <v>44960</v>
      </c>
      <c r="E1059" s="4">
        <v>44971</v>
      </c>
      <c r="F1059" s="7">
        <v>23143</v>
      </c>
      <c r="G1059" s="1">
        <v>43</v>
      </c>
      <c r="H1059" s="1">
        <v>10</v>
      </c>
      <c r="I1059" s="1">
        <v>53</v>
      </c>
      <c r="J1059" s="1">
        <v>10</v>
      </c>
      <c r="K1059" s="1">
        <v>61</v>
      </c>
      <c r="L1059" s="1">
        <v>32</v>
      </c>
      <c r="M1059" s="1">
        <v>1.12</v>
      </c>
      <c r="N1059" s="1">
        <v>16.4</v>
      </c>
      <c r="O1059" s="7">
        <v>23143</v>
      </c>
      <c r="P1059" s="4">
        <v>44960</v>
      </c>
      <c r="Q1059" s="4">
        <v>44971</v>
      </c>
      <c r="R1059" s="1" t="s">
        <v>80</v>
      </c>
      <c r="S1059" s="1">
        <v>59</v>
      </c>
      <c r="T1059" s="1" t="s">
        <v>2456</v>
      </c>
      <c r="V1059" s="1" t="s">
        <v>155</v>
      </c>
      <c r="X1059" s="1" t="s">
        <v>155</v>
      </c>
      <c r="AA1059" s="1" t="s">
        <v>155</v>
      </c>
      <c r="AC1059" s="1" t="s">
        <v>155</v>
      </c>
      <c r="AI1059" s="1">
        <v>1</v>
      </c>
      <c r="AM1059" s="1">
        <v>1</v>
      </c>
      <c r="AN1059" s="1">
        <v>1</v>
      </c>
      <c r="AO1059" s="7">
        <v>23143</v>
      </c>
      <c r="AP1059" s="5">
        <v>6.2</v>
      </c>
      <c r="AQ1059" s="5">
        <v>81</v>
      </c>
      <c r="AR1059" s="5">
        <v>26.3</v>
      </c>
      <c r="AS1059" s="5">
        <v>6.9</v>
      </c>
      <c r="AT1059" s="5">
        <v>9</v>
      </c>
      <c r="AU1059" s="5">
        <v>13</v>
      </c>
      <c r="AV1059" s="5">
        <v>35.3</v>
      </c>
      <c r="AW1059" s="5">
        <v>28.01</v>
      </c>
      <c r="AX1059" s="5">
        <v>436</v>
      </c>
      <c r="AY1059" s="5">
        <v>17.3</v>
      </c>
      <c r="AZ1059" s="5" t="s">
        <v>75</v>
      </c>
      <c r="BA1059" s="5">
        <v>3.19</v>
      </c>
      <c r="BB1059" s="12" t="s">
        <v>76</v>
      </c>
      <c r="BC1059" s="5">
        <v>5.14</v>
      </c>
      <c r="BD1059" s="5">
        <v>81</v>
      </c>
      <c r="BE1059" s="5">
        <v>0.78</v>
      </c>
      <c r="BF1059" s="5">
        <v>2.02</v>
      </c>
      <c r="BG1059" s="15">
        <v>36</v>
      </c>
      <c r="BH1059" s="5">
        <v>55</v>
      </c>
      <c r="BI1059" s="5" t="s">
        <v>76</v>
      </c>
      <c r="BJ1059" s="5">
        <v>15</v>
      </c>
      <c r="BK1059" s="5">
        <v>159</v>
      </c>
      <c r="BL1059" s="5">
        <v>78</v>
      </c>
      <c r="BM1059" s="5">
        <v>84</v>
      </c>
      <c r="BN1059" s="5">
        <v>170</v>
      </c>
      <c r="BO1059" s="5">
        <f t="shared" si="16"/>
        <v>29.0657439446367</v>
      </c>
      <c r="BP1059" s="5" t="s">
        <v>415</v>
      </c>
      <c r="BQ1059" s="5">
        <v>6.1</v>
      </c>
      <c r="BR1059" s="5">
        <v>1908</v>
      </c>
    </row>
    <row r="1060" s="1" customFormat="1" spans="1:70">
      <c r="A1060" s="1">
        <v>3501498</v>
      </c>
      <c r="B1060" s="1" t="s">
        <v>2457</v>
      </c>
      <c r="D1060" s="4">
        <v>45268</v>
      </c>
      <c r="E1060" s="4">
        <v>45275</v>
      </c>
      <c r="F1060" s="7">
        <v>23173</v>
      </c>
      <c r="G1060" s="1">
        <v>42</v>
      </c>
      <c r="H1060" s="1">
        <v>10</v>
      </c>
      <c r="I1060" s="1">
        <v>55</v>
      </c>
      <c r="J1060" s="1">
        <v>10</v>
      </c>
      <c r="K1060" s="1">
        <v>45</v>
      </c>
      <c r="L1060" s="1">
        <v>23</v>
      </c>
      <c r="M1060" s="1">
        <v>1.43</v>
      </c>
      <c r="N1060" s="1">
        <v>11.3</v>
      </c>
      <c r="O1060" s="7">
        <v>23173</v>
      </c>
      <c r="P1060" s="4">
        <v>45268</v>
      </c>
      <c r="Q1060" s="4">
        <v>45275</v>
      </c>
      <c r="R1060" s="1" t="s">
        <v>80</v>
      </c>
      <c r="AO1060" s="7">
        <v>23173</v>
      </c>
      <c r="AP1060" s="5">
        <v>7.1</v>
      </c>
      <c r="AQ1060" s="5">
        <v>170</v>
      </c>
      <c r="AR1060" s="5">
        <v>54.1</v>
      </c>
      <c r="AS1060" s="5">
        <v>7.8</v>
      </c>
      <c r="AT1060" s="5">
        <v>13</v>
      </c>
      <c r="AU1060" s="5">
        <v>14</v>
      </c>
      <c r="AV1060" s="5">
        <v>43.8</v>
      </c>
      <c r="AW1060" s="5">
        <v>8.61</v>
      </c>
      <c r="AX1060" s="5">
        <v>115</v>
      </c>
      <c r="AY1060" s="5">
        <v>65.71</v>
      </c>
      <c r="AZ1060" s="5">
        <v>5.64</v>
      </c>
      <c r="BA1060" s="5">
        <v>5.21</v>
      </c>
      <c r="BB1060" s="12" t="s">
        <v>76</v>
      </c>
      <c r="BC1060" s="5">
        <v>3.52</v>
      </c>
      <c r="BD1060" s="5">
        <v>170</v>
      </c>
      <c r="BE1060" s="5">
        <v>0.68</v>
      </c>
      <c r="BF1060" s="5">
        <v>2.8</v>
      </c>
      <c r="BG1060" s="15">
        <v>36.8</v>
      </c>
      <c r="BH1060" s="5">
        <v>64</v>
      </c>
      <c r="BI1060" s="5">
        <v>64</v>
      </c>
      <c r="BJ1060" s="5">
        <v>18</v>
      </c>
      <c r="BK1060" s="5">
        <v>104</v>
      </c>
      <c r="BL1060" s="5">
        <v>65</v>
      </c>
      <c r="BM1060" s="5">
        <v>75</v>
      </c>
      <c r="BN1060" s="5">
        <v>170</v>
      </c>
      <c r="BO1060" s="5">
        <f t="shared" si="16"/>
        <v>25.9515570934256</v>
      </c>
      <c r="BP1060" s="5" t="s">
        <v>107</v>
      </c>
      <c r="BQ1060" s="5">
        <v>7.7</v>
      </c>
      <c r="BR1060" s="5">
        <v>2002</v>
      </c>
    </row>
    <row r="1061" s="1" customFormat="1" spans="1:70">
      <c r="A1061" s="1">
        <v>3306645</v>
      </c>
      <c r="B1061" s="1" t="s">
        <v>2458</v>
      </c>
      <c r="D1061" s="4">
        <v>44999</v>
      </c>
      <c r="E1061" s="4">
        <v>45015</v>
      </c>
      <c r="F1061" s="7">
        <v>23174</v>
      </c>
      <c r="G1061" s="1">
        <v>50</v>
      </c>
      <c r="H1061" s="1">
        <v>8</v>
      </c>
      <c r="I1061" s="1">
        <v>44</v>
      </c>
      <c r="J1061" s="1">
        <v>8</v>
      </c>
      <c r="K1061" s="1">
        <v>57</v>
      </c>
      <c r="L1061" s="1">
        <v>32</v>
      </c>
      <c r="M1061" s="1">
        <v>2.06</v>
      </c>
      <c r="N1061" s="1">
        <v>26.8</v>
      </c>
      <c r="O1061" s="7">
        <v>23174</v>
      </c>
      <c r="P1061" s="4">
        <v>44999</v>
      </c>
      <c r="Q1061" s="4">
        <v>45015</v>
      </c>
      <c r="R1061" s="1" t="s">
        <v>73</v>
      </c>
      <c r="S1061" s="1">
        <v>59</v>
      </c>
      <c r="T1061" s="1" t="s">
        <v>2459</v>
      </c>
      <c r="Y1061" s="1">
        <v>1</v>
      </c>
      <c r="AM1061" s="1">
        <v>1</v>
      </c>
      <c r="AO1061" s="7">
        <v>23174</v>
      </c>
      <c r="AP1061" s="5">
        <v>9.5</v>
      </c>
      <c r="AQ1061" s="5">
        <v>97</v>
      </c>
      <c r="AR1061" s="5">
        <v>38.8</v>
      </c>
      <c r="AS1061" s="5">
        <v>55.7</v>
      </c>
      <c r="AT1061" s="5">
        <v>93</v>
      </c>
      <c r="AU1061" s="5">
        <v>92</v>
      </c>
      <c r="AV1061" s="5">
        <v>46.2</v>
      </c>
      <c r="AW1061" s="5">
        <v>9.24</v>
      </c>
      <c r="AX1061" s="5">
        <v>70</v>
      </c>
      <c r="AY1061" s="5">
        <v>92.56</v>
      </c>
      <c r="AZ1061" s="5" t="s">
        <v>75</v>
      </c>
      <c r="BA1061" s="5">
        <v>4.29</v>
      </c>
      <c r="BB1061" s="12" t="s">
        <v>76</v>
      </c>
      <c r="BC1061" s="5">
        <v>4.83</v>
      </c>
      <c r="BD1061" s="5">
        <v>97</v>
      </c>
      <c r="BE1061" s="5">
        <v>0.78</v>
      </c>
      <c r="BF1061" s="5">
        <v>2.77</v>
      </c>
      <c r="BG1061" s="15">
        <v>36.5</v>
      </c>
      <c r="BH1061" s="5">
        <v>66</v>
      </c>
      <c r="BI1061" s="5">
        <v>66</v>
      </c>
      <c r="BJ1061" s="5">
        <v>18</v>
      </c>
      <c r="BK1061" s="5">
        <v>130</v>
      </c>
      <c r="BL1061" s="5">
        <v>85</v>
      </c>
      <c r="BM1061" s="5">
        <v>62</v>
      </c>
      <c r="BN1061" s="5">
        <v>150</v>
      </c>
      <c r="BO1061" s="5">
        <f t="shared" si="16"/>
        <v>27.5555555555556</v>
      </c>
      <c r="BP1061" s="5" t="s">
        <v>1450</v>
      </c>
      <c r="BQ1061" s="5" t="s">
        <v>76</v>
      </c>
      <c r="BR1061" s="5">
        <v>965</v>
      </c>
    </row>
    <row r="1062" s="1" customFormat="1" spans="1:70">
      <c r="A1062" s="1">
        <v>3275332</v>
      </c>
      <c r="B1062" s="1" t="s">
        <v>2460</v>
      </c>
      <c r="D1062" s="4">
        <v>44957</v>
      </c>
      <c r="E1062" s="4">
        <v>44978</v>
      </c>
      <c r="F1062" s="7">
        <v>23231</v>
      </c>
      <c r="G1062" s="1">
        <v>39</v>
      </c>
      <c r="H1062" s="1">
        <v>9</v>
      </c>
      <c r="I1062" s="1">
        <v>46</v>
      </c>
      <c r="J1062" s="1">
        <v>9</v>
      </c>
      <c r="K1062" s="1">
        <v>51</v>
      </c>
      <c r="L1062" s="1">
        <v>26</v>
      </c>
      <c r="M1062" s="1">
        <v>0.72</v>
      </c>
      <c r="N1062" s="1">
        <v>9.4</v>
      </c>
      <c r="O1062" s="7">
        <v>23231</v>
      </c>
      <c r="P1062" s="4">
        <v>44957</v>
      </c>
      <c r="Q1062" s="4">
        <v>44978</v>
      </c>
      <c r="R1062" s="1" t="s">
        <v>73</v>
      </c>
      <c r="AO1062" s="7">
        <v>23231</v>
      </c>
      <c r="AP1062" s="5">
        <v>9.4</v>
      </c>
      <c r="AQ1062" s="5">
        <v>134</v>
      </c>
      <c r="AR1062" s="5">
        <v>45</v>
      </c>
      <c r="AS1062" s="5" t="s">
        <v>81</v>
      </c>
      <c r="AT1062" s="5">
        <v>51</v>
      </c>
      <c r="AU1062" s="5">
        <v>57</v>
      </c>
      <c r="AV1062" s="5">
        <v>45.3</v>
      </c>
      <c r="AW1062" s="5">
        <v>8.91</v>
      </c>
      <c r="AX1062" s="5">
        <v>44</v>
      </c>
      <c r="AY1062" s="5" t="s">
        <v>125</v>
      </c>
      <c r="AZ1062" s="5" t="s">
        <v>75</v>
      </c>
      <c r="BA1062" s="5" t="s">
        <v>76</v>
      </c>
      <c r="BB1062" s="12" t="s">
        <v>76</v>
      </c>
      <c r="BC1062" s="5">
        <v>4.64</v>
      </c>
      <c r="BD1062" s="5">
        <v>134</v>
      </c>
      <c r="BE1062" s="5" t="s">
        <v>76</v>
      </c>
      <c r="BF1062" s="5" t="s">
        <v>76</v>
      </c>
      <c r="BG1062" s="15">
        <v>36.5</v>
      </c>
      <c r="BH1062" s="5">
        <v>64</v>
      </c>
      <c r="BI1062" s="5">
        <v>64</v>
      </c>
      <c r="BJ1062" s="5">
        <v>18</v>
      </c>
      <c r="BK1062" s="5">
        <v>135</v>
      </c>
      <c r="BL1062" s="5">
        <v>85</v>
      </c>
      <c r="BM1062" s="5">
        <v>60</v>
      </c>
      <c r="BN1062" s="5">
        <v>155</v>
      </c>
      <c r="BO1062" s="5">
        <f t="shared" si="16"/>
        <v>24.9739854318418</v>
      </c>
      <c r="BP1062" s="5" t="s">
        <v>1450</v>
      </c>
      <c r="BQ1062" s="5">
        <v>5.6</v>
      </c>
      <c r="BR1062" s="5">
        <v>988</v>
      </c>
    </row>
    <row r="1063" s="1" customFormat="1" spans="1:70">
      <c r="A1063" s="1">
        <v>3257707</v>
      </c>
      <c r="B1063" s="1" t="s">
        <v>2461</v>
      </c>
      <c r="D1063" s="4">
        <v>44928</v>
      </c>
      <c r="E1063" s="4">
        <v>44946</v>
      </c>
      <c r="F1063" s="7">
        <v>23232</v>
      </c>
      <c r="G1063" s="1">
        <v>33</v>
      </c>
      <c r="H1063" s="1">
        <v>10</v>
      </c>
      <c r="I1063" s="1">
        <v>50</v>
      </c>
      <c r="J1063" s="1">
        <v>10</v>
      </c>
      <c r="K1063" s="1">
        <v>62</v>
      </c>
      <c r="L1063" s="1">
        <v>33</v>
      </c>
      <c r="M1063" s="1">
        <v>0.7</v>
      </c>
      <c r="N1063" s="1">
        <v>8.8</v>
      </c>
      <c r="O1063" s="7">
        <v>23232</v>
      </c>
      <c r="P1063" s="4">
        <v>44928</v>
      </c>
      <c r="Q1063" s="4">
        <v>44946</v>
      </c>
      <c r="R1063" s="1" t="s">
        <v>80</v>
      </c>
      <c r="AO1063" s="7">
        <v>23232</v>
      </c>
      <c r="AP1063" s="5">
        <v>6.8</v>
      </c>
      <c r="AQ1063" s="5">
        <v>87</v>
      </c>
      <c r="AR1063" s="5">
        <v>27.9</v>
      </c>
      <c r="AS1063" s="5" t="s">
        <v>81</v>
      </c>
      <c r="AT1063" s="5">
        <v>21</v>
      </c>
      <c r="AU1063" s="5">
        <v>24</v>
      </c>
      <c r="AV1063" s="5">
        <v>41.7</v>
      </c>
      <c r="AW1063" s="5">
        <v>41.57</v>
      </c>
      <c r="AX1063" s="5">
        <v>797</v>
      </c>
      <c r="AY1063" s="5">
        <v>15.15</v>
      </c>
      <c r="AZ1063" s="5">
        <v>6.34</v>
      </c>
      <c r="BA1063" s="5">
        <v>3.54</v>
      </c>
      <c r="BB1063" s="12" t="s">
        <v>76</v>
      </c>
      <c r="BC1063" s="5">
        <v>4.74</v>
      </c>
      <c r="BD1063" s="5">
        <v>87</v>
      </c>
      <c r="BE1063" s="5" t="s">
        <v>76</v>
      </c>
      <c r="BF1063" s="5" t="s">
        <v>76</v>
      </c>
      <c r="BG1063" s="15">
        <v>37</v>
      </c>
      <c r="BH1063" s="5">
        <v>68</v>
      </c>
      <c r="BI1063" s="5" t="s">
        <v>76</v>
      </c>
      <c r="BJ1063" s="5">
        <v>20</v>
      </c>
      <c r="BK1063" s="5">
        <v>146</v>
      </c>
      <c r="BL1063" s="5">
        <v>74</v>
      </c>
      <c r="BM1063" s="5">
        <v>50</v>
      </c>
      <c r="BN1063" s="5">
        <v>167</v>
      </c>
      <c r="BO1063" s="5">
        <f t="shared" si="16"/>
        <v>17.9282154254366</v>
      </c>
      <c r="BP1063" s="5" t="s">
        <v>415</v>
      </c>
      <c r="BQ1063" s="5" t="s">
        <v>76</v>
      </c>
      <c r="BR1063" s="5">
        <v>2255</v>
      </c>
    </row>
    <row r="1064" s="1" customFormat="1" spans="1:70">
      <c r="A1064" s="1">
        <v>3259479</v>
      </c>
      <c r="B1064" s="1" t="s">
        <v>2462</v>
      </c>
      <c r="D1064" s="4">
        <v>44928</v>
      </c>
      <c r="E1064" s="4">
        <v>44932</v>
      </c>
      <c r="F1064" s="7">
        <v>23266</v>
      </c>
      <c r="G1064" s="1">
        <v>41</v>
      </c>
      <c r="H1064" s="1">
        <v>10</v>
      </c>
      <c r="I1064" s="1">
        <v>58</v>
      </c>
      <c r="J1064" s="1">
        <v>10</v>
      </c>
      <c r="K1064" s="1">
        <v>40</v>
      </c>
      <c r="L1064" s="1">
        <v>20</v>
      </c>
      <c r="M1064" s="1">
        <v>0.59</v>
      </c>
      <c r="N1064" s="1">
        <v>13</v>
      </c>
      <c r="O1064" s="7">
        <v>23266</v>
      </c>
      <c r="P1064" s="4">
        <v>44928</v>
      </c>
      <c r="Q1064" s="4">
        <v>44932</v>
      </c>
      <c r="R1064" s="1" t="s">
        <v>73</v>
      </c>
      <c r="AO1064" s="7">
        <v>23266</v>
      </c>
      <c r="AP1064" s="5">
        <v>5.8</v>
      </c>
      <c r="AQ1064" s="5">
        <v>109</v>
      </c>
      <c r="AR1064" s="5">
        <v>33.5</v>
      </c>
      <c r="AS1064" s="5" t="s">
        <v>76</v>
      </c>
      <c r="AT1064" s="5">
        <v>18</v>
      </c>
      <c r="AU1064" s="5">
        <v>10</v>
      </c>
      <c r="AV1064" s="5">
        <v>36.3</v>
      </c>
      <c r="AW1064" s="5">
        <v>5.56</v>
      </c>
      <c r="AX1064" s="5">
        <v>42</v>
      </c>
      <c r="AY1064" s="5" t="s">
        <v>76</v>
      </c>
      <c r="AZ1064" s="5">
        <v>6.58</v>
      </c>
      <c r="BA1064" s="5">
        <v>3.71</v>
      </c>
      <c r="BB1064" s="12" t="s">
        <v>76</v>
      </c>
      <c r="BC1064" s="5">
        <v>3.37</v>
      </c>
      <c r="BD1064" s="5">
        <v>109</v>
      </c>
      <c r="BE1064" s="5">
        <v>0.7</v>
      </c>
      <c r="BF1064" s="5">
        <v>2.41</v>
      </c>
      <c r="BG1064" s="15">
        <v>36.3</v>
      </c>
      <c r="BH1064" s="5">
        <v>65</v>
      </c>
      <c r="BI1064" s="5">
        <v>65</v>
      </c>
      <c r="BJ1064" s="5">
        <v>19</v>
      </c>
      <c r="BK1064" s="5">
        <v>130</v>
      </c>
      <c r="BL1064" s="5">
        <v>75</v>
      </c>
      <c r="BM1064" s="5">
        <v>75</v>
      </c>
      <c r="BN1064" s="5">
        <v>158</v>
      </c>
      <c r="BO1064" s="5">
        <f t="shared" si="16"/>
        <v>30.0432622977087</v>
      </c>
      <c r="BP1064" s="5" t="s">
        <v>107</v>
      </c>
      <c r="BQ1064" s="5" t="s">
        <v>76</v>
      </c>
      <c r="BR1064" s="5">
        <v>999</v>
      </c>
    </row>
    <row r="1065" s="1" customFormat="1" spans="1:70">
      <c r="A1065" s="1">
        <v>3278061</v>
      </c>
      <c r="B1065" s="1" t="s">
        <v>2463</v>
      </c>
      <c r="D1065" s="4">
        <v>44960</v>
      </c>
      <c r="E1065" s="4">
        <v>44970</v>
      </c>
      <c r="F1065" s="7">
        <v>23288</v>
      </c>
      <c r="G1065" s="1">
        <v>45</v>
      </c>
      <c r="H1065" s="1">
        <v>10</v>
      </c>
      <c r="I1065" s="1">
        <v>46</v>
      </c>
      <c r="J1065" s="1">
        <v>10</v>
      </c>
      <c r="K1065" s="1">
        <v>57</v>
      </c>
      <c r="L1065" s="1">
        <v>30</v>
      </c>
      <c r="N1065" s="1">
        <v>12.5</v>
      </c>
      <c r="O1065" s="7">
        <v>23288</v>
      </c>
      <c r="P1065" s="4">
        <v>44960</v>
      </c>
      <c r="Q1065" s="4">
        <v>44970</v>
      </c>
      <c r="R1065" s="1" t="s">
        <v>73</v>
      </c>
      <c r="AO1065" s="7">
        <v>23288</v>
      </c>
      <c r="AP1065" s="5">
        <v>96</v>
      </c>
      <c r="AQ1065" s="5">
        <v>112</v>
      </c>
      <c r="AR1065" s="5">
        <v>35.4</v>
      </c>
      <c r="AS1065" s="5" t="s">
        <v>81</v>
      </c>
      <c r="AT1065" s="5">
        <v>17</v>
      </c>
      <c r="AU1065" s="5">
        <v>11</v>
      </c>
      <c r="AV1065" s="5">
        <v>40</v>
      </c>
      <c r="AW1065" s="5">
        <v>5.94</v>
      </c>
      <c r="AX1065" s="5">
        <v>49</v>
      </c>
      <c r="AY1065" s="5">
        <v>119.18</v>
      </c>
      <c r="AZ1065" s="5" t="s">
        <v>75</v>
      </c>
      <c r="BA1065" s="5">
        <v>4.89</v>
      </c>
      <c r="BB1065" s="12" t="s">
        <v>76</v>
      </c>
      <c r="BC1065" s="5">
        <v>4.59</v>
      </c>
      <c r="BD1065" s="5">
        <v>112</v>
      </c>
      <c r="BE1065" s="5">
        <v>1.62</v>
      </c>
      <c r="BF1065" s="5">
        <v>2.87</v>
      </c>
      <c r="BG1065" s="15">
        <v>36.3</v>
      </c>
      <c r="BH1065" s="5">
        <v>46</v>
      </c>
      <c r="BI1065" s="5">
        <v>46</v>
      </c>
      <c r="BJ1065" s="5">
        <v>17</v>
      </c>
      <c r="BK1065" s="5">
        <v>173</v>
      </c>
      <c r="BL1065" s="5">
        <v>74</v>
      </c>
      <c r="BM1065" s="5">
        <v>80</v>
      </c>
      <c r="BN1065" s="5">
        <v>165</v>
      </c>
      <c r="BO1065" s="5">
        <f t="shared" si="16"/>
        <v>29.3847566574839</v>
      </c>
      <c r="BP1065" s="5" t="s">
        <v>78</v>
      </c>
      <c r="BQ1065" s="5">
        <v>6</v>
      </c>
      <c r="BR1065" s="5">
        <v>942</v>
      </c>
    </row>
    <row r="1066" s="1" customFormat="1" spans="1:70">
      <c r="A1066" s="1">
        <v>3249052</v>
      </c>
      <c r="B1066" s="1" t="s">
        <v>2464</v>
      </c>
      <c r="D1066" s="4">
        <v>44899</v>
      </c>
      <c r="E1066" s="4">
        <v>44903</v>
      </c>
      <c r="F1066" s="7">
        <v>23304</v>
      </c>
      <c r="G1066" s="1">
        <v>40</v>
      </c>
      <c r="H1066" s="1">
        <v>10</v>
      </c>
      <c r="I1066" s="1">
        <v>55</v>
      </c>
      <c r="J1066" s="1">
        <v>10</v>
      </c>
      <c r="K1066" s="1">
        <v>50</v>
      </c>
      <c r="L1066" s="1">
        <v>26</v>
      </c>
      <c r="M1066" s="1">
        <v>0.57</v>
      </c>
      <c r="N1066" s="1">
        <v>7.8</v>
      </c>
      <c r="O1066" s="7">
        <v>23304</v>
      </c>
      <c r="P1066" s="4">
        <v>44899</v>
      </c>
      <c r="Q1066" s="4">
        <v>44903</v>
      </c>
      <c r="R1066" s="1" t="s">
        <v>80</v>
      </c>
      <c r="S1066" s="1">
        <v>59</v>
      </c>
      <c r="T1066" s="1">
        <v>15371629395</v>
      </c>
      <c r="Z1066" s="1">
        <v>1</v>
      </c>
      <c r="AF1066" s="1">
        <v>1</v>
      </c>
      <c r="AG1066" s="1">
        <v>1</v>
      </c>
      <c r="AH1066" s="1">
        <v>1</v>
      </c>
      <c r="AI1066" s="1">
        <v>1</v>
      </c>
      <c r="AL1066" s="1">
        <v>1</v>
      </c>
      <c r="AM1066" s="1">
        <v>1</v>
      </c>
      <c r="AO1066" s="7">
        <v>23304</v>
      </c>
      <c r="AP1066" s="5">
        <v>9</v>
      </c>
      <c r="AQ1066" s="5">
        <v>145</v>
      </c>
      <c r="AR1066" s="5">
        <v>44.4</v>
      </c>
      <c r="AS1066" s="5">
        <v>66.4</v>
      </c>
      <c r="AT1066" s="5">
        <v>98</v>
      </c>
      <c r="AU1066" s="5">
        <v>34</v>
      </c>
      <c r="AV1066" s="5">
        <v>38.4</v>
      </c>
      <c r="AW1066" s="5">
        <v>8.41</v>
      </c>
      <c r="AX1066" s="5">
        <v>71</v>
      </c>
      <c r="AY1066" s="5">
        <v>104.7</v>
      </c>
      <c r="AZ1066" s="5">
        <v>8.54</v>
      </c>
      <c r="BA1066" s="5">
        <v>4.04</v>
      </c>
      <c r="BB1066" s="12" t="s">
        <v>76</v>
      </c>
      <c r="BC1066" s="5">
        <v>3.63</v>
      </c>
      <c r="BD1066" s="5">
        <v>145</v>
      </c>
      <c r="BE1066" s="5">
        <v>0.72</v>
      </c>
      <c r="BF1066" s="5">
        <v>2.91</v>
      </c>
      <c r="BG1066" s="15">
        <v>36.6</v>
      </c>
      <c r="BH1066" s="5">
        <v>59</v>
      </c>
      <c r="BI1066" s="5">
        <v>59</v>
      </c>
      <c r="BJ1066" s="5">
        <v>18</v>
      </c>
      <c r="BK1066" s="5">
        <v>135</v>
      </c>
      <c r="BL1066" s="5">
        <v>74</v>
      </c>
      <c r="BM1066" s="5">
        <v>82</v>
      </c>
      <c r="BN1066" s="5">
        <v>169</v>
      </c>
      <c r="BO1066" s="5">
        <f t="shared" si="16"/>
        <v>28.7104793249536</v>
      </c>
      <c r="BP1066" s="5" t="s">
        <v>323</v>
      </c>
      <c r="BQ1066" s="5">
        <v>5.7</v>
      </c>
      <c r="BR1066" s="5">
        <v>4078</v>
      </c>
    </row>
    <row r="1067" s="1" customFormat="1" spans="1:70">
      <c r="A1067" s="1">
        <v>3332887</v>
      </c>
      <c r="B1067" s="1" t="s">
        <v>2465</v>
      </c>
      <c r="D1067" s="4">
        <v>45035</v>
      </c>
      <c r="E1067" s="4">
        <v>45041</v>
      </c>
      <c r="F1067" s="7">
        <v>23343</v>
      </c>
      <c r="G1067" s="1">
        <v>45</v>
      </c>
      <c r="H1067" s="1">
        <v>9</v>
      </c>
      <c r="I1067" s="1">
        <v>49</v>
      </c>
      <c r="J1067" s="1">
        <v>9</v>
      </c>
      <c r="K1067" s="1">
        <v>47</v>
      </c>
      <c r="L1067" s="1">
        <v>24</v>
      </c>
      <c r="M1067" s="9">
        <v>0.8</v>
      </c>
      <c r="N1067" s="1">
        <v>14.2</v>
      </c>
      <c r="O1067" s="7">
        <v>23343</v>
      </c>
      <c r="P1067" s="4">
        <v>45035</v>
      </c>
      <c r="Q1067" s="4">
        <v>45041</v>
      </c>
      <c r="R1067" s="1" t="s">
        <v>80</v>
      </c>
      <c r="AO1067" s="7">
        <v>23343</v>
      </c>
      <c r="AP1067" s="5">
        <v>54.9</v>
      </c>
      <c r="AQ1067" s="5">
        <v>104</v>
      </c>
      <c r="AR1067" s="5">
        <v>36</v>
      </c>
      <c r="AS1067" s="5">
        <v>36.7</v>
      </c>
      <c r="AT1067" s="5">
        <v>32</v>
      </c>
      <c r="AU1067" s="5">
        <v>25</v>
      </c>
      <c r="AV1067" s="5">
        <v>34.6</v>
      </c>
      <c r="AW1067" s="5">
        <v>6.42</v>
      </c>
      <c r="AX1067" s="5">
        <v>63</v>
      </c>
      <c r="AY1067" s="5" t="s">
        <v>125</v>
      </c>
      <c r="AZ1067" s="5">
        <v>5.19</v>
      </c>
      <c r="BA1067" s="5">
        <v>4.02</v>
      </c>
      <c r="BB1067" s="12" t="s">
        <v>76</v>
      </c>
      <c r="BC1067" s="5">
        <v>3.28</v>
      </c>
      <c r="BD1067" s="5">
        <v>104</v>
      </c>
      <c r="BE1067" s="5">
        <v>0.85</v>
      </c>
      <c r="BF1067" s="5">
        <v>2.61</v>
      </c>
      <c r="BG1067" s="15">
        <v>36</v>
      </c>
      <c r="BH1067" s="5">
        <v>74</v>
      </c>
      <c r="BI1067" s="5" t="s">
        <v>76</v>
      </c>
      <c r="BJ1067" s="5">
        <v>1774</v>
      </c>
      <c r="BK1067" s="5">
        <v>152</v>
      </c>
      <c r="BL1067" s="5">
        <v>94</v>
      </c>
      <c r="BM1067" s="5">
        <v>68</v>
      </c>
      <c r="BN1067" s="5">
        <v>160</v>
      </c>
      <c r="BO1067" s="5">
        <f t="shared" si="16"/>
        <v>26.5625</v>
      </c>
      <c r="BP1067" s="5" t="s">
        <v>83</v>
      </c>
      <c r="BQ1067" s="5">
        <v>9</v>
      </c>
      <c r="BR1067" s="5">
        <v>9547</v>
      </c>
    </row>
    <row r="1068" s="1" customFormat="1" spans="1:70">
      <c r="A1068" s="1">
        <v>3483204</v>
      </c>
      <c r="B1068" s="1" t="s">
        <v>2466</v>
      </c>
      <c r="D1068" s="4">
        <v>45244</v>
      </c>
      <c r="E1068" s="4">
        <v>45265</v>
      </c>
      <c r="F1068" s="7">
        <v>23370</v>
      </c>
      <c r="G1068" s="1">
        <v>36</v>
      </c>
      <c r="H1068" s="1">
        <v>8</v>
      </c>
      <c r="I1068" s="1">
        <v>43</v>
      </c>
      <c r="J1068" s="1">
        <v>8</v>
      </c>
      <c r="K1068" s="1">
        <v>65</v>
      </c>
      <c r="L1068" s="1">
        <v>35</v>
      </c>
      <c r="O1068" s="7">
        <v>23370</v>
      </c>
      <c r="P1068" s="4">
        <v>45244</v>
      </c>
      <c r="Q1068" s="4">
        <v>45265</v>
      </c>
      <c r="R1068" s="1" t="s">
        <v>73</v>
      </c>
      <c r="AO1068" s="7">
        <v>23370</v>
      </c>
      <c r="AP1068" s="5">
        <v>9.7</v>
      </c>
      <c r="AQ1068" s="5">
        <v>95</v>
      </c>
      <c r="AR1068" s="5">
        <v>46.1</v>
      </c>
      <c r="AS1068" s="5">
        <v>79.1</v>
      </c>
      <c r="AT1068" s="5">
        <v>92</v>
      </c>
      <c r="AU1068" s="5">
        <v>7</v>
      </c>
      <c r="AV1068" s="5">
        <v>46.6</v>
      </c>
      <c r="AW1068" s="5">
        <v>9.69</v>
      </c>
      <c r="AX1068" s="5">
        <v>83</v>
      </c>
      <c r="AY1068" s="5" t="s">
        <v>125</v>
      </c>
      <c r="AZ1068" s="5">
        <v>8.31</v>
      </c>
      <c r="BA1068" s="5">
        <v>4.86</v>
      </c>
      <c r="BB1068" s="12" t="s">
        <v>76</v>
      </c>
      <c r="BC1068" s="5">
        <v>4.47</v>
      </c>
      <c r="BD1068" s="5">
        <v>95</v>
      </c>
      <c r="BE1068" s="5">
        <v>1.44</v>
      </c>
      <c r="BF1068" s="5">
        <v>2.56</v>
      </c>
      <c r="BG1068" s="15">
        <v>36.5</v>
      </c>
      <c r="BH1068" s="5">
        <v>78</v>
      </c>
      <c r="BI1068" s="5">
        <v>85</v>
      </c>
      <c r="BJ1068" s="5">
        <v>15</v>
      </c>
      <c r="BK1068" s="5">
        <v>90</v>
      </c>
      <c r="BL1068" s="5">
        <v>60</v>
      </c>
      <c r="BM1068" s="5">
        <v>58</v>
      </c>
      <c r="BN1068" s="5">
        <v>156</v>
      </c>
      <c r="BO1068" s="5">
        <f t="shared" si="16"/>
        <v>23.8330046022354</v>
      </c>
      <c r="BP1068" s="5" t="s">
        <v>1450</v>
      </c>
      <c r="BQ1068" s="5">
        <v>6.4</v>
      </c>
      <c r="BR1068" s="5">
        <v>918</v>
      </c>
    </row>
    <row r="1069" s="1" customFormat="1" spans="1:70">
      <c r="A1069" s="1">
        <v>3269816</v>
      </c>
      <c r="B1069" s="1" t="s">
        <v>2467</v>
      </c>
      <c r="D1069" s="4">
        <v>44950</v>
      </c>
      <c r="E1069" s="4">
        <v>44957</v>
      </c>
      <c r="F1069" s="7">
        <v>23372</v>
      </c>
      <c r="G1069" s="1">
        <v>40</v>
      </c>
      <c r="H1069" s="1">
        <v>9</v>
      </c>
      <c r="I1069" s="1">
        <v>49</v>
      </c>
      <c r="J1069" s="1">
        <v>9</v>
      </c>
      <c r="K1069" s="1">
        <v>46</v>
      </c>
      <c r="L1069" s="1">
        <v>23</v>
      </c>
      <c r="M1069" s="1">
        <v>1.94</v>
      </c>
      <c r="N1069" s="1">
        <v>18.5</v>
      </c>
      <c r="O1069" s="7">
        <v>23372</v>
      </c>
      <c r="P1069" s="4">
        <v>44950</v>
      </c>
      <c r="Q1069" s="4">
        <v>44957</v>
      </c>
      <c r="R1069" s="1" t="s">
        <v>80</v>
      </c>
      <c r="AO1069" s="7">
        <v>23372</v>
      </c>
      <c r="AP1069" s="5">
        <v>7.7</v>
      </c>
      <c r="AQ1069" s="5">
        <v>143</v>
      </c>
      <c r="AR1069" s="5">
        <v>43.6</v>
      </c>
      <c r="AS1069" s="5">
        <v>42</v>
      </c>
      <c r="AT1069" s="5">
        <v>90</v>
      </c>
      <c r="AU1069" s="5">
        <v>35</v>
      </c>
      <c r="AV1069" s="5">
        <v>38.4</v>
      </c>
      <c r="AW1069" s="5">
        <v>14.7</v>
      </c>
      <c r="AX1069" s="5">
        <v>101</v>
      </c>
      <c r="AY1069" s="5">
        <v>69.71</v>
      </c>
      <c r="AZ1069" s="5">
        <v>17.94</v>
      </c>
      <c r="BA1069" s="5">
        <v>3.5</v>
      </c>
      <c r="BB1069" s="12" t="s">
        <v>76</v>
      </c>
      <c r="BC1069" s="5">
        <v>4.17</v>
      </c>
      <c r="BD1069" s="5">
        <v>143</v>
      </c>
      <c r="BE1069" s="5">
        <v>1.21</v>
      </c>
      <c r="BF1069" s="5">
        <v>1.85</v>
      </c>
      <c r="BG1069" s="15">
        <v>36.5</v>
      </c>
      <c r="BH1069" s="5" t="s">
        <v>76</v>
      </c>
      <c r="BI1069" s="5">
        <v>92</v>
      </c>
      <c r="BJ1069" s="5">
        <v>18</v>
      </c>
      <c r="BK1069" s="5">
        <v>136</v>
      </c>
      <c r="BL1069" s="5">
        <v>97</v>
      </c>
      <c r="BM1069" s="5">
        <v>70</v>
      </c>
      <c r="BN1069" s="5">
        <v>178</v>
      </c>
      <c r="BO1069" s="5">
        <f t="shared" si="16"/>
        <v>22.0931700542861</v>
      </c>
      <c r="BP1069" s="5" t="s">
        <v>156</v>
      </c>
      <c r="BQ1069" s="5" t="s">
        <v>76</v>
      </c>
      <c r="BR1069" s="5">
        <v>2951</v>
      </c>
    </row>
    <row r="1070" s="1" customFormat="1" spans="1:70">
      <c r="A1070" s="1">
        <v>3264269</v>
      </c>
      <c r="B1070" s="1" t="s">
        <v>2468</v>
      </c>
      <c r="D1070" s="4">
        <v>44954</v>
      </c>
      <c r="E1070" s="4">
        <v>44963</v>
      </c>
      <c r="F1070" s="7">
        <v>23372</v>
      </c>
      <c r="G1070" s="1">
        <v>48</v>
      </c>
      <c r="H1070" s="1">
        <v>10</v>
      </c>
      <c r="I1070" s="1">
        <v>49</v>
      </c>
      <c r="J1070" s="1">
        <v>10</v>
      </c>
      <c r="K1070" s="1">
        <v>56</v>
      </c>
      <c r="L1070" s="1">
        <v>29</v>
      </c>
      <c r="N1070" s="1">
        <v>10.9</v>
      </c>
      <c r="O1070" s="7">
        <v>23372</v>
      </c>
      <c r="P1070" s="4">
        <v>44954</v>
      </c>
      <c r="Q1070" s="4">
        <v>44963</v>
      </c>
      <c r="R1070" s="1" t="s">
        <v>73</v>
      </c>
      <c r="AO1070" s="7">
        <v>23372</v>
      </c>
      <c r="AP1070" s="5">
        <v>4.7</v>
      </c>
      <c r="AQ1070" s="5">
        <v>141</v>
      </c>
      <c r="AR1070" s="5">
        <v>45.5</v>
      </c>
      <c r="AS1070" s="5">
        <v>0.6</v>
      </c>
      <c r="AT1070" s="5">
        <v>20</v>
      </c>
      <c r="AU1070" s="5">
        <v>34</v>
      </c>
      <c r="AV1070" s="5">
        <v>44.5</v>
      </c>
      <c r="AW1070" s="5">
        <v>5.1</v>
      </c>
      <c r="AX1070" s="5">
        <v>46</v>
      </c>
      <c r="AY1070" s="5" t="s">
        <v>125</v>
      </c>
      <c r="AZ1070" s="5" t="s">
        <v>75</v>
      </c>
      <c r="BA1070" s="5">
        <v>5.85</v>
      </c>
      <c r="BB1070" s="12" t="s">
        <v>76</v>
      </c>
      <c r="BC1070" s="5">
        <v>4.38</v>
      </c>
      <c r="BD1070" s="5">
        <v>141</v>
      </c>
      <c r="BE1070" s="5">
        <v>1.69</v>
      </c>
      <c r="BF1070" s="5">
        <v>3.53</v>
      </c>
      <c r="BG1070" s="15">
        <v>36.4</v>
      </c>
      <c r="BH1070" s="5">
        <v>64</v>
      </c>
      <c r="BI1070" s="5">
        <v>64</v>
      </c>
      <c r="BJ1070" s="5">
        <v>16</v>
      </c>
      <c r="BK1070" s="5">
        <v>135</v>
      </c>
      <c r="BL1070" s="5">
        <v>91</v>
      </c>
      <c r="BM1070" s="5">
        <v>61</v>
      </c>
      <c r="BN1070" s="5">
        <v>152</v>
      </c>
      <c r="BO1070" s="5">
        <f t="shared" si="16"/>
        <v>26.4023545706371</v>
      </c>
      <c r="BP1070" s="5" t="s">
        <v>78</v>
      </c>
      <c r="BQ1070" s="5">
        <v>5.7</v>
      </c>
      <c r="BR1070" s="5">
        <v>1647</v>
      </c>
    </row>
    <row r="1071" s="1" customFormat="1" spans="1:70">
      <c r="A1071" s="1">
        <v>3335271</v>
      </c>
      <c r="B1071" s="1" t="s">
        <v>2469</v>
      </c>
      <c r="D1071" s="4">
        <v>45040</v>
      </c>
      <c r="E1071" s="4">
        <v>45044</v>
      </c>
      <c r="F1071" s="7">
        <v>23428</v>
      </c>
      <c r="G1071" s="1">
        <v>39</v>
      </c>
      <c r="H1071" s="1">
        <v>10</v>
      </c>
      <c r="I1071" s="1">
        <v>53</v>
      </c>
      <c r="J1071" s="1">
        <v>10</v>
      </c>
      <c r="K1071" s="1">
        <v>48</v>
      </c>
      <c r="L1071" s="1">
        <v>24</v>
      </c>
      <c r="M1071" s="1">
        <v>0.82</v>
      </c>
      <c r="N1071" s="1">
        <v>8.4</v>
      </c>
      <c r="O1071" s="7">
        <v>23428</v>
      </c>
      <c r="P1071" s="4">
        <v>45040</v>
      </c>
      <c r="Q1071" s="4">
        <v>45044</v>
      </c>
      <c r="R1071" s="1" t="s">
        <v>80</v>
      </c>
      <c r="AO1071" s="7">
        <v>23428</v>
      </c>
      <c r="AP1071" s="5">
        <v>9.7</v>
      </c>
      <c r="AQ1071" s="5">
        <v>151</v>
      </c>
      <c r="AR1071" s="5">
        <v>44.7</v>
      </c>
      <c r="AS1071" s="5" t="s">
        <v>81</v>
      </c>
      <c r="AT1071" s="5">
        <v>309</v>
      </c>
      <c r="AU1071" s="5">
        <v>39</v>
      </c>
      <c r="AV1071" s="5">
        <v>42.1</v>
      </c>
      <c r="AW1071" s="5">
        <v>3.7</v>
      </c>
      <c r="AX1071" s="5">
        <v>45</v>
      </c>
      <c r="AY1071" s="5" t="s">
        <v>125</v>
      </c>
      <c r="AZ1071" s="5">
        <v>7.66</v>
      </c>
      <c r="BA1071" s="5">
        <v>4.79</v>
      </c>
      <c r="BB1071" s="12" t="s">
        <v>76</v>
      </c>
      <c r="BC1071" s="5">
        <v>4.17</v>
      </c>
      <c r="BD1071" s="5">
        <v>151</v>
      </c>
      <c r="BE1071" s="5">
        <v>1.34</v>
      </c>
      <c r="BF1071" s="5">
        <v>3</v>
      </c>
      <c r="BG1071" s="15">
        <v>36.3</v>
      </c>
      <c r="BH1071" s="5">
        <v>86</v>
      </c>
      <c r="BI1071" s="5">
        <v>86</v>
      </c>
      <c r="BJ1071" s="5">
        <v>20</v>
      </c>
      <c r="BK1071" s="5">
        <v>127</v>
      </c>
      <c r="BL1071" s="5">
        <v>90</v>
      </c>
      <c r="BM1071" s="5">
        <v>72.5</v>
      </c>
      <c r="BN1071" s="5">
        <v>177</v>
      </c>
      <c r="BO1071" s="5">
        <f t="shared" si="16"/>
        <v>23.141498292317</v>
      </c>
      <c r="BP1071" s="5" t="s">
        <v>323</v>
      </c>
      <c r="BQ1071" s="5">
        <v>6.3</v>
      </c>
      <c r="BR1071" s="5">
        <v>954</v>
      </c>
    </row>
    <row r="1072" s="1" customFormat="1" spans="1:70">
      <c r="A1072" s="1">
        <v>3280033</v>
      </c>
      <c r="B1072" s="1" t="s">
        <v>2470</v>
      </c>
      <c r="D1072" s="4">
        <v>44963</v>
      </c>
      <c r="E1072" s="4">
        <v>44970</v>
      </c>
      <c r="F1072" s="7">
        <v>23445</v>
      </c>
      <c r="G1072" s="1">
        <v>32</v>
      </c>
      <c r="H1072" s="1">
        <v>14</v>
      </c>
      <c r="I1072" s="1">
        <v>41</v>
      </c>
      <c r="J1072" s="1">
        <v>14</v>
      </c>
      <c r="K1072" s="1">
        <v>58</v>
      </c>
      <c r="L1072" s="1">
        <v>30</v>
      </c>
      <c r="M1072" s="1">
        <v>0.86</v>
      </c>
      <c r="O1072" s="7">
        <v>23445</v>
      </c>
      <c r="P1072" s="4">
        <v>44963</v>
      </c>
      <c r="Q1072" s="4">
        <v>44970</v>
      </c>
      <c r="R1072" s="1" t="s">
        <v>73</v>
      </c>
      <c r="AO1072" s="7">
        <v>23445</v>
      </c>
      <c r="AP1072" s="5">
        <v>61.7</v>
      </c>
      <c r="AQ1072" s="5">
        <v>88</v>
      </c>
      <c r="AR1072" s="5">
        <v>37.1</v>
      </c>
      <c r="AS1072" s="5">
        <v>88.1</v>
      </c>
      <c r="AT1072" s="5">
        <v>89</v>
      </c>
      <c r="AU1072" s="5">
        <v>97</v>
      </c>
      <c r="AV1072" s="5">
        <v>29.9</v>
      </c>
      <c r="AW1072" s="5">
        <v>8.26</v>
      </c>
      <c r="AX1072" s="5">
        <v>63</v>
      </c>
      <c r="AY1072" s="5">
        <v>92.88</v>
      </c>
      <c r="AZ1072" s="5" t="s">
        <v>2471</v>
      </c>
      <c r="BA1072" s="5" t="s">
        <v>76</v>
      </c>
      <c r="BB1072" s="12" t="s">
        <v>76</v>
      </c>
      <c r="BC1072" s="5">
        <v>4.19</v>
      </c>
      <c r="BD1072" s="5">
        <v>88</v>
      </c>
      <c r="BE1072" s="5" t="s">
        <v>76</v>
      </c>
      <c r="BF1072" s="5" t="s">
        <v>76</v>
      </c>
      <c r="BG1072" s="15">
        <v>35.6</v>
      </c>
      <c r="BH1072" s="5">
        <v>112</v>
      </c>
      <c r="BI1072" s="5">
        <v>112</v>
      </c>
      <c r="BJ1072" s="5">
        <v>36</v>
      </c>
      <c r="BK1072" s="5">
        <v>70</v>
      </c>
      <c r="BL1072" s="5">
        <v>32</v>
      </c>
      <c r="BM1072" s="5" t="s">
        <v>77</v>
      </c>
      <c r="BN1072" s="5" t="s">
        <v>77</v>
      </c>
      <c r="BO1072" s="5" t="e">
        <f t="shared" si="16"/>
        <v>#VALUE!</v>
      </c>
      <c r="BP1072" s="5" t="s">
        <v>117</v>
      </c>
      <c r="BQ1072" s="5" t="s">
        <v>76</v>
      </c>
      <c r="BR1072" s="5" t="s">
        <v>118</v>
      </c>
    </row>
    <row r="1073" s="1" customFormat="1" spans="1:70">
      <c r="A1073" s="1" t="s">
        <v>2472</v>
      </c>
      <c r="B1073" s="1" t="s">
        <v>2473</v>
      </c>
      <c r="D1073" s="4">
        <v>45000</v>
      </c>
      <c r="E1073" s="4">
        <v>45006</v>
      </c>
      <c r="F1073" s="7">
        <v>23470</v>
      </c>
      <c r="G1073" s="1">
        <v>28</v>
      </c>
      <c r="H1073" s="1">
        <v>8</v>
      </c>
      <c r="I1073" s="1">
        <v>38</v>
      </c>
      <c r="J1073" s="1">
        <v>8</v>
      </c>
      <c r="K1073" s="1">
        <v>61</v>
      </c>
      <c r="L1073" s="1">
        <v>32</v>
      </c>
      <c r="M1073" s="1">
        <v>0.52</v>
      </c>
      <c r="N1073" s="1">
        <v>12.8</v>
      </c>
      <c r="O1073" s="7">
        <v>23470</v>
      </c>
      <c r="P1073" s="4">
        <v>45000</v>
      </c>
      <c r="Q1073" s="4">
        <v>45006</v>
      </c>
      <c r="R1073" s="1" t="s">
        <v>73</v>
      </c>
      <c r="AO1073" s="7">
        <v>23470</v>
      </c>
      <c r="AP1073" s="5" t="s">
        <v>1131</v>
      </c>
      <c r="AQ1073" s="5" t="s">
        <v>139</v>
      </c>
      <c r="AR1073" s="5" t="s">
        <v>1248</v>
      </c>
      <c r="AS1073" s="5" t="s">
        <v>76</v>
      </c>
      <c r="AT1073" s="5" t="s">
        <v>319</v>
      </c>
      <c r="AU1073" s="5" t="s">
        <v>1205</v>
      </c>
      <c r="AV1073" s="5" t="s">
        <v>2418</v>
      </c>
      <c r="AW1073" s="5" t="s">
        <v>2474</v>
      </c>
      <c r="AX1073" s="5" t="s">
        <v>140</v>
      </c>
      <c r="AY1073" s="5" t="s">
        <v>2475</v>
      </c>
      <c r="AZ1073" s="5" t="s">
        <v>75</v>
      </c>
      <c r="BA1073" s="5" t="s">
        <v>2476</v>
      </c>
      <c r="BB1073" s="12" t="s">
        <v>76</v>
      </c>
      <c r="BC1073" s="5" t="s">
        <v>2477</v>
      </c>
      <c r="BD1073" s="5" t="s">
        <v>139</v>
      </c>
      <c r="BE1073" s="5" t="s">
        <v>556</v>
      </c>
      <c r="BF1073" s="5" t="s">
        <v>190</v>
      </c>
      <c r="BG1073" s="15">
        <v>36</v>
      </c>
      <c r="BH1073" s="5" t="s">
        <v>994</v>
      </c>
      <c r="BI1073" s="5" t="s">
        <v>994</v>
      </c>
      <c r="BJ1073" s="5" t="s">
        <v>101</v>
      </c>
      <c r="BK1073" s="5" t="s">
        <v>140</v>
      </c>
      <c r="BL1073" s="5" t="s">
        <v>228</v>
      </c>
      <c r="BM1073" s="5" t="s">
        <v>594</v>
      </c>
      <c r="BN1073" s="5">
        <v>158</v>
      </c>
      <c r="BO1073" s="5">
        <f t="shared" si="16"/>
        <v>12.0173049190835</v>
      </c>
      <c r="BP1073" s="5" t="s">
        <v>501</v>
      </c>
      <c r="BQ1073" s="5" t="s">
        <v>76</v>
      </c>
      <c r="BR1073" s="5">
        <v>2138</v>
      </c>
    </row>
    <row r="1074" s="1" customFormat="1" spans="1:70">
      <c r="A1074" s="1" t="s">
        <v>2478</v>
      </c>
      <c r="B1074" s="1" t="s">
        <v>2479</v>
      </c>
      <c r="D1074" s="4">
        <v>45012</v>
      </c>
      <c r="E1074" s="4">
        <v>45024</v>
      </c>
      <c r="F1074" s="7">
        <v>23471</v>
      </c>
      <c r="G1074" s="1">
        <v>35</v>
      </c>
      <c r="H1074" s="1">
        <v>9</v>
      </c>
      <c r="I1074" s="1">
        <v>47</v>
      </c>
      <c r="J1074" s="1">
        <v>9</v>
      </c>
      <c r="K1074" s="1">
        <v>60</v>
      </c>
      <c r="L1074" s="1">
        <v>32</v>
      </c>
      <c r="M1074" s="1">
        <v>0.74</v>
      </c>
      <c r="N1074" s="1">
        <v>11.1</v>
      </c>
      <c r="O1074" s="7">
        <v>23471</v>
      </c>
      <c r="P1074" s="4">
        <v>45012</v>
      </c>
      <c r="Q1074" s="4">
        <v>45024</v>
      </c>
      <c r="R1074" s="1" t="s">
        <v>73</v>
      </c>
      <c r="AO1074" s="7">
        <v>23471</v>
      </c>
      <c r="AP1074" s="5" t="s">
        <v>2480</v>
      </c>
      <c r="AQ1074" s="5" t="s">
        <v>89</v>
      </c>
      <c r="AR1074" s="5" t="s">
        <v>833</v>
      </c>
      <c r="AS1074" s="5" t="s">
        <v>81</v>
      </c>
      <c r="AT1074" s="5" t="s">
        <v>614</v>
      </c>
      <c r="AU1074" s="5" t="s">
        <v>139</v>
      </c>
      <c r="AV1074" s="5" t="s">
        <v>2371</v>
      </c>
      <c r="AW1074" s="5" t="s">
        <v>2481</v>
      </c>
      <c r="AX1074" s="5" t="s">
        <v>468</v>
      </c>
      <c r="AY1074" s="5" t="s">
        <v>2482</v>
      </c>
      <c r="AZ1074" s="5" t="s">
        <v>381</v>
      </c>
      <c r="BA1074" s="5" t="s">
        <v>76</v>
      </c>
      <c r="BB1074" s="12" t="s">
        <v>76</v>
      </c>
      <c r="BC1074" s="5" t="s">
        <v>2483</v>
      </c>
      <c r="BD1074" s="5" t="s">
        <v>89</v>
      </c>
      <c r="BE1074" s="5" t="s">
        <v>76</v>
      </c>
      <c r="BF1074" s="5" t="s">
        <v>76</v>
      </c>
      <c r="BG1074" s="15">
        <v>36.8</v>
      </c>
      <c r="BH1074" s="5" t="s">
        <v>429</v>
      </c>
      <c r="BI1074" s="5" t="s">
        <v>76</v>
      </c>
      <c r="BJ1074" s="5" t="s">
        <v>101</v>
      </c>
      <c r="BK1074" s="5" t="s">
        <v>2250</v>
      </c>
      <c r="BL1074" s="5" t="s">
        <v>493</v>
      </c>
      <c r="BM1074" s="5" t="s">
        <v>186</v>
      </c>
      <c r="BN1074" s="5">
        <v>160</v>
      </c>
      <c r="BO1074" s="5">
        <f t="shared" si="16"/>
        <v>25</v>
      </c>
      <c r="BP1074" s="5" t="s">
        <v>1415</v>
      </c>
      <c r="BQ1074" s="5" t="s">
        <v>76</v>
      </c>
      <c r="BR1074" s="5">
        <v>6529</v>
      </c>
    </row>
    <row r="1075" s="1" customFormat="1" spans="1:70">
      <c r="A1075" s="1" t="s">
        <v>2484</v>
      </c>
      <c r="B1075" s="1" t="s">
        <v>2485</v>
      </c>
      <c r="D1075" s="4">
        <v>44986</v>
      </c>
      <c r="E1075" s="4">
        <v>45015</v>
      </c>
      <c r="F1075" s="7">
        <v>23480</v>
      </c>
      <c r="G1075" s="1">
        <v>37</v>
      </c>
      <c r="H1075" s="1">
        <v>9</v>
      </c>
      <c r="I1075" s="1">
        <v>49</v>
      </c>
      <c r="J1075" s="1">
        <v>9</v>
      </c>
      <c r="K1075" s="1">
        <v>66</v>
      </c>
      <c r="L1075" s="1">
        <v>36</v>
      </c>
      <c r="M1075" s="1">
        <v>0.76</v>
      </c>
      <c r="N1075" s="1">
        <v>7.6</v>
      </c>
      <c r="O1075" s="7">
        <v>23480</v>
      </c>
      <c r="P1075" s="4">
        <v>44986</v>
      </c>
      <c r="Q1075" s="4">
        <v>45015</v>
      </c>
      <c r="R1075" s="1" t="s">
        <v>80</v>
      </c>
      <c r="AO1075" s="7">
        <v>23480</v>
      </c>
      <c r="AP1075" s="5" t="s">
        <v>2486</v>
      </c>
      <c r="AQ1075" s="5" t="s">
        <v>100</v>
      </c>
      <c r="AR1075" s="5" t="s">
        <v>2358</v>
      </c>
      <c r="AS1075" s="5" t="s">
        <v>1203</v>
      </c>
      <c r="AT1075" s="5" t="s">
        <v>171</v>
      </c>
      <c r="AU1075" s="5" t="s">
        <v>171</v>
      </c>
      <c r="AV1075" s="5" t="s">
        <v>644</v>
      </c>
      <c r="AW1075" s="5" t="s">
        <v>1084</v>
      </c>
      <c r="AX1075" s="5" t="s">
        <v>140</v>
      </c>
      <c r="AY1075" s="5" t="s">
        <v>125</v>
      </c>
      <c r="AZ1075" s="5" t="s">
        <v>1118</v>
      </c>
      <c r="BA1075" s="5" t="s">
        <v>555</v>
      </c>
      <c r="BB1075" s="12" t="s">
        <v>76</v>
      </c>
      <c r="BC1075" s="5" t="s">
        <v>4</v>
      </c>
      <c r="BD1075" s="5" t="s">
        <v>100</v>
      </c>
      <c r="BE1075" s="5" t="s">
        <v>76</v>
      </c>
      <c r="BF1075" s="5" t="s">
        <v>76</v>
      </c>
      <c r="BG1075" s="15">
        <v>36.5</v>
      </c>
      <c r="BH1075" s="5" t="s">
        <v>232</v>
      </c>
      <c r="BI1075" s="5" t="s">
        <v>232</v>
      </c>
      <c r="BJ1075" s="5" t="s">
        <v>193</v>
      </c>
      <c r="BK1075" s="5" t="s">
        <v>481</v>
      </c>
      <c r="BL1075" s="5" t="s">
        <v>140</v>
      </c>
      <c r="BM1075" s="5" t="s">
        <v>658</v>
      </c>
      <c r="BN1075" s="5">
        <v>177</v>
      </c>
      <c r="BO1075" s="5">
        <f t="shared" si="16"/>
        <v>27.1314117909924</v>
      </c>
      <c r="BP1075" s="5" t="s">
        <v>542</v>
      </c>
      <c r="BQ1075" s="5" t="s">
        <v>76</v>
      </c>
      <c r="BR1075" s="5">
        <v>8611</v>
      </c>
    </row>
    <row r="1076" s="1" customFormat="1" spans="1:70">
      <c r="A1076" s="1" t="s">
        <v>2487</v>
      </c>
      <c r="B1076" s="1" t="s">
        <v>2488</v>
      </c>
      <c r="D1076" s="4">
        <v>45007</v>
      </c>
      <c r="E1076" s="4">
        <v>45016</v>
      </c>
      <c r="F1076" s="7">
        <v>23481</v>
      </c>
      <c r="G1076" s="1">
        <v>44</v>
      </c>
      <c r="H1076" s="1">
        <v>10</v>
      </c>
      <c r="I1076" s="1">
        <v>48</v>
      </c>
      <c r="J1076" s="1">
        <v>10</v>
      </c>
      <c r="K1076" s="1">
        <v>63</v>
      </c>
      <c r="L1076" s="1">
        <v>34</v>
      </c>
      <c r="M1076" s="1">
        <v>0.74</v>
      </c>
      <c r="N1076" s="1">
        <v>8.8</v>
      </c>
      <c r="O1076" s="7">
        <v>23481</v>
      </c>
      <c r="P1076" s="4">
        <v>45007</v>
      </c>
      <c r="Q1076" s="4">
        <v>45016</v>
      </c>
      <c r="R1076" s="1" t="s">
        <v>80</v>
      </c>
      <c r="S1076" s="1">
        <v>58</v>
      </c>
      <c r="T1076" s="1" t="s">
        <v>2489</v>
      </c>
      <c r="X1076" s="1" t="s">
        <v>155</v>
      </c>
      <c r="AA1076" s="1" t="s">
        <v>155</v>
      </c>
      <c r="AO1076" s="7">
        <v>23481</v>
      </c>
      <c r="AP1076" s="5" t="s">
        <v>2490</v>
      </c>
      <c r="AQ1076" s="5" t="s">
        <v>290</v>
      </c>
      <c r="AR1076" s="5" t="s">
        <v>2491</v>
      </c>
      <c r="AS1076" s="5" t="s">
        <v>2492</v>
      </c>
      <c r="AT1076" s="5" t="s">
        <v>1000</v>
      </c>
      <c r="AU1076" s="5" t="s">
        <v>225</v>
      </c>
      <c r="AV1076" s="5" t="s">
        <v>2493</v>
      </c>
      <c r="AW1076" s="5" t="s">
        <v>311</v>
      </c>
      <c r="AX1076" s="5" t="s">
        <v>584</v>
      </c>
      <c r="AY1076" s="5" t="s">
        <v>2494</v>
      </c>
      <c r="AZ1076" s="5" t="s">
        <v>375</v>
      </c>
      <c r="BA1076" s="5" t="s">
        <v>2495</v>
      </c>
      <c r="BB1076" s="12" t="s">
        <v>76</v>
      </c>
      <c r="BC1076" s="5" t="s">
        <v>2496</v>
      </c>
      <c r="BD1076" s="5" t="s">
        <v>290</v>
      </c>
      <c r="BE1076" s="5" t="s">
        <v>2074</v>
      </c>
      <c r="BF1076" s="5" t="s">
        <v>2497</v>
      </c>
      <c r="BG1076" s="15">
        <v>37.5</v>
      </c>
      <c r="BH1076" s="5" t="s">
        <v>1006</v>
      </c>
      <c r="BI1076" s="5" t="s">
        <v>825</v>
      </c>
      <c r="BJ1076" s="5" t="s">
        <v>193</v>
      </c>
      <c r="BK1076" s="5" t="s">
        <v>194</v>
      </c>
      <c r="BL1076" s="5" t="s">
        <v>347</v>
      </c>
      <c r="BM1076" s="5" t="s">
        <v>222</v>
      </c>
      <c r="BN1076" s="5">
        <v>178</v>
      </c>
      <c r="BO1076" s="5">
        <f t="shared" si="16"/>
        <v>28.0898876404494</v>
      </c>
      <c r="BP1076" s="5" t="s">
        <v>1790</v>
      </c>
      <c r="BQ1076" s="5" t="s">
        <v>2498</v>
      </c>
      <c r="BR1076" s="5">
        <v>3803</v>
      </c>
    </row>
    <row r="1077" s="1" customFormat="1" spans="1:70">
      <c r="A1077" s="1">
        <v>3267128</v>
      </c>
      <c r="B1077" s="1" t="s">
        <v>2499</v>
      </c>
      <c r="D1077" s="4">
        <v>44941</v>
      </c>
      <c r="E1077" s="4">
        <v>44945</v>
      </c>
      <c r="F1077" s="7">
        <v>23524</v>
      </c>
      <c r="G1077" s="1">
        <v>45</v>
      </c>
      <c r="H1077" s="1">
        <v>10</v>
      </c>
      <c r="I1077" s="1">
        <v>55</v>
      </c>
      <c r="J1077" s="1">
        <v>9</v>
      </c>
      <c r="K1077" s="1">
        <v>43</v>
      </c>
      <c r="L1077" s="1">
        <v>21</v>
      </c>
      <c r="M1077" s="1">
        <v>1.17</v>
      </c>
      <c r="N1077" s="1">
        <v>14.5</v>
      </c>
      <c r="O1077" s="7">
        <v>23524</v>
      </c>
      <c r="P1077" s="4">
        <v>44941</v>
      </c>
      <c r="Q1077" s="4">
        <v>44945</v>
      </c>
      <c r="R1077" s="1" t="s">
        <v>80</v>
      </c>
      <c r="AO1077" s="7">
        <v>23524</v>
      </c>
      <c r="AP1077" s="5">
        <v>8.8</v>
      </c>
      <c r="AQ1077" s="5">
        <v>142</v>
      </c>
      <c r="AR1077" s="5">
        <v>45.4</v>
      </c>
      <c r="AS1077" s="5">
        <v>14.3</v>
      </c>
      <c r="AT1077" s="5">
        <v>15</v>
      </c>
      <c r="AU1077" s="5" t="s">
        <v>76</v>
      </c>
      <c r="AV1077" s="5" t="s">
        <v>76</v>
      </c>
      <c r="AW1077" s="5" t="s">
        <v>76</v>
      </c>
      <c r="AX1077" s="5" t="s">
        <v>76</v>
      </c>
      <c r="AY1077" s="5" t="s">
        <v>76</v>
      </c>
      <c r="AZ1077" s="5" t="s">
        <v>76</v>
      </c>
      <c r="BA1077" s="5">
        <v>5.1</v>
      </c>
      <c r="BB1077" s="12" t="s">
        <v>76</v>
      </c>
      <c r="BC1077" s="5">
        <v>3.39</v>
      </c>
      <c r="BD1077" s="5">
        <v>142</v>
      </c>
      <c r="BE1077" s="5">
        <v>0.91</v>
      </c>
      <c r="BF1077" s="5">
        <v>3.38</v>
      </c>
      <c r="BG1077" s="15">
        <v>36.5</v>
      </c>
      <c r="BH1077" s="5">
        <v>96</v>
      </c>
      <c r="BI1077" s="5">
        <v>96</v>
      </c>
      <c r="BJ1077" s="5">
        <v>20</v>
      </c>
      <c r="BK1077" s="5">
        <v>133</v>
      </c>
      <c r="BL1077" s="5">
        <v>91</v>
      </c>
      <c r="BM1077" s="5">
        <v>70</v>
      </c>
      <c r="BN1077" s="5">
        <v>166</v>
      </c>
      <c r="BO1077" s="5">
        <f t="shared" si="16"/>
        <v>25.4028160836116</v>
      </c>
      <c r="BP1077" s="5" t="s">
        <v>107</v>
      </c>
      <c r="BQ1077" s="5">
        <v>6.8</v>
      </c>
      <c r="BR1077" s="5">
        <v>4170.77</v>
      </c>
    </row>
    <row r="1078" s="1" customFormat="1" spans="1:70">
      <c r="A1078" s="1">
        <v>3515558</v>
      </c>
      <c r="B1078" s="1" t="s">
        <v>2500</v>
      </c>
      <c r="C1078" s="1">
        <v>1</v>
      </c>
      <c r="D1078" s="4">
        <v>45288</v>
      </c>
      <c r="E1078" s="4">
        <v>45296</v>
      </c>
      <c r="F1078" s="7">
        <v>23660</v>
      </c>
      <c r="G1078" s="1">
        <v>37</v>
      </c>
      <c r="H1078" s="1">
        <v>10</v>
      </c>
      <c r="I1078" s="1">
        <v>60</v>
      </c>
      <c r="J1078" s="1">
        <v>10</v>
      </c>
      <c r="K1078" s="1">
        <v>44</v>
      </c>
      <c r="L1078" s="1">
        <v>22</v>
      </c>
      <c r="M1078" s="1">
        <v>0.89</v>
      </c>
      <c r="O1078" s="7">
        <v>23660</v>
      </c>
      <c r="P1078" s="4">
        <v>45288</v>
      </c>
      <c r="Q1078" s="4">
        <v>45296</v>
      </c>
      <c r="R1078" s="1" t="s">
        <v>73</v>
      </c>
      <c r="AO1078" s="7">
        <v>23660</v>
      </c>
      <c r="AP1078" s="5">
        <v>7.6</v>
      </c>
      <c r="AQ1078" s="5">
        <v>96</v>
      </c>
      <c r="AR1078" s="5">
        <v>33.7</v>
      </c>
      <c r="AS1078" s="5" t="s">
        <v>81</v>
      </c>
      <c r="AT1078" s="5">
        <v>23</v>
      </c>
      <c r="AU1078" s="5">
        <v>9</v>
      </c>
      <c r="AV1078" s="5">
        <v>33.7</v>
      </c>
      <c r="AW1078" s="5">
        <v>9.04</v>
      </c>
      <c r="AX1078" s="5">
        <v>88</v>
      </c>
      <c r="AY1078" s="5">
        <v>78.97</v>
      </c>
      <c r="AZ1078" s="5" t="s">
        <v>375</v>
      </c>
      <c r="BA1078" s="5">
        <v>3.53</v>
      </c>
      <c r="BB1078" s="12" t="s">
        <v>76</v>
      </c>
      <c r="BC1078" s="5">
        <v>4.6</v>
      </c>
      <c r="BD1078" s="5">
        <v>96</v>
      </c>
      <c r="BE1078" s="5">
        <v>1.06</v>
      </c>
      <c r="BF1078" s="5">
        <v>1.47</v>
      </c>
      <c r="BG1078" s="15">
        <v>36.3</v>
      </c>
      <c r="BH1078" s="5">
        <v>73</v>
      </c>
      <c r="BI1078" s="5">
        <v>73</v>
      </c>
      <c r="BJ1078" s="5">
        <v>18</v>
      </c>
      <c r="BK1078" s="5">
        <v>170</v>
      </c>
      <c r="BL1078" s="5">
        <v>96</v>
      </c>
      <c r="BM1078" s="5">
        <v>60</v>
      </c>
      <c r="BN1078" s="5">
        <v>160</v>
      </c>
      <c r="BO1078" s="5">
        <f t="shared" si="16"/>
        <v>23.4375</v>
      </c>
      <c r="BP1078" s="5" t="s">
        <v>323</v>
      </c>
      <c r="BQ1078" s="5">
        <v>8.3</v>
      </c>
      <c r="BR1078" s="5">
        <v>9405.82</v>
      </c>
    </row>
    <row r="1079" s="1" customFormat="1" spans="1:70">
      <c r="A1079" s="1">
        <v>3281706</v>
      </c>
      <c r="B1079" s="1" t="s">
        <v>2501</v>
      </c>
      <c r="D1079" s="4">
        <v>44965</v>
      </c>
      <c r="E1079" s="4">
        <v>44971</v>
      </c>
      <c r="F1079" s="7">
        <v>23665</v>
      </c>
      <c r="G1079" s="1">
        <v>36</v>
      </c>
      <c r="H1079" s="1">
        <v>9</v>
      </c>
      <c r="I1079" s="1">
        <v>46</v>
      </c>
      <c r="J1079" s="1">
        <v>9</v>
      </c>
      <c r="K1079" s="1">
        <v>63</v>
      </c>
      <c r="L1079" s="1">
        <v>34</v>
      </c>
      <c r="M1079" s="1">
        <v>0.42</v>
      </c>
      <c r="N1079" s="1">
        <v>4.5</v>
      </c>
      <c r="O1079" s="7">
        <v>23665</v>
      </c>
      <c r="P1079" s="4">
        <v>44965</v>
      </c>
      <c r="Q1079" s="4">
        <v>44971</v>
      </c>
      <c r="R1079" s="1" t="s">
        <v>73</v>
      </c>
      <c r="AO1079" s="7">
        <v>23665</v>
      </c>
      <c r="AP1079" s="5">
        <v>5</v>
      </c>
      <c r="AQ1079" s="5">
        <v>91</v>
      </c>
      <c r="AR1079" s="5">
        <v>28.7</v>
      </c>
      <c r="AS1079" s="5">
        <v>12.3</v>
      </c>
      <c r="AT1079" s="5">
        <v>19</v>
      </c>
      <c r="AU1079" s="5">
        <v>9</v>
      </c>
      <c r="AV1079" s="5">
        <v>35</v>
      </c>
      <c r="AW1079" s="5">
        <v>14.79</v>
      </c>
      <c r="AX1079" s="5">
        <v>229</v>
      </c>
      <c r="AY1079" s="5">
        <v>20.18</v>
      </c>
      <c r="AZ1079" s="5" t="s">
        <v>75</v>
      </c>
      <c r="BA1079" s="5">
        <v>2.9</v>
      </c>
      <c r="BB1079" s="12" t="s">
        <v>76</v>
      </c>
      <c r="BC1079" s="5">
        <v>4.45</v>
      </c>
      <c r="BD1079" s="5">
        <v>91</v>
      </c>
      <c r="BE1079" s="5">
        <v>1.04</v>
      </c>
      <c r="BF1079" s="5">
        <v>1.43</v>
      </c>
      <c r="BG1079" s="15">
        <v>36.3</v>
      </c>
      <c r="BH1079" s="5">
        <v>78</v>
      </c>
      <c r="BI1079" s="5" t="s">
        <v>76</v>
      </c>
      <c r="BJ1079" s="5">
        <v>17</v>
      </c>
      <c r="BK1079" s="5">
        <v>155</v>
      </c>
      <c r="BL1079" s="5">
        <v>90</v>
      </c>
      <c r="BM1079" s="5">
        <v>62</v>
      </c>
      <c r="BN1079" s="5">
        <v>157</v>
      </c>
      <c r="BO1079" s="5">
        <f t="shared" si="16"/>
        <v>25.1531502292182</v>
      </c>
      <c r="BP1079" s="5" t="s">
        <v>300</v>
      </c>
      <c r="BQ1079" s="5" t="s">
        <v>76</v>
      </c>
      <c r="BR1079" s="5">
        <v>2120</v>
      </c>
    </row>
    <row r="1080" s="1" customFormat="1" spans="1:70">
      <c r="A1080" s="1">
        <v>3296475</v>
      </c>
      <c r="B1080" s="1" t="s">
        <v>2502</v>
      </c>
      <c r="D1080" s="4">
        <v>44986</v>
      </c>
      <c r="E1080" s="4">
        <v>44992</v>
      </c>
      <c r="F1080" s="7">
        <v>23694</v>
      </c>
      <c r="G1080" s="1">
        <v>43</v>
      </c>
      <c r="H1080" s="1">
        <v>10</v>
      </c>
      <c r="I1080" s="1">
        <v>60</v>
      </c>
      <c r="J1080" s="1">
        <v>10</v>
      </c>
      <c r="K1080" s="1">
        <v>30</v>
      </c>
      <c r="L1080" s="1">
        <v>15</v>
      </c>
      <c r="M1080" s="1">
        <v>1.27</v>
      </c>
      <c r="N1080" s="1">
        <v>24.3</v>
      </c>
      <c r="O1080" s="7">
        <v>23694</v>
      </c>
      <c r="P1080" s="4">
        <v>44986</v>
      </c>
      <c r="Q1080" s="4">
        <v>44992</v>
      </c>
      <c r="R1080" s="1" t="s">
        <v>73</v>
      </c>
      <c r="AO1080" s="7">
        <v>23694</v>
      </c>
      <c r="AP1080" s="5">
        <v>7.2</v>
      </c>
      <c r="AQ1080" s="5">
        <v>111</v>
      </c>
      <c r="AR1080" s="5">
        <v>37.4</v>
      </c>
      <c r="AS1080" s="5">
        <v>16.8</v>
      </c>
      <c r="AT1080" s="5">
        <v>21</v>
      </c>
      <c r="AU1080" s="5">
        <v>8</v>
      </c>
      <c r="AV1080" s="5">
        <v>22.8</v>
      </c>
      <c r="AW1080" s="5">
        <v>19.21</v>
      </c>
      <c r="AX1080" s="5">
        <v>202</v>
      </c>
      <c r="AY1080" s="5">
        <v>24.59</v>
      </c>
      <c r="AZ1080" s="5" t="s">
        <v>2347</v>
      </c>
      <c r="BA1080" s="5">
        <v>2.72</v>
      </c>
      <c r="BB1080" s="12" t="s">
        <v>76</v>
      </c>
      <c r="BC1080" s="5">
        <v>5.13</v>
      </c>
      <c r="BD1080" s="5">
        <v>111</v>
      </c>
      <c r="BE1080" s="5" t="s">
        <v>76</v>
      </c>
      <c r="BF1080" s="5" t="s">
        <v>76</v>
      </c>
      <c r="BG1080" s="15">
        <v>36</v>
      </c>
      <c r="BH1080" s="5">
        <v>68</v>
      </c>
      <c r="BI1080" s="5" t="s">
        <v>76</v>
      </c>
      <c r="BJ1080" s="5">
        <v>18</v>
      </c>
      <c r="BK1080" s="5">
        <v>115</v>
      </c>
      <c r="BL1080" s="5">
        <v>71</v>
      </c>
      <c r="BM1080" s="5">
        <v>54</v>
      </c>
      <c r="BN1080" s="5">
        <v>160</v>
      </c>
      <c r="BO1080" s="5">
        <f t="shared" si="16"/>
        <v>21.09375</v>
      </c>
      <c r="BP1080" s="5" t="s">
        <v>415</v>
      </c>
      <c r="BQ1080" s="5">
        <v>7</v>
      </c>
      <c r="BR1080" s="5" t="s">
        <v>118</v>
      </c>
    </row>
    <row r="1081" s="1" customFormat="1" spans="1:70">
      <c r="A1081" s="1" t="s">
        <v>2503</v>
      </c>
      <c r="B1081" s="1" t="s">
        <v>2504</v>
      </c>
      <c r="D1081" s="4">
        <v>44958</v>
      </c>
      <c r="E1081" s="4">
        <v>44984</v>
      </c>
      <c r="F1081" s="7">
        <v>23716</v>
      </c>
      <c r="G1081" s="1">
        <v>40</v>
      </c>
      <c r="H1081" s="1">
        <v>10</v>
      </c>
      <c r="I1081" s="1">
        <v>59</v>
      </c>
      <c r="J1081" s="1">
        <v>10</v>
      </c>
      <c r="K1081" s="1">
        <v>58</v>
      </c>
      <c r="L1081" s="1">
        <v>31</v>
      </c>
      <c r="M1081" s="1">
        <v>0.8</v>
      </c>
      <c r="N1081" s="1">
        <v>11.8</v>
      </c>
      <c r="O1081" s="7">
        <v>23716</v>
      </c>
      <c r="P1081" s="4">
        <v>44958</v>
      </c>
      <c r="Q1081" s="4">
        <v>44984</v>
      </c>
      <c r="R1081" s="1" t="s">
        <v>80</v>
      </c>
      <c r="AO1081" s="7">
        <v>23716</v>
      </c>
      <c r="AP1081" s="5" t="s">
        <v>461</v>
      </c>
      <c r="AQ1081" s="5" t="s">
        <v>493</v>
      </c>
      <c r="AR1081" s="5" t="s">
        <v>2505</v>
      </c>
      <c r="AS1081" s="5" t="s">
        <v>2506</v>
      </c>
      <c r="AT1081" s="5" t="s">
        <v>93</v>
      </c>
      <c r="AU1081" s="5" t="s">
        <v>171</v>
      </c>
      <c r="AV1081" s="5" t="s">
        <v>2507</v>
      </c>
      <c r="AW1081" s="5" t="s">
        <v>2344</v>
      </c>
      <c r="AX1081" s="5" t="s">
        <v>320</v>
      </c>
      <c r="AY1081" s="5" t="s">
        <v>2508</v>
      </c>
      <c r="AZ1081" s="5" t="s">
        <v>75</v>
      </c>
      <c r="BA1081" s="5" t="s">
        <v>76</v>
      </c>
      <c r="BB1081" s="12" t="s">
        <v>76</v>
      </c>
      <c r="BC1081" s="5" t="s">
        <v>4</v>
      </c>
      <c r="BD1081" s="5" t="s">
        <v>493</v>
      </c>
      <c r="BE1081" s="5" t="s">
        <v>76</v>
      </c>
      <c r="BF1081" s="5" t="s">
        <v>76</v>
      </c>
      <c r="BG1081" s="15">
        <v>36.8</v>
      </c>
      <c r="BH1081" s="5" t="s">
        <v>137</v>
      </c>
      <c r="BI1081" s="5" t="s">
        <v>137</v>
      </c>
      <c r="BJ1081" s="5" t="s">
        <v>293</v>
      </c>
      <c r="BK1081" s="5" t="s">
        <v>972</v>
      </c>
      <c r="BL1081" s="5" t="s">
        <v>425</v>
      </c>
      <c r="BM1081" s="5" t="s">
        <v>391</v>
      </c>
      <c r="BN1081" s="5">
        <v>177</v>
      </c>
      <c r="BO1081" s="5">
        <f t="shared" si="16"/>
        <v>22.0243225126879</v>
      </c>
      <c r="BP1081" s="5" t="s">
        <v>353</v>
      </c>
      <c r="BQ1081" s="5" t="s">
        <v>76</v>
      </c>
      <c r="BR1081" s="5">
        <v>2207</v>
      </c>
    </row>
    <row r="1082" s="1" customFormat="1" spans="1:70">
      <c r="A1082" s="1">
        <v>3277653</v>
      </c>
      <c r="B1082" s="1" t="s">
        <v>2509</v>
      </c>
      <c r="D1082" s="4">
        <v>44960</v>
      </c>
      <c r="E1082" s="4">
        <v>44965</v>
      </c>
      <c r="F1082" s="7">
        <v>23721</v>
      </c>
      <c r="G1082" s="1">
        <v>43</v>
      </c>
      <c r="H1082" s="1">
        <v>9</v>
      </c>
      <c r="I1082" s="1">
        <v>51</v>
      </c>
      <c r="J1082" s="1">
        <v>9</v>
      </c>
      <c r="K1082" s="1">
        <v>67</v>
      </c>
      <c r="L1082" s="1">
        <v>37</v>
      </c>
      <c r="N1082" s="1">
        <v>8.1</v>
      </c>
      <c r="O1082" s="7">
        <v>23721</v>
      </c>
      <c r="P1082" s="4">
        <v>44960</v>
      </c>
      <c r="Q1082" s="4">
        <v>44965</v>
      </c>
      <c r="R1082" s="1" t="s">
        <v>80</v>
      </c>
      <c r="AO1082" s="7">
        <v>23721</v>
      </c>
      <c r="AP1082" s="5">
        <v>7.1</v>
      </c>
      <c r="AQ1082" s="5">
        <v>121</v>
      </c>
      <c r="AR1082" s="5">
        <v>36.4</v>
      </c>
      <c r="AS1082" s="5">
        <v>5.1</v>
      </c>
      <c r="AT1082" s="5">
        <v>15</v>
      </c>
      <c r="AU1082" s="5">
        <v>8</v>
      </c>
      <c r="AV1082" s="5">
        <v>35.2</v>
      </c>
      <c r="AW1082" s="5">
        <v>3.75</v>
      </c>
      <c r="AX1082" s="5">
        <v>55</v>
      </c>
      <c r="AY1082" s="5" t="s">
        <v>125</v>
      </c>
      <c r="AZ1082" s="5">
        <v>4.62</v>
      </c>
      <c r="BA1082" s="5">
        <v>3.91</v>
      </c>
      <c r="BB1082" s="12" t="s">
        <v>76</v>
      </c>
      <c r="BC1082" s="5">
        <v>3.12</v>
      </c>
      <c r="BD1082" s="5">
        <v>121</v>
      </c>
      <c r="BE1082" s="5">
        <v>0.69</v>
      </c>
      <c r="BF1082" s="5">
        <v>2.61</v>
      </c>
      <c r="BG1082" s="15">
        <v>36.5</v>
      </c>
      <c r="BH1082" s="5">
        <v>60</v>
      </c>
      <c r="BI1082" s="5">
        <v>60</v>
      </c>
      <c r="BJ1082" s="5">
        <v>15</v>
      </c>
      <c r="BK1082" s="5">
        <v>147</v>
      </c>
      <c r="BL1082" s="5">
        <v>89</v>
      </c>
      <c r="BM1082" s="5">
        <v>90</v>
      </c>
      <c r="BN1082" s="5">
        <v>181</v>
      </c>
      <c r="BO1082" s="5">
        <f t="shared" si="16"/>
        <v>27.4716888983853</v>
      </c>
      <c r="BP1082" s="5" t="s">
        <v>161</v>
      </c>
      <c r="BQ1082" s="5">
        <v>5.5</v>
      </c>
      <c r="BR1082" s="5">
        <v>1697</v>
      </c>
    </row>
    <row r="1083" s="1" customFormat="1" spans="1:70">
      <c r="A1083" s="1">
        <v>3330609</v>
      </c>
      <c r="B1083" s="1" t="s">
        <v>2510</v>
      </c>
      <c r="D1083" s="4">
        <v>45033</v>
      </c>
      <c r="E1083" s="4">
        <v>45040</v>
      </c>
      <c r="F1083" s="7">
        <v>23753</v>
      </c>
      <c r="G1083" s="1">
        <v>45</v>
      </c>
      <c r="H1083" s="1">
        <v>15</v>
      </c>
      <c r="I1083" s="1">
        <v>42</v>
      </c>
      <c r="J1083" s="1">
        <v>14</v>
      </c>
      <c r="K1083" s="1">
        <v>48</v>
      </c>
      <c r="L1083" s="1">
        <v>24</v>
      </c>
      <c r="M1083" s="1">
        <v>2.33</v>
      </c>
      <c r="N1083" s="1">
        <v>26.3</v>
      </c>
      <c r="O1083" s="7">
        <v>23753</v>
      </c>
      <c r="P1083" s="4">
        <v>45033</v>
      </c>
      <c r="Q1083" s="4">
        <v>45040</v>
      </c>
      <c r="R1083" s="1" t="s">
        <v>80</v>
      </c>
      <c r="AO1083" s="7">
        <v>23753</v>
      </c>
      <c r="AP1083" s="5">
        <v>6.4</v>
      </c>
      <c r="AQ1083" s="5">
        <v>130</v>
      </c>
      <c r="AR1083" s="5">
        <v>42.1</v>
      </c>
      <c r="AS1083" s="5">
        <v>5.8</v>
      </c>
      <c r="AT1083" s="5">
        <v>31</v>
      </c>
      <c r="AU1083" s="5">
        <v>18</v>
      </c>
      <c r="AV1083" s="5">
        <v>34.1</v>
      </c>
      <c r="AW1083" s="5">
        <v>16.29</v>
      </c>
      <c r="AX1083" s="5">
        <v>96</v>
      </c>
      <c r="AY1083" s="5">
        <v>74.18</v>
      </c>
      <c r="AZ1083" s="5" t="s">
        <v>75</v>
      </c>
      <c r="BA1083" s="5">
        <v>4.69</v>
      </c>
      <c r="BB1083" s="12" t="s">
        <v>76</v>
      </c>
      <c r="BC1083" s="5" t="s">
        <v>4</v>
      </c>
      <c r="BD1083" s="5">
        <v>130</v>
      </c>
      <c r="BE1083" s="5" t="s">
        <v>76</v>
      </c>
      <c r="BF1083" s="5" t="s">
        <v>76</v>
      </c>
      <c r="BG1083" s="15">
        <v>36.4</v>
      </c>
      <c r="BH1083" s="5">
        <v>64</v>
      </c>
      <c r="BI1083" s="5">
        <v>64</v>
      </c>
      <c r="BJ1083" s="5">
        <v>15</v>
      </c>
      <c r="BK1083" s="5">
        <v>97</v>
      </c>
      <c r="BL1083" s="5">
        <v>65</v>
      </c>
      <c r="BM1083" s="5">
        <v>50</v>
      </c>
      <c r="BN1083" s="5">
        <v>164</v>
      </c>
      <c r="BO1083" s="5">
        <f t="shared" si="16"/>
        <v>18.5901249256395</v>
      </c>
      <c r="BP1083" s="5" t="s">
        <v>415</v>
      </c>
      <c r="BQ1083" s="5" t="s">
        <v>76</v>
      </c>
      <c r="BR1083" s="5">
        <v>29751</v>
      </c>
    </row>
    <row r="1084" s="1" customFormat="1" spans="1:70">
      <c r="A1084" s="1" t="s">
        <v>2511</v>
      </c>
      <c r="B1084" s="1" t="s">
        <v>2512</v>
      </c>
      <c r="D1084" s="4">
        <v>44958</v>
      </c>
      <c r="E1084" s="4">
        <v>44964</v>
      </c>
      <c r="F1084" s="7">
        <v>23803</v>
      </c>
      <c r="G1084" s="1">
        <v>38</v>
      </c>
      <c r="H1084" s="1">
        <v>11</v>
      </c>
      <c r="I1084" s="1">
        <v>57</v>
      </c>
      <c r="J1084" s="1">
        <v>10</v>
      </c>
      <c r="K1084" s="1">
        <v>48</v>
      </c>
      <c r="L1084" s="1">
        <v>24</v>
      </c>
      <c r="M1084" s="1">
        <v>1.09</v>
      </c>
      <c r="N1084" s="1">
        <v>15.5</v>
      </c>
      <c r="O1084" s="7">
        <v>23803</v>
      </c>
      <c r="P1084" s="4">
        <v>44958</v>
      </c>
      <c r="Q1084" s="4">
        <v>44964</v>
      </c>
      <c r="R1084" s="1" t="s">
        <v>73</v>
      </c>
      <c r="AO1084" s="7">
        <v>23803</v>
      </c>
      <c r="AP1084" s="5" t="s">
        <v>2513</v>
      </c>
      <c r="AQ1084" s="5" t="s">
        <v>192</v>
      </c>
      <c r="AR1084" s="5" t="s">
        <v>202</v>
      </c>
      <c r="AS1084" s="5" t="s">
        <v>2514</v>
      </c>
      <c r="AT1084" s="5" t="s">
        <v>606</v>
      </c>
      <c r="AU1084" s="5" t="s">
        <v>225</v>
      </c>
      <c r="AV1084" s="5" t="s">
        <v>203</v>
      </c>
      <c r="AW1084" s="5" t="s">
        <v>2515</v>
      </c>
      <c r="AX1084" s="5" t="s">
        <v>742</v>
      </c>
      <c r="AY1084" s="5" t="s">
        <v>125</v>
      </c>
      <c r="AZ1084" s="5" t="s">
        <v>75</v>
      </c>
      <c r="BA1084" s="5" t="s">
        <v>2516</v>
      </c>
      <c r="BB1084" s="12" t="s">
        <v>76</v>
      </c>
      <c r="BC1084" s="5" t="s">
        <v>2517</v>
      </c>
      <c r="BD1084" s="5" t="s">
        <v>192</v>
      </c>
      <c r="BE1084" s="5" t="s">
        <v>2518</v>
      </c>
      <c r="BF1084" s="5" t="s">
        <v>2477</v>
      </c>
      <c r="BG1084" s="15">
        <v>36.7</v>
      </c>
      <c r="BH1084" s="5" t="s">
        <v>103</v>
      </c>
      <c r="BI1084" s="5" t="s">
        <v>103</v>
      </c>
      <c r="BJ1084" s="5" t="s">
        <v>293</v>
      </c>
      <c r="BK1084" s="5" t="s">
        <v>584</v>
      </c>
      <c r="BL1084" s="5" t="s">
        <v>613</v>
      </c>
      <c r="BM1084" s="5" t="s">
        <v>204</v>
      </c>
      <c r="BN1084" s="5">
        <v>155</v>
      </c>
      <c r="BO1084" s="5">
        <f t="shared" si="16"/>
        <v>23.7252861602497</v>
      </c>
      <c r="BP1084" s="5" t="s">
        <v>501</v>
      </c>
      <c r="BQ1084" s="5" t="s">
        <v>1855</v>
      </c>
      <c r="BR1084" s="5">
        <v>3378</v>
      </c>
    </row>
    <row r="1085" s="1" customFormat="1" spans="1:70">
      <c r="A1085" s="1">
        <v>3505743</v>
      </c>
      <c r="B1085" s="1" t="s">
        <v>2519</v>
      </c>
      <c r="D1085" s="4">
        <v>45274</v>
      </c>
      <c r="E1085" s="4">
        <v>45277</v>
      </c>
      <c r="F1085" s="7">
        <v>23808</v>
      </c>
      <c r="G1085" s="1">
        <v>38</v>
      </c>
      <c r="H1085" s="1">
        <v>8</v>
      </c>
      <c r="I1085" s="1">
        <v>50</v>
      </c>
      <c r="J1085" s="1">
        <v>8</v>
      </c>
      <c r="K1085" s="1">
        <v>69</v>
      </c>
      <c r="L1085" s="1">
        <v>39</v>
      </c>
      <c r="M1085" s="1">
        <v>0.56</v>
      </c>
      <c r="N1085" s="1">
        <v>6.9</v>
      </c>
      <c r="O1085" s="7">
        <v>23808</v>
      </c>
      <c r="P1085" s="4">
        <v>45274</v>
      </c>
      <c r="Q1085" s="4">
        <v>45277</v>
      </c>
      <c r="R1085" s="1" t="s">
        <v>73</v>
      </c>
      <c r="AO1085" s="7">
        <v>23808</v>
      </c>
      <c r="AP1085" s="5">
        <v>5.5</v>
      </c>
      <c r="AQ1085" s="5">
        <v>112</v>
      </c>
      <c r="AR1085" s="5">
        <v>36.3</v>
      </c>
      <c r="AS1085" s="5">
        <v>0.7</v>
      </c>
      <c r="AT1085" s="5">
        <v>9</v>
      </c>
      <c r="AU1085" s="5" t="s">
        <v>171</v>
      </c>
      <c r="AV1085" s="5">
        <v>41</v>
      </c>
      <c r="AW1085" s="5">
        <v>50.11</v>
      </c>
      <c r="AX1085" s="5">
        <v>820</v>
      </c>
      <c r="AY1085" s="5" t="s">
        <v>76</v>
      </c>
      <c r="AZ1085" s="5">
        <v>5.76</v>
      </c>
      <c r="BA1085" s="5">
        <v>3.98</v>
      </c>
      <c r="BB1085" s="12" t="s">
        <v>76</v>
      </c>
      <c r="BC1085" s="5">
        <v>5.02</v>
      </c>
      <c r="BD1085" s="5">
        <v>112</v>
      </c>
      <c r="BE1085" s="5" t="s">
        <v>76</v>
      </c>
      <c r="BF1085" s="5" t="s">
        <v>76</v>
      </c>
      <c r="BG1085" s="15">
        <v>36.3</v>
      </c>
      <c r="BH1085" s="5">
        <v>80</v>
      </c>
      <c r="BI1085" s="5">
        <v>80</v>
      </c>
      <c r="BJ1085" s="5">
        <v>18</v>
      </c>
      <c r="BK1085" s="5">
        <v>160</v>
      </c>
      <c r="BL1085" s="5">
        <v>89</v>
      </c>
      <c r="BM1085" s="5">
        <v>60</v>
      </c>
      <c r="BN1085" s="5">
        <v>155</v>
      </c>
      <c r="BO1085" s="5">
        <f t="shared" si="16"/>
        <v>24.9739854318418</v>
      </c>
      <c r="BP1085" s="5" t="s">
        <v>415</v>
      </c>
      <c r="BQ1085" s="5" t="s">
        <v>76</v>
      </c>
      <c r="BR1085" s="5">
        <v>1211</v>
      </c>
    </row>
    <row r="1086" s="1" customFormat="1" spans="1:70">
      <c r="A1086" s="1">
        <v>3272469</v>
      </c>
      <c r="B1086" s="1" t="s">
        <v>2520</v>
      </c>
      <c r="D1086" s="4">
        <v>44954</v>
      </c>
      <c r="E1086" s="4">
        <v>44970</v>
      </c>
      <c r="F1086" s="7">
        <v>23835</v>
      </c>
      <c r="G1086" s="1">
        <v>56</v>
      </c>
      <c r="H1086" s="1">
        <v>10</v>
      </c>
      <c r="I1086" s="1">
        <v>75</v>
      </c>
      <c r="J1086" s="1">
        <v>9</v>
      </c>
      <c r="K1086" s="1">
        <v>30</v>
      </c>
      <c r="L1086" s="1">
        <v>15</v>
      </c>
      <c r="N1086" s="1">
        <v>23.1</v>
      </c>
      <c r="O1086" s="7">
        <v>23835</v>
      </c>
      <c r="P1086" s="4">
        <v>44954</v>
      </c>
      <c r="Q1086" s="4">
        <v>44970</v>
      </c>
      <c r="R1086" s="1" t="s">
        <v>80</v>
      </c>
      <c r="AO1086" s="7">
        <v>23835</v>
      </c>
      <c r="AP1086" s="5">
        <v>7.5</v>
      </c>
      <c r="AQ1086" s="5">
        <v>151</v>
      </c>
      <c r="AR1086" s="5">
        <v>50.6</v>
      </c>
      <c r="AS1086" s="5">
        <v>13.3</v>
      </c>
      <c r="AT1086" s="5">
        <v>63</v>
      </c>
      <c r="AU1086" s="5">
        <v>8</v>
      </c>
      <c r="AV1086" s="5">
        <v>42.1</v>
      </c>
      <c r="AW1086" s="5">
        <v>9.83</v>
      </c>
      <c r="AX1086" s="5">
        <v>90</v>
      </c>
      <c r="AY1086" s="5">
        <v>62.96</v>
      </c>
      <c r="AZ1086" s="5" t="s">
        <v>75</v>
      </c>
      <c r="BA1086" s="5">
        <v>3.18</v>
      </c>
      <c r="BB1086" s="12" t="s">
        <v>76</v>
      </c>
      <c r="BC1086" s="5">
        <v>5.06</v>
      </c>
      <c r="BD1086" s="5">
        <v>151</v>
      </c>
      <c r="BE1086" s="5">
        <v>0.37</v>
      </c>
      <c r="BF1086" s="5">
        <v>2.29</v>
      </c>
      <c r="BG1086" s="15">
        <v>36.5</v>
      </c>
      <c r="BH1086" s="5">
        <v>65</v>
      </c>
      <c r="BI1086" s="5">
        <v>89</v>
      </c>
      <c r="BJ1086" s="5">
        <v>19</v>
      </c>
      <c r="BK1086" s="5">
        <v>105</v>
      </c>
      <c r="BL1086" s="5">
        <v>74</v>
      </c>
      <c r="BM1086" s="5">
        <v>80</v>
      </c>
      <c r="BN1086" s="5">
        <v>170</v>
      </c>
      <c r="BO1086" s="5">
        <f t="shared" si="16"/>
        <v>27.681660899654</v>
      </c>
      <c r="BP1086" s="5" t="s">
        <v>107</v>
      </c>
      <c r="BQ1086" s="5" t="s">
        <v>76</v>
      </c>
      <c r="BR1086" s="5" t="s">
        <v>118</v>
      </c>
    </row>
    <row r="1087" s="1" customFormat="1" spans="1:70">
      <c r="A1087" s="1">
        <v>3258410</v>
      </c>
      <c r="B1087" s="1" t="s">
        <v>2520</v>
      </c>
      <c r="D1087" s="4">
        <v>44925</v>
      </c>
      <c r="E1087" s="4">
        <v>44932</v>
      </c>
      <c r="F1087" s="7">
        <v>23835</v>
      </c>
      <c r="G1087" s="1">
        <v>55</v>
      </c>
      <c r="H1087" s="1">
        <v>10</v>
      </c>
      <c r="I1087" s="1">
        <v>74</v>
      </c>
      <c r="J1087" s="1">
        <v>9</v>
      </c>
      <c r="K1087" s="1">
        <v>34</v>
      </c>
      <c r="L1087" s="1">
        <v>17</v>
      </c>
      <c r="N1087" s="1">
        <v>13.7</v>
      </c>
      <c r="O1087" s="7">
        <v>23835</v>
      </c>
      <c r="P1087" s="4">
        <v>44925</v>
      </c>
      <c r="Q1087" s="4">
        <v>44932</v>
      </c>
      <c r="R1087" s="1" t="s">
        <v>80</v>
      </c>
      <c r="AO1087" s="7">
        <v>23835</v>
      </c>
      <c r="AP1087" s="5">
        <v>7.6</v>
      </c>
      <c r="AQ1087" s="5">
        <v>149</v>
      </c>
      <c r="AR1087" s="5">
        <v>48.3</v>
      </c>
      <c r="AS1087" s="5">
        <v>33</v>
      </c>
      <c r="AT1087" s="5">
        <v>99</v>
      </c>
      <c r="AU1087" s="5">
        <v>632</v>
      </c>
      <c r="AV1087" s="5">
        <v>39.9</v>
      </c>
      <c r="AW1087" s="5">
        <v>7.17</v>
      </c>
      <c r="AX1087" s="5">
        <v>84</v>
      </c>
      <c r="AY1087" s="5">
        <v>93.21</v>
      </c>
      <c r="AZ1087" s="5" t="s">
        <v>75</v>
      </c>
      <c r="BA1087" s="5">
        <v>3.84</v>
      </c>
      <c r="BB1087" s="12" t="s">
        <v>76</v>
      </c>
      <c r="BC1087" s="5">
        <v>5.56</v>
      </c>
      <c r="BD1087" s="5">
        <v>149</v>
      </c>
      <c r="BE1087" s="5">
        <v>0.39</v>
      </c>
      <c r="BF1087" s="5">
        <v>2.85</v>
      </c>
      <c r="BG1087" s="15">
        <v>36.5</v>
      </c>
      <c r="BH1087" s="5">
        <v>90</v>
      </c>
      <c r="BI1087" s="5">
        <v>96</v>
      </c>
      <c r="BJ1087" s="5">
        <v>20</v>
      </c>
      <c r="BK1087" s="5">
        <v>105</v>
      </c>
      <c r="BL1087" s="5">
        <v>74</v>
      </c>
      <c r="BM1087" s="5">
        <v>85</v>
      </c>
      <c r="BN1087" s="5">
        <v>170</v>
      </c>
      <c r="BO1087" s="5">
        <f t="shared" si="16"/>
        <v>29.4117647058824</v>
      </c>
      <c r="BP1087" s="5" t="s">
        <v>107</v>
      </c>
      <c r="BQ1087" s="5">
        <v>5.9</v>
      </c>
      <c r="BR1087" s="5">
        <v>4829</v>
      </c>
    </row>
    <row r="1088" s="1" customFormat="1" spans="1:70">
      <c r="A1088" s="1">
        <v>3515915</v>
      </c>
      <c r="B1088" s="1" t="s">
        <v>2521</v>
      </c>
      <c r="D1088" s="4">
        <v>45288</v>
      </c>
      <c r="E1088" s="4">
        <v>45299</v>
      </c>
      <c r="F1088" s="7">
        <v>23845</v>
      </c>
      <c r="G1088" s="1">
        <v>38</v>
      </c>
      <c r="H1088" s="1">
        <v>8</v>
      </c>
      <c r="I1088" s="1">
        <v>48</v>
      </c>
      <c r="J1088" s="1">
        <v>8</v>
      </c>
      <c r="K1088" s="1">
        <v>62</v>
      </c>
      <c r="L1088" s="1">
        <v>33</v>
      </c>
      <c r="M1088" s="1">
        <v>0.77</v>
      </c>
      <c r="O1088" s="7">
        <v>23845</v>
      </c>
      <c r="P1088" s="4">
        <v>45288</v>
      </c>
      <c r="Q1088" s="4">
        <v>45299</v>
      </c>
      <c r="R1088" s="1" t="s">
        <v>80</v>
      </c>
      <c r="AO1088" s="7">
        <v>23845</v>
      </c>
      <c r="AP1088" s="5">
        <v>6.4</v>
      </c>
      <c r="AQ1088" s="5">
        <v>96</v>
      </c>
      <c r="AR1088" s="5">
        <v>47.6</v>
      </c>
      <c r="AS1088" s="5">
        <v>9.1</v>
      </c>
      <c r="AT1088" s="5">
        <v>39</v>
      </c>
      <c r="AU1088" s="5">
        <v>23</v>
      </c>
      <c r="AV1088" s="5">
        <v>28.2</v>
      </c>
      <c r="AW1088" s="5">
        <v>7.7</v>
      </c>
      <c r="AX1088" s="5">
        <v>81</v>
      </c>
      <c r="AY1088" s="5" t="s">
        <v>125</v>
      </c>
      <c r="AZ1088" s="5" t="s">
        <v>2522</v>
      </c>
      <c r="BA1088" s="5" t="s">
        <v>76</v>
      </c>
      <c r="BB1088" s="12" t="s">
        <v>76</v>
      </c>
      <c r="BC1088" s="5">
        <v>4.17</v>
      </c>
      <c r="BD1088" s="5">
        <v>96</v>
      </c>
      <c r="BE1088" s="5" t="s">
        <v>76</v>
      </c>
      <c r="BF1088" s="5" t="s">
        <v>76</v>
      </c>
      <c r="BG1088" s="15">
        <v>36.5</v>
      </c>
      <c r="BH1088" s="5">
        <v>105</v>
      </c>
      <c r="BI1088" s="5">
        <v>105</v>
      </c>
      <c r="BJ1088" s="5">
        <v>15</v>
      </c>
      <c r="BK1088" s="5">
        <v>180</v>
      </c>
      <c r="BL1088" s="5">
        <v>106</v>
      </c>
      <c r="BM1088" s="5">
        <v>75</v>
      </c>
      <c r="BN1088" s="5">
        <v>170</v>
      </c>
      <c r="BO1088" s="5">
        <f t="shared" si="16"/>
        <v>25.9515570934256</v>
      </c>
      <c r="BP1088" s="5" t="s">
        <v>164</v>
      </c>
      <c r="BQ1088" s="5">
        <v>16.3</v>
      </c>
      <c r="BR1088" s="5">
        <v>980.6</v>
      </c>
    </row>
    <row r="1089" s="1" customFormat="1" spans="1:70">
      <c r="A1089" s="1">
        <v>3287085</v>
      </c>
      <c r="B1089" s="1" t="s">
        <v>2523</v>
      </c>
      <c r="D1089" s="4">
        <v>44972</v>
      </c>
      <c r="E1089" s="4">
        <v>45004</v>
      </c>
      <c r="F1089" s="7">
        <v>23891</v>
      </c>
      <c r="G1089" s="1">
        <v>91</v>
      </c>
      <c r="H1089" s="1">
        <v>8</v>
      </c>
      <c r="I1089" s="1">
        <v>42</v>
      </c>
      <c r="J1089" s="1">
        <v>8</v>
      </c>
      <c r="K1089" s="1">
        <v>58</v>
      </c>
      <c r="L1089" s="1">
        <v>31</v>
      </c>
      <c r="O1089" s="7">
        <v>23891</v>
      </c>
      <c r="P1089" s="4">
        <v>44972</v>
      </c>
      <c r="Q1089" s="4">
        <v>45004</v>
      </c>
      <c r="R1089" s="1" t="s">
        <v>73</v>
      </c>
      <c r="AO1089" s="7">
        <v>23891</v>
      </c>
      <c r="AP1089" s="5">
        <v>9.3</v>
      </c>
      <c r="AQ1089" s="5">
        <v>97</v>
      </c>
      <c r="AR1089" s="5">
        <v>61.3</v>
      </c>
      <c r="AS1089" s="5">
        <v>8.6</v>
      </c>
      <c r="AT1089" s="5">
        <v>33</v>
      </c>
      <c r="AU1089" s="5">
        <v>9</v>
      </c>
      <c r="AV1089" s="5">
        <v>41.7</v>
      </c>
      <c r="AW1089" s="5">
        <v>9.82</v>
      </c>
      <c r="AX1089" s="5">
        <v>64</v>
      </c>
      <c r="AY1089" s="5" t="s">
        <v>125</v>
      </c>
      <c r="AZ1089" s="5">
        <v>9.7</v>
      </c>
      <c r="BA1089" s="5">
        <v>3.12</v>
      </c>
      <c r="BB1089" s="12" t="s">
        <v>76</v>
      </c>
      <c r="BC1089" s="5">
        <v>4.76</v>
      </c>
      <c r="BD1089" s="5">
        <v>97</v>
      </c>
      <c r="BE1089" s="5" t="s">
        <v>76</v>
      </c>
      <c r="BF1089" s="5" t="s">
        <v>76</v>
      </c>
      <c r="BG1089" s="15">
        <v>36.6</v>
      </c>
      <c r="BH1089" s="5" t="s">
        <v>76</v>
      </c>
      <c r="BI1089" s="5">
        <v>110</v>
      </c>
      <c r="BJ1089" s="5">
        <v>20</v>
      </c>
      <c r="BK1089" s="5">
        <v>129</v>
      </c>
      <c r="BL1089" s="5">
        <v>82</v>
      </c>
      <c r="BM1089" s="5">
        <v>45</v>
      </c>
      <c r="BN1089" s="5">
        <v>156</v>
      </c>
      <c r="BO1089" s="5">
        <f t="shared" si="16"/>
        <v>18.491124260355</v>
      </c>
      <c r="BP1089" s="5" t="s">
        <v>618</v>
      </c>
      <c r="BQ1089" s="5" t="s">
        <v>76</v>
      </c>
      <c r="BR1089" s="5">
        <v>944</v>
      </c>
    </row>
    <row r="1090" s="1" customFormat="1" spans="1:70">
      <c r="A1090" s="1">
        <v>3290629</v>
      </c>
      <c r="B1090" s="1" t="s">
        <v>2524</v>
      </c>
      <c r="D1090" s="4">
        <v>44978</v>
      </c>
      <c r="E1090" s="4">
        <v>44985</v>
      </c>
      <c r="F1090" s="7">
        <v>23897</v>
      </c>
      <c r="G1090" s="1">
        <v>35</v>
      </c>
      <c r="H1090" s="1">
        <v>9</v>
      </c>
      <c r="I1090" s="1">
        <v>53</v>
      </c>
      <c r="J1090" s="1">
        <v>9</v>
      </c>
      <c r="K1090" s="1">
        <v>41</v>
      </c>
      <c r="M1090" s="1">
        <v>0.73</v>
      </c>
      <c r="N1090" s="1">
        <v>9.1</v>
      </c>
      <c r="O1090" s="7">
        <v>23897</v>
      </c>
      <c r="P1090" s="4">
        <v>44978</v>
      </c>
      <c r="Q1090" s="4">
        <v>44985</v>
      </c>
      <c r="R1090" s="1" t="s">
        <v>80</v>
      </c>
      <c r="AO1090" s="7">
        <v>23897</v>
      </c>
      <c r="AP1090" s="5">
        <v>8.6</v>
      </c>
      <c r="AQ1090" s="5">
        <v>143</v>
      </c>
      <c r="AR1090" s="5">
        <v>45</v>
      </c>
      <c r="AS1090" s="5">
        <v>9.5</v>
      </c>
      <c r="AT1090" s="5">
        <v>86</v>
      </c>
      <c r="AU1090" s="5">
        <v>60</v>
      </c>
      <c r="AV1090" s="5">
        <v>41.1</v>
      </c>
      <c r="AW1090" s="5">
        <v>6.49</v>
      </c>
      <c r="AX1090" s="5">
        <v>76</v>
      </c>
      <c r="AY1090" s="5" t="s">
        <v>125</v>
      </c>
      <c r="AZ1090" s="5">
        <v>9.11</v>
      </c>
      <c r="BA1090" s="5">
        <v>4.28</v>
      </c>
      <c r="BB1090" s="12" t="s">
        <v>76</v>
      </c>
      <c r="BC1090" s="5">
        <v>4.28</v>
      </c>
      <c r="BD1090" s="5">
        <v>143</v>
      </c>
      <c r="BE1090" s="5">
        <v>0.93</v>
      </c>
      <c r="BF1090" s="5">
        <v>2.89</v>
      </c>
      <c r="BG1090" s="15">
        <v>36.1</v>
      </c>
      <c r="BH1090" s="5">
        <v>88</v>
      </c>
      <c r="BI1090" s="5">
        <v>88</v>
      </c>
      <c r="BJ1090" s="5">
        <v>20</v>
      </c>
      <c r="BK1090" s="5">
        <v>101</v>
      </c>
      <c r="BL1090" s="5">
        <v>69</v>
      </c>
      <c r="BM1090" s="5">
        <v>78</v>
      </c>
      <c r="BN1090" s="5">
        <v>176</v>
      </c>
      <c r="BO1090" s="5">
        <f t="shared" si="16"/>
        <v>25.1807851239669</v>
      </c>
      <c r="BP1090" s="5" t="s">
        <v>323</v>
      </c>
      <c r="BQ1090" s="5">
        <v>5.7</v>
      </c>
      <c r="BR1090" s="5">
        <v>921</v>
      </c>
    </row>
    <row r="1091" s="1" customFormat="1" spans="1:70">
      <c r="A1091" s="1">
        <v>3279892</v>
      </c>
      <c r="B1091" s="1" t="s">
        <v>2525</v>
      </c>
      <c r="D1091" s="4">
        <v>44963</v>
      </c>
      <c r="E1091" s="4">
        <v>44969</v>
      </c>
      <c r="F1091" s="7">
        <v>23898</v>
      </c>
      <c r="G1091" s="1">
        <v>28</v>
      </c>
      <c r="H1091" s="1">
        <v>9</v>
      </c>
      <c r="I1091" s="1">
        <v>47</v>
      </c>
      <c r="J1091" s="1">
        <v>9</v>
      </c>
      <c r="K1091" s="1">
        <v>69</v>
      </c>
      <c r="L1091" s="1">
        <v>39</v>
      </c>
      <c r="M1091" s="1">
        <v>1.1</v>
      </c>
      <c r="N1091" s="1">
        <v>12.3</v>
      </c>
      <c r="O1091" s="7">
        <v>23898</v>
      </c>
      <c r="P1091" s="4">
        <v>44963</v>
      </c>
      <c r="Q1091" s="4">
        <v>44969</v>
      </c>
      <c r="R1091" s="1" t="s">
        <v>80</v>
      </c>
      <c r="AO1091" s="7">
        <v>23898</v>
      </c>
      <c r="AP1091" s="5">
        <v>6.9</v>
      </c>
      <c r="AQ1091" s="5">
        <v>140</v>
      </c>
      <c r="AR1091" s="5">
        <v>41.8</v>
      </c>
      <c r="AS1091" s="5" t="s">
        <v>76</v>
      </c>
      <c r="AT1091" s="5">
        <v>37</v>
      </c>
      <c r="AU1091" s="5" t="s">
        <v>76</v>
      </c>
      <c r="AV1091" s="5" t="s">
        <v>76</v>
      </c>
      <c r="AW1091" s="5" t="s">
        <v>76</v>
      </c>
      <c r="AX1091" s="5" t="s">
        <v>76</v>
      </c>
      <c r="AY1091" s="5" t="s">
        <v>76</v>
      </c>
      <c r="AZ1091" s="5" t="s">
        <v>75</v>
      </c>
      <c r="BA1091" s="5">
        <v>3.56</v>
      </c>
      <c r="BB1091" s="12" t="s">
        <v>76</v>
      </c>
      <c r="BC1091" s="5" t="s">
        <v>76</v>
      </c>
      <c r="BD1091" s="5">
        <v>140</v>
      </c>
      <c r="BE1091" s="5">
        <v>1</v>
      </c>
      <c r="BF1091" s="5">
        <v>2.34</v>
      </c>
      <c r="BG1091" s="15">
        <v>36.6</v>
      </c>
      <c r="BH1091" s="5">
        <v>62</v>
      </c>
      <c r="BI1091" s="5">
        <v>62</v>
      </c>
      <c r="BJ1091" s="5">
        <v>18</v>
      </c>
      <c r="BK1091" s="5">
        <v>126</v>
      </c>
      <c r="BL1091" s="5">
        <v>74</v>
      </c>
      <c r="BM1091" s="5">
        <v>69</v>
      </c>
      <c r="BN1091" s="5">
        <v>172</v>
      </c>
      <c r="BO1091" s="5">
        <f t="shared" ref="BO1091:BO1154" si="17">BM1091/(BN1091/100)^2</f>
        <v>23.3234180638183</v>
      </c>
      <c r="BP1091" s="5" t="s">
        <v>156</v>
      </c>
      <c r="BQ1091" s="5">
        <v>5.4</v>
      </c>
      <c r="BR1091" s="5">
        <v>1144</v>
      </c>
    </row>
    <row r="1092" s="1" customFormat="1" spans="1:70">
      <c r="A1092" s="1">
        <v>3503333</v>
      </c>
      <c r="B1092" s="1" t="s">
        <v>2526</v>
      </c>
      <c r="D1092" s="4">
        <v>45271</v>
      </c>
      <c r="E1092" s="4">
        <v>45278</v>
      </c>
      <c r="F1092" s="7">
        <v>23927</v>
      </c>
      <c r="G1092" s="1">
        <v>31</v>
      </c>
      <c r="H1092" s="1">
        <v>9</v>
      </c>
      <c r="I1092" s="1">
        <v>47</v>
      </c>
      <c r="J1092" s="1">
        <v>9</v>
      </c>
      <c r="K1092" s="1">
        <v>63</v>
      </c>
      <c r="L1092" s="1">
        <v>34</v>
      </c>
      <c r="M1092" s="1">
        <v>0.74</v>
      </c>
      <c r="N1092" s="1">
        <v>6.9</v>
      </c>
      <c r="O1092" s="7">
        <v>23927</v>
      </c>
      <c r="P1092" s="4">
        <v>45271</v>
      </c>
      <c r="Q1092" s="4">
        <v>45278</v>
      </c>
      <c r="R1092" s="1" t="s">
        <v>80</v>
      </c>
      <c r="AO1092" s="7">
        <v>23927</v>
      </c>
      <c r="AP1092" s="5">
        <v>9.2</v>
      </c>
      <c r="AQ1092" s="5">
        <v>157</v>
      </c>
      <c r="AR1092" s="5">
        <v>48.7</v>
      </c>
      <c r="AS1092" s="5" t="s">
        <v>81</v>
      </c>
      <c r="AT1092" s="5">
        <v>25</v>
      </c>
      <c r="AU1092" s="5">
        <v>25</v>
      </c>
      <c r="AV1092" s="5">
        <v>43.6</v>
      </c>
      <c r="AW1092" s="5">
        <v>4.84</v>
      </c>
      <c r="AX1092" s="5">
        <v>62</v>
      </c>
      <c r="AY1092" s="5" t="s">
        <v>125</v>
      </c>
      <c r="AZ1092" s="5" t="s">
        <v>75</v>
      </c>
      <c r="BA1092" s="5">
        <v>4.66</v>
      </c>
      <c r="BB1092" s="12" t="s">
        <v>76</v>
      </c>
      <c r="BC1092" s="5">
        <v>4.24</v>
      </c>
      <c r="BD1092" s="5">
        <v>157</v>
      </c>
      <c r="BE1092" s="5">
        <v>0.97</v>
      </c>
      <c r="BF1092" s="5">
        <v>2.14</v>
      </c>
      <c r="BG1092" s="15">
        <v>36.6</v>
      </c>
      <c r="BH1092" s="5">
        <v>80</v>
      </c>
      <c r="BI1092" s="5">
        <v>80</v>
      </c>
      <c r="BJ1092" s="5">
        <v>15</v>
      </c>
      <c r="BK1092" s="5">
        <v>159</v>
      </c>
      <c r="BL1092" s="5">
        <v>94</v>
      </c>
      <c r="BM1092" s="5">
        <v>65</v>
      </c>
      <c r="BN1092" s="5">
        <v>166</v>
      </c>
      <c r="BO1092" s="5">
        <f t="shared" si="17"/>
        <v>23.5883292204964</v>
      </c>
      <c r="BP1092" s="5" t="s">
        <v>144</v>
      </c>
      <c r="BQ1092" s="5">
        <v>5.8</v>
      </c>
      <c r="BR1092" s="5">
        <v>1599</v>
      </c>
    </row>
    <row r="1093" s="1" customFormat="1" spans="1:70">
      <c r="A1093" s="1">
        <v>3269784</v>
      </c>
      <c r="B1093" s="1" t="s">
        <v>2527</v>
      </c>
      <c r="D1093" s="4">
        <v>44950</v>
      </c>
      <c r="E1093" s="4">
        <v>44959</v>
      </c>
      <c r="F1093" s="7">
        <v>23933</v>
      </c>
      <c r="G1093" s="1">
        <v>43</v>
      </c>
      <c r="H1093" s="1">
        <v>9</v>
      </c>
      <c r="I1093" s="1">
        <v>50</v>
      </c>
      <c r="J1093" s="1">
        <v>9</v>
      </c>
      <c r="K1093" s="1">
        <v>48</v>
      </c>
      <c r="L1093" s="1">
        <v>25</v>
      </c>
      <c r="M1093" s="1">
        <v>2.09</v>
      </c>
      <c r="N1093" s="1">
        <v>9.6</v>
      </c>
      <c r="O1093" s="7">
        <v>23933</v>
      </c>
      <c r="P1093" s="4">
        <v>44950</v>
      </c>
      <c r="Q1093" s="4">
        <v>44959</v>
      </c>
      <c r="R1093" s="1" t="s">
        <v>73</v>
      </c>
      <c r="AO1093" s="7">
        <v>23933</v>
      </c>
      <c r="AP1093" s="5">
        <v>4.7</v>
      </c>
      <c r="AQ1093" s="5">
        <v>132</v>
      </c>
      <c r="AR1093" s="5">
        <v>41.1</v>
      </c>
      <c r="AS1093" s="5">
        <v>0.5</v>
      </c>
      <c r="AT1093" s="5">
        <v>21</v>
      </c>
      <c r="AU1093" s="5">
        <v>19</v>
      </c>
      <c r="AV1093" s="5">
        <v>38.5</v>
      </c>
      <c r="AW1093" s="5">
        <v>7.4</v>
      </c>
      <c r="AX1093" s="5">
        <v>72</v>
      </c>
      <c r="AY1093" s="5">
        <v>76.98</v>
      </c>
      <c r="AZ1093" s="5" t="s">
        <v>75</v>
      </c>
      <c r="BA1093" s="5">
        <v>3.54</v>
      </c>
      <c r="BB1093" s="12" t="s">
        <v>76</v>
      </c>
      <c r="BC1093" s="5">
        <v>4.49</v>
      </c>
      <c r="BD1093" s="5">
        <v>132</v>
      </c>
      <c r="BE1093" s="5">
        <v>1.41</v>
      </c>
      <c r="BF1093" s="5">
        <v>1.84</v>
      </c>
      <c r="BG1093" s="15">
        <v>36.2</v>
      </c>
      <c r="BH1093" s="5">
        <v>110</v>
      </c>
      <c r="BI1093" s="5" t="s">
        <v>76</v>
      </c>
      <c r="BJ1093" s="5">
        <v>16</v>
      </c>
      <c r="BK1093" s="5">
        <v>109</v>
      </c>
      <c r="BL1093" s="5">
        <v>89</v>
      </c>
      <c r="BM1093" s="5">
        <v>55</v>
      </c>
      <c r="BN1093" s="5">
        <v>155</v>
      </c>
      <c r="BO1093" s="5">
        <f t="shared" si="17"/>
        <v>22.8928199791883</v>
      </c>
      <c r="BP1093" s="5" t="s">
        <v>357</v>
      </c>
      <c r="BQ1093" s="5">
        <v>6.2</v>
      </c>
      <c r="BR1093" s="5">
        <v>1081</v>
      </c>
    </row>
    <row r="1094" s="1" customFormat="1" spans="1:70">
      <c r="A1094" s="1">
        <v>3240468</v>
      </c>
      <c r="B1094" s="1" t="s">
        <v>2528</v>
      </c>
      <c r="D1094" s="4">
        <v>44883</v>
      </c>
      <c r="E1094" s="4">
        <v>44894</v>
      </c>
      <c r="F1094" s="7">
        <v>23938</v>
      </c>
      <c r="G1094" s="1">
        <v>35</v>
      </c>
      <c r="H1094" s="1">
        <v>8</v>
      </c>
      <c r="I1094" s="1">
        <v>55</v>
      </c>
      <c r="J1094" s="1">
        <v>8</v>
      </c>
      <c r="K1094" s="1">
        <v>52</v>
      </c>
      <c r="L1094" s="1">
        <v>27</v>
      </c>
      <c r="M1094" s="1">
        <v>0.72</v>
      </c>
      <c r="N1094" s="1">
        <v>12.5</v>
      </c>
      <c r="O1094" s="7">
        <v>23938</v>
      </c>
      <c r="P1094" s="4">
        <v>44883</v>
      </c>
      <c r="Q1094" s="4">
        <v>44894</v>
      </c>
      <c r="R1094" s="1" t="s">
        <v>80</v>
      </c>
      <c r="S1094" s="1">
        <v>57</v>
      </c>
      <c r="T1094" s="1" t="s">
        <v>2529</v>
      </c>
      <c r="Z1094" s="1">
        <v>1</v>
      </c>
      <c r="AG1094" s="1">
        <v>1</v>
      </c>
      <c r="AH1094" s="1">
        <v>1</v>
      </c>
      <c r="AI1094" s="1">
        <v>1</v>
      </c>
      <c r="AK1094" s="1">
        <v>1</v>
      </c>
      <c r="AM1094" s="1">
        <v>1</v>
      </c>
      <c r="AO1094" s="7">
        <v>23938</v>
      </c>
      <c r="AP1094" s="5">
        <v>8.5</v>
      </c>
      <c r="AQ1094" s="5">
        <v>177</v>
      </c>
      <c r="AR1094" s="5">
        <v>56.2</v>
      </c>
      <c r="AS1094" s="5">
        <v>4.1</v>
      </c>
      <c r="AT1094" s="5">
        <v>43</v>
      </c>
      <c r="AU1094" s="5">
        <v>21</v>
      </c>
      <c r="AV1094" s="5">
        <v>35.8</v>
      </c>
      <c r="AW1094" s="5">
        <v>9.54</v>
      </c>
      <c r="AX1094" s="5">
        <v>95</v>
      </c>
      <c r="AY1094" s="5">
        <v>75.34</v>
      </c>
      <c r="AZ1094" s="5">
        <v>2.99</v>
      </c>
      <c r="BA1094" s="5">
        <v>2.37</v>
      </c>
      <c r="BB1094" s="12" t="s">
        <v>76</v>
      </c>
      <c r="BC1094" s="5">
        <v>3.82</v>
      </c>
      <c r="BD1094" s="5">
        <v>177</v>
      </c>
      <c r="BE1094" s="5">
        <v>0.62</v>
      </c>
      <c r="BF1094" s="5">
        <v>1.36</v>
      </c>
      <c r="BG1094" s="15">
        <v>36.6</v>
      </c>
      <c r="BH1094" s="5">
        <v>89</v>
      </c>
      <c r="BI1094" s="5" t="s">
        <v>76</v>
      </c>
      <c r="BJ1094" s="5">
        <v>20</v>
      </c>
      <c r="BK1094" s="5">
        <v>145</v>
      </c>
      <c r="BL1094" s="5">
        <v>112</v>
      </c>
      <c r="BM1094" s="5">
        <v>65</v>
      </c>
      <c r="BN1094" s="5">
        <v>174</v>
      </c>
      <c r="BO1094" s="5">
        <f t="shared" si="17"/>
        <v>21.4691504822301</v>
      </c>
      <c r="BP1094" s="5" t="s">
        <v>174</v>
      </c>
      <c r="BQ1094" s="5" t="s">
        <v>76</v>
      </c>
      <c r="BR1094" s="5">
        <v>6704</v>
      </c>
    </row>
    <row r="1095" s="1" customFormat="1" spans="1:70">
      <c r="A1095" s="1" t="s">
        <v>2530</v>
      </c>
      <c r="B1095" s="1" t="s">
        <v>2531</v>
      </c>
      <c r="D1095" s="4">
        <v>44936</v>
      </c>
      <c r="E1095" s="4">
        <v>44956</v>
      </c>
      <c r="F1095" s="7">
        <v>23938</v>
      </c>
      <c r="G1095" s="1">
        <v>45</v>
      </c>
      <c r="H1095" s="1">
        <v>16</v>
      </c>
      <c r="I1095" s="1">
        <v>47</v>
      </c>
      <c r="J1095" s="1">
        <v>10</v>
      </c>
      <c r="K1095" s="1">
        <v>60</v>
      </c>
      <c r="L1095" s="1">
        <v>32</v>
      </c>
      <c r="M1095" s="1">
        <v>0.59</v>
      </c>
      <c r="N1095" s="1">
        <v>10.8</v>
      </c>
      <c r="O1095" s="7">
        <v>23938</v>
      </c>
      <c r="P1095" s="4">
        <v>44936</v>
      </c>
      <c r="Q1095" s="4">
        <v>44956</v>
      </c>
      <c r="R1095" s="1" t="s">
        <v>73</v>
      </c>
      <c r="AO1095" s="7">
        <v>23938</v>
      </c>
      <c r="AP1095" s="5" t="s">
        <v>889</v>
      </c>
      <c r="AQ1095" s="5" t="s">
        <v>318</v>
      </c>
      <c r="AR1095" s="5" t="s">
        <v>526</v>
      </c>
      <c r="AS1095" s="5" t="s">
        <v>81</v>
      </c>
      <c r="AT1095" s="5" t="s">
        <v>96</v>
      </c>
      <c r="AU1095" s="5" t="s">
        <v>215</v>
      </c>
      <c r="AV1095" s="5" t="s">
        <v>2532</v>
      </c>
      <c r="AW1095" s="5" t="s">
        <v>2533</v>
      </c>
      <c r="AX1095" s="5" t="s">
        <v>2534</v>
      </c>
      <c r="AY1095" s="5" t="s">
        <v>2535</v>
      </c>
      <c r="AZ1095" s="5" t="s">
        <v>75</v>
      </c>
      <c r="BA1095" s="5" t="s">
        <v>2536</v>
      </c>
      <c r="BB1095" s="12" t="s">
        <v>76</v>
      </c>
      <c r="BC1095" s="5" t="s">
        <v>2537</v>
      </c>
      <c r="BD1095" s="5" t="s">
        <v>318</v>
      </c>
      <c r="BE1095" s="5" t="s">
        <v>76</v>
      </c>
      <c r="BF1095" s="5" t="s">
        <v>76</v>
      </c>
      <c r="BG1095" s="15">
        <v>36.8</v>
      </c>
      <c r="BH1095" s="5" t="s">
        <v>658</v>
      </c>
      <c r="BI1095" s="5" t="s">
        <v>76</v>
      </c>
      <c r="BJ1095" s="5" t="s">
        <v>101</v>
      </c>
      <c r="BK1095" s="5" t="s">
        <v>500</v>
      </c>
      <c r="BL1095" s="5" t="s">
        <v>425</v>
      </c>
      <c r="BM1095" s="5" t="s">
        <v>468</v>
      </c>
      <c r="BN1095" s="5">
        <v>160</v>
      </c>
      <c r="BO1095" s="5">
        <f t="shared" si="17"/>
        <v>25.390625</v>
      </c>
      <c r="BP1095" s="5" t="s">
        <v>2041</v>
      </c>
      <c r="BQ1095" s="5" t="s">
        <v>76</v>
      </c>
      <c r="BR1095" s="5">
        <v>26320</v>
      </c>
    </row>
    <row r="1096" s="1" customFormat="1" spans="1:70">
      <c r="A1096" s="1" t="s">
        <v>2538</v>
      </c>
      <c r="B1096" s="1" t="s">
        <v>2539</v>
      </c>
      <c r="D1096" s="4">
        <v>44970</v>
      </c>
      <c r="E1096" s="4">
        <v>44981</v>
      </c>
      <c r="F1096" s="7">
        <v>23939</v>
      </c>
      <c r="G1096" s="1">
        <v>30</v>
      </c>
      <c r="H1096" s="1">
        <v>9</v>
      </c>
      <c r="I1096" s="1">
        <v>41</v>
      </c>
      <c r="J1096" s="1">
        <v>9</v>
      </c>
      <c r="K1096" s="1">
        <v>69</v>
      </c>
      <c r="L1096" s="1">
        <v>39</v>
      </c>
      <c r="M1096" s="1">
        <v>0.75</v>
      </c>
      <c r="N1096" s="1">
        <v>15.1</v>
      </c>
      <c r="O1096" s="7">
        <v>23939</v>
      </c>
      <c r="P1096" s="4">
        <v>44970</v>
      </c>
      <c r="Q1096" s="4">
        <v>44981</v>
      </c>
      <c r="R1096" s="1" t="s">
        <v>73</v>
      </c>
      <c r="AO1096" s="7">
        <v>23939</v>
      </c>
      <c r="AP1096" s="5" t="s">
        <v>283</v>
      </c>
      <c r="AQ1096" s="5" t="s">
        <v>972</v>
      </c>
      <c r="AR1096" s="5" t="s">
        <v>241</v>
      </c>
      <c r="AS1096" s="5" t="s">
        <v>2540</v>
      </c>
      <c r="AT1096" s="5" t="s">
        <v>240</v>
      </c>
      <c r="AU1096" s="5" t="s">
        <v>890</v>
      </c>
      <c r="AV1096" s="5" t="s">
        <v>604</v>
      </c>
      <c r="AW1096" s="5" t="s">
        <v>1472</v>
      </c>
      <c r="AX1096" s="5" t="s">
        <v>691</v>
      </c>
      <c r="AY1096" s="5" t="s">
        <v>76</v>
      </c>
      <c r="AZ1096" s="5" t="s">
        <v>75</v>
      </c>
      <c r="BA1096" s="5" t="s">
        <v>1987</v>
      </c>
      <c r="BB1096" s="12" t="s">
        <v>76</v>
      </c>
      <c r="BC1096" s="5" t="s">
        <v>1910</v>
      </c>
      <c r="BD1096" s="5" t="s">
        <v>972</v>
      </c>
      <c r="BE1096" s="5" t="s">
        <v>76</v>
      </c>
      <c r="BF1096" s="5" t="s">
        <v>76</v>
      </c>
      <c r="BG1096" s="15">
        <v>36.4</v>
      </c>
      <c r="BH1096" s="5" t="s">
        <v>201</v>
      </c>
      <c r="BI1096" s="5" t="s">
        <v>76</v>
      </c>
      <c r="BJ1096" s="5" t="s">
        <v>309</v>
      </c>
      <c r="BK1096" s="5" t="s">
        <v>972</v>
      </c>
      <c r="BL1096" s="5" t="s">
        <v>129</v>
      </c>
      <c r="BM1096" s="5" t="s">
        <v>215</v>
      </c>
      <c r="BN1096" s="5">
        <v>160</v>
      </c>
      <c r="BO1096" s="5">
        <f t="shared" si="17"/>
        <v>23.4375</v>
      </c>
      <c r="BP1096" s="5" t="s">
        <v>1268</v>
      </c>
      <c r="BQ1096" s="5" t="s">
        <v>76</v>
      </c>
      <c r="BR1096" s="5">
        <v>2795</v>
      </c>
    </row>
    <row r="1097" s="1" customFormat="1" spans="1:70">
      <c r="A1097" s="1">
        <v>3312146</v>
      </c>
      <c r="B1097" s="1" t="s">
        <v>2541</v>
      </c>
      <c r="D1097" s="4">
        <v>45007</v>
      </c>
      <c r="E1097" s="4">
        <v>45010</v>
      </c>
      <c r="F1097" s="7">
        <v>23963</v>
      </c>
      <c r="G1097" s="1">
        <v>40</v>
      </c>
      <c r="H1097" s="1">
        <v>9</v>
      </c>
      <c r="I1097" s="1">
        <v>58</v>
      </c>
      <c r="J1097" s="1">
        <v>10</v>
      </c>
      <c r="K1097" s="1">
        <v>47</v>
      </c>
      <c r="L1097" s="1">
        <v>24</v>
      </c>
      <c r="M1097" s="1">
        <v>1.62</v>
      </c>
      <c r="N1097" s="1">
        <v>14.3</v>
      </c>
      <c r="O1097" s="7">
        <v>23963</v>
      </c>
      <c r="P1097" s="4">
        <v>45007</v>
      </c>
      <c r="Q1097" s="4">
        <v>45010</v>
      </c>
      <c r="R1097" s="1" t="s">
        <v>80</v>
      </c>
      <c r="AO1097" s="7">
        <v>23963</v>
      </c>
      <c r="AP1097" s="5">
        <v>9.2</v>
      </c>
      <c r="AQ1097" s="5">
        <v>158</v>
      </c>
      <c r="AR1097" s="5">
        <v>47.7</v>
      </c>
      <c r="AS1097" s="5">
        <v>5.3</v>
      </c>
      <c r="AT1097" s="5">
        <v>26</v>
      </c>
      <c r="AU1097" s="5">
        <v>32</v>
      </c>
      <c r="AV1097" s="5">
        <v>41.7</v>
      </c>
      <c r="AW1097" s="5">
        <v>5.58</v>
      </c>
      <c r="AX1097" s="5">
        <v>93</v>
      </c>
      <c r="AY1097" s="5">
        <v>80.19</v>
      </c>
      <c r="AZ1097" s="5">
        <v>4.83</v>
      </c>
      <c r="BA1097" s="5">
        <v>2.57</v>
      </c>
      <c r="BB1097" s="12" t="s">
        <v>76</v>
      </c>
      <c r="BC1097" s="5">
        <v>3.97</v>
      </c>
      <c r="BD1097" s="5">
        <v>158</v>
      </c>
      <c r="BE1097" s="5">
        <v>0.75</v>
      </c>
      <c r="BF1097" s="5">
        <v>0.68</v>
      </c>
      <c r="BG1097" s="15">
        <v>36.5</v>
      </c>
      <c r="BH1097" s="5">
        <v>81</v>
      </c>
      <c r="BI1097" s="5">
        <v>81</v>
      </c>
      <c r="BJ1097" s="5">
        <v>17</v>
      </c>
      <c r="BK1097" s="5">
        <v>85</v>
      </c>
      <c r="BL1097" s="5">
        <v>59</v>
      </c>
      <c r="BM1097" s="5">
        <v>87</v>
      </c>
      <c r="BN1097" s="5">
        <v>183</v>
      </c>
      <c r="BO1097" s="5">
        <f t="shared" si="17"/>
        <v>25.9786795664248</v>
      </c>
      <c r="BP1097" s="5" t="s">
        <v>323</v>
      </c>
      <c r="BQ1097" s="5">
        <v>5.5</v>
      </c>
      <c r="BR1097" s="5">
        <v>3097</v>
      </c>
    </row>
    <row r="1098" s="1" customFormat="1" spans="1:70">
      <c r="A1098" s="1">
        <v>3495477</v>
      </c>
      <c r="B1098" s="1" t="s">
        <v>2542</v>
      </c>
      <c r="D1098" s="4">
        <v>45260</v>
      </c>
      <c r="E1098" s="4">
        <v>45264</v>
      </c>
      <c r="F1098" s="7">
        <v>23965</v>
      </c>
      <c r="G1098" s="1">
        <v>42</v>
      </c>
      <c r="H1098" s="1">
        <v>10</v>
      </c>
      <c r="I1098" s="1">
        <v>52</v>
      </c>
      <c r="J1098" s="1">
        <v>10</v>
      </c>
      <c r="K1098" s="1">
        <v>64</v>
      </c>
      <c r="L1098" s="1">
        <v>35</v>
      </c>
      <c r="M1098" s="1">
        <v>0.72</v>
      </c>
      <c r="N1098" s="1">
        <v>9.8</v>
      </c>
      <c r="O1098" s="7">
        <v>23965</v>
      </c>
      <c r="P1098" s="4">
        <v>45260</v>
      </c>
      <c r="Q1098" s="4">
        <v>45264</v>
      </c>
      <c r="R1098" s="1" t="s">
        <v>80</v>
      </c>
      <c r="AO1098" s="7">
        <v>23965</v>
      </c>
      <c r="AP1098" s="5">
        <v>5.1</v>
      </c>
      <c r="AQ1098" s="5">
        <v>113</v>
      </c>
      <c r="AR1098" s="5">
        <v>36.5</v>
      </c>
      <c r="AS1098" s="5">
        <v>19.1</v>
      </c>
      <c r="AT1098" s="5">
        <v>11</v>
      </c>
      <c r="AU1098" s="5">
        <v>7</v>
      </c>
      <c r="AV1098" s="5">
        <v>37.5</v>
      </c>
      <c r="AW1098" s="5">
        <v>14.03</v>
      </c>
      <c r="AX1098" s="5">
        <v>987</v>
      </c>
      <c r="AY1098" s="5" t="s">
        <v>76</v>
      </c>
      <c r="AZ1098" s="5">
        <v>5.44</v>
      </c>
      <c r="BA1098" s="5">
        <v>4.09</v>
      </c>
      <c r="BB1098" s="12" t="s">
        <v>76</v>
      </c>
      <c r="BC1098" s="5">
        <v>4.05</v>
      </c>
      <c r="BD1098" s="5">
        <v>113</v>
      </c>
      <c r="BE1098" s="5">
        <v>0.92</v>
      </c>
      <c r="BF1098" s="5">
        <v>2.09</v>
      </c>
      <c r="BG1098" s="15">
        <v>36.7</v>
      </c>
      <c r="BH1098" s="5">
        <v>75</v>
      </c>
      <c r="BI1098" s="5">
        <v>75</v>
      </c>
      <c r="BJ1098" s="5">
        <v>20</v>
      </c>
      <c r="BK1098" s="5">
        <v>158</v>
      </c>
      <c r="BL1098" s="5">
        <v>98</v>
      </c>
      <c r="BM1098" s="5">
        <v>75</v>
      </c>
      <c r="BN1098" s="5">
        <v>165</v>
      </c>
      <c r="BO1098" s="5">
        <f t="shared" si="17"/>
        <v>27.5482093663912</v>
      </c>
      <c r="BP1098" s="5" t="s">
        <v>415</v>
      </c>
      <c r="BQ1098" s="5">
        <v>5.3</v>
      </c>
      <c r="BR1098" s="5">
        <v>9097</v>
      </c>
    </row>
    <row r="1099" s="1" customFormat="1" spans="1:70">
      <c r="A1099" s="1">
        <v>3307603</v>
      </c>
      <c r="B1099" s="1" t="s">
        <v>2543</v>
      </c>
      <c r="C1099" s="1">
        <v>1</v>
      </c>
      <c r="D1099" s="4">
        <v>45000</v>
      </c>
      <c r="E1099" s="4">
        <v>45005</v>
      </c>
      <c r="F1099" s="7">
        <v>23994</v>
      </c>
      <c r="G1099" s="1">
        <v>43</v>
      </c>
      <c r="H1099" s="1">
        <v>11</v>
      </c>
      <c r="I1099" s="1">
        <v>56</v>
      </c>
      <c r="J1099" s="1">
        <v>11</v>
      </c>
      <c r="K1099" s="1">
        <v>54</v>
      </c>
      <c r="L1099" s="1">
        <v>28</v>
      </c>
      <c r="M1099" s="1">
        <v>2.38</v>
      </c>
      <c r="N1099" s="1">
        <v>19</v>
      </c>
      <c r="O1099" s="7">
        <v>23994</v>
      </c>
      <c r="P1099" s="4">
        <v>45000</v>
      </c>
      <c r="Q1099" s="4">
        <v>45005</v>
      </c>
      <c r="R1099" s="1" t="s">
        <v>80</v>
      </c>
      <c r="AO1099" s="7">
        <v>23994</v>
      </c>
      <c r="AP1099" s="5">
        <v>4.6</v>
      </c>
      <c r="AQ1099" s="5">
        <v>84</v>
      </c>
      <c r="AR1099" s="5">
        <v>26.1</v>
      </c>
      <c r="AS1099" s="5" t="s">
        <v>76</v>
      </c>
      <c r="AT1099" s="5">
        <v>17</v>
      </c>
      <c r="AU1099" s="5">
        <v>11</v>
      </c>
      <c r="AV1099" s="5">
        <v>34.1</v>
      </c>
      <c r="AW1099" s="5">
        <v>25.94</v>
      </c>
      <c r="AX1099" s="5">
        <v>1296</v>
      </c>
      <c r="AY1099" s="5" t="s">
        <v>76</v>
      </c>
      <c r="AZ1099" s="5">
        <v>8.12</v>
      </c>
      <c r="BA1099" s="5">
        <v>3.46</v>
      </c>
      <c r="BB1099" s="12" t="s">
        <v>76</v>
      </c>
      <c r="BC1099" s="5">
        <v>4.39</v>
      </c>
      <c r="BD1099" s="5">
        <v>84</v>
      </c>
      <c r="BE1099" s="5" t="s">
        <v>76</v>
      </c>
      <c r="BF1099" s="5" t="s">
        <v>76</v>
      </c>
      <c r="BG1099" s="15">
        <v>36.6</v>
      </c>
      <c r="BH1099" s="5">
        <v>67</v>
      </c>
      <c r="BI1099" s="5">
        <v>67</v>
      </c>
      <c r="BJ1099" s="5">
        <v>18</v>
      </c>
      <c r="BK1099" s="5">
        <v>165</v>
      </c>
      <c r="BL1099" s="5">
        <v>93</v>
      </c>
      <c r="BM1099" s="5">
        <v>82</v>
      </c>
      <c r="BN1099" s="5">
        <v>178</v>
      </c>
      <c r="BO1099" s="5">
        <f t="shared" si="17"/>
        <v>25.8805706350208</v>
      </c>
      <c r="BP1099" s="5" t="s">
        <v>415</v>
      </c>
      <c r="BQ1099" s="5" t="s">
        <v>76</v>
      </c>
      <c r="BR1099" s="5" t="s">
        <v>1155</v>
      </c>
    </row>
    <row r="1100" s="1" customFormat="1" spans="1:70">
      <c r="A1100" s="1">
        <v>3324313</v>
      </c>
      <c r="B1100" s="1" t="s">
        <v>2544</v>
      </c>
      <c r="D1100" s="4">
        <v>45024</v>
      </c>
      <c r="E1100" s="4">
        <v>45031</v>
      </c>
      <c r="F1100" s="7">
        <v>23997</v>
      </c>
      <c r="G1100" s="1">
        <v>32</v>
      </c>
      <c r="H1100" s="1">
        <v>9</v>
      </c>
      <c r="I1100" s="1">
        <v>48</v>
      </c>
      <c r="J1100" s="1">
        <v>9</v>
      </c>
      <c r="K1100" s="1">
        <v>60</v>
      </c>
      <c r="L1100" s="1">
        <v>32</v>
      </c>
      <c r="M1100" s="1">
        <v>0.82</v>
      </c>
      <c r="N1100" s="1">
        <v>15.4</v>
      </c>
      <c r="O1100" s="7">
        <v>23997</v>
      </c>
      <c r="P1100" s="4">
        <v>45024</v>
      </c>
      <c r="Q1100" s="4">
        <v>45031</v>
      </c>
      <c r="R1100" s="1" t="s">
        <v>80</v>
      </c>
      <c r="AO1100" s="7">
        <v>23997</v>
      </c>
      <c r="AP1100" s="5">
        <v>9.7</v>
      </c>
      <c r="AQ1100" s="5">
        <v>94</v>
      </c>
      <c r="AR1100" s="5">
        <v>36.9</v>
      </c>
      <c r="AS1100" s="5">
        <v>76.9</v>
      </c>
      <c r="AT1100" s="5">
        <v>73</v>
      </c>
      <c r="AU1100" s="5">
        <v>9</v>
      </c>
      <c r="AV1100" s="5">
        <v>31.2</v>
      </c>
      <c r="AW1100" s="5">
        <v>27.8</v>
      </c>
      <c r="AX1100" s="5">
        <v>162</v>
      </c>
      <c r="AY1100" s="5" t="s">
        <v>76</v>
      </c>
      <c r="AZ1100" s="5">
        <v>7.37</v>
      </c>
      <c r="BA1100" s="5">
        <v>2</v>
      </c>
      <c r="BB1100" s="12" t="s">
        <v>76</v>
      </c>
      <c r="BC1100" s="5">
        <v>5.54</v>
      </c>
      <c r="BD1100" s="5">
        <v>94</v>
      </c>
      <c r="BE1100" s="5" t="s">
        <v>76</v>
      </c>
      <c r="BF1100" s="5" t="s">
        <v>76</v>
      </c>
      <c r="BG1100" s="15">
        <v>36.4</v>
      </c>
      <c r="BH1100" s="5" t="s">
        <v>76</v>
      </c>
      <c r="BI1100" s="5">
        <v>126</v>
      </c>
      <c r="BJ1100" s="5">
        <v>38</v>
      </c>
      <c r="BK1100" s="5">
        <v>160</v>
      </c>
      <c r="BL1100" s="5">
        <v>83</v>
      </c>
      <c r="BM1100" s="5">
        <v>60</v>
      </c>
      <c r="BN1100" s="5">
        <v>167</v>
      </c>
      <c r="BO1100" s="5">
        <f t="shared" si="17"/>
        <v>21.5138585105239</v>
      </c>
      <c r="BP1100" s="5" t="s">
        <v>394</v>
      </c>
      <c r="BQ1100" s="5">
        <v>9.6</v>
      </c>
      <c r="BR1100" s="5">
        <v>9638</v>
      </c>
    </row>
    <row r="1101" s="1" customFormat="1" spans="1:70">
      <c r="A1101" s="1">
        <v>3279970</v>
      </c>
      <c r="B1101" s="1" t="s">
        <v>2545</v>
      </c>
      <c r="D1101" s="4">
        <v>44963</v>
      </c>
      <c r="E1101" s="4">
        <v>44972</v>
      </c>
      <c r="F1101" s="7">
        <v>24022</v>
      </c>
      <c r="G1101" s="1">
        <v>40</v>
      </c>
      <c r="H1101" s="1">
        <v>10</v>
      </c>
      <c r="I1101" s="1">
        <v>54</v>
      </c>
      <c r="J1101" s="1">
        <v>10</v>
      </c>
      <c r="K1101" s="1">
        <v>54</v>
      </c>
      <c r="L1101" s="1">
        <v>28</v>
      </c>
      <c r="M1101" s="1">
        <v>0.65</v>
      </c>
      <c r="N1101" s="1">
        <v>14.3</v>
      </c>
      <c r="O1101" s="7">
        <v>24022</v>
      </c>
      <c r="P1101" s="4">
        <v>44963</v>
      </c>
      <c r="Q1101" s="4">
        <v>44972</v>
      </c>
      <c r="R1101" s="1" t="s">
        <v>80</v>
      </c>
      <c r="AO1101" s="7">
        <v>24022</v>
      </c>
      <c r="AP1101" s="5">
        <v>7.6</v>
      </c>
      <c r="AQ1101" s="5">
        <v>77</v>
      </c>
      <c r="AR1101" s="5">
        <v>29</v>
      </c>
      <c r="AS1101" s="5">
        <v>8.7</v>
      </c>
      <c r="AT1101" s="5">
        <v>47</v>
      </c>
      <c r="AU1101" s="5">
        <v>52</v>
      </c>
      <c r="AV1101" s="5">
        <v>32.8</v>
      </c>
      <c r="AW1101" s="5">
        <v>42.83</v>
      </c>
      <c r="AX1101" s="5">
        <v>99</v>
      </c>
      <c r="AY1101" s="5">
        <v>97.47</v>
      </c>
      <c r="AZ1101" s="5">
        <v>8.4</v>
      </c>
      <c r="BA1101" s="5" t="s">
        <v>76</v>
      </c>
      <c r="BB1101" s="12" t="s">
        <v>76</v>
      </c>
      <c r="BC1101" s="5">
        <v>5.38</v>
      </c>
      <c r="BD1101" s="5">
        <v>77</v>
      </c>
      <c r="BE1101" s="5" t="s">
        <v>76</v>
      </c>
      <c r="BF1101" s="5" t="s">
        <v>76</v>
      </c>
      <c r="BG1101" s="15">
        <v>38.2</v>
      </c>
      <c r="BH1101" s="5" t="s">
        <v>76</v>
      </c>
      <c r="BI1101" s="5">
        <v>102</v>
      </c>
      <c r="BJ1101" s="5">
        <v>38</v>
      </c>
      <c r="BK1101" s="5">
        <v>153</v>
      </c>
      <c r="BL1101" s="5">
        <v>97</v>
      </c>
      <c r="BM1101" s="5" t="s">
        <v>77</v>
      </c>
      <c r="BN1101" s="5" t="s">
        <v>77</v>
      </c>
      <c r="BO1101" s="5" t="e">
        <f t="shared" si="17"/>
        <v>#VALUE!</v>
      </c>
      <c r="BP1101" s="5" t="s">
        <v>369</v>
      </c>
      <c r="BQ1101" s="5">
        <v>8.5</v>
      </c>
      <c r="BR1101" s="5">
        <v>944</v>
      </c>
    </row>
    <row r="1102" s="1" customFormat="1" spans="1:70">
      <c r="A1102" s="1">
        <v>3517071</v>
      </c>
      <c r="B1102" s="1" t="s">
        <v>2546</v>
      </c>
      <c r="D1102" s="4">
        <v>45291</v>
      </c>
      <c r="E1102" s="4">
        <v>45293</v>
      </c>
      <c r="F1102" s="7">
        <v>24055</v>
      </c>
      <c r="G1102" s="1">
        <v>39</v>
      </c>
      <c r="H1102" s="1">
        <v>9</v>
      </c>
      <c r="I1102" s="1">
        <v>46</v>
      </c>
      <c r="J1102" s="1">
        <v>9</v>
      </c>
      <c r="K1102" s="1">
        <v>61</v>
      </c>
      <c r="L1102" s="1">
        <v>33</v>
      </c>
      <c r="M1102" s="1">
        <v>0.85</v>
      </c>
      <c r="O1102" s="7">
        <v>24055</v>
      </c>
      <c r="P1102" s="4">
        <v>45291</v>
      </c>
      <c r="Q1102" s="4">
        <v>45293</v>
      </c>
      <c r="R1102" s="1" t="s">
        <v>80</v>
      </c>
      <c r="AO1102" s="7">
        <v>24055</v>
      </c>
      <c r="AP1102" s="5">
        <v>4.2</v>
      </c>
      <c r="AQ1102" s="5">
        <v>159</v>
      </c>
      <c r="AR1102" s="5">
        <v>58.1</v>
      </c>
      <c r="AS1102" s="5">
        <v>77.8</v>
      </c>
      <c r="AT1102" s="5">
        <v>35</v>
      </c>
      <c r="AU1102" s="5">
        <v>18</v>
      </c>
      <c r="AV1102" s="5">
        <v>41.7</v>
      </c>
      <c r="AW1102" s="5">
        <v>9.3</v>
      </c>
      <c r="AX1102" s="5">
        <v>457</v>
      </c>
      <c r="AY1102" s="5" t="s">
        <v>76</v>
      </c>
      <c r="AZ1102" s="5" t="s">
        <v>2547</v>
      </c>
      <c r="BA1102" s="5" t="s">
        <v>76</v>
      </c>
      <c r="BB1102" s="12" t="s">
        <v>76</v>
      </c>
      <c r="BC1102" s="5">
        <v>4.89</v>
      </c>
      <c r="BD1102" s="5">
        <v>159</v>
      </c>
      <c r="BE1102" s="5" t="s">
        <v>76</v>
      </c>
      <c r="BF1102" s="5" t="s">
        <v>76</v>
      </c>
      <c r="BG1102" s="15">
        <v>37</v>
      </c>
      <c r="BH1102" s="5" t="s">
        <v>76</v>
      </c>
      <c r="BI1102" s="5">
        <v>72</v>
      </c>
      <c r="BJ1102" s="5">
        <v>31</v>
      </c>
      <c r="BK1102" s="5">
        <v>200</v>
      </c>
      <c r="BL1102" s="5">
        <v>113</v>
      </c>
      <c r="BM1102" s="5">
        <v>60</v>
      </c>
      <c r="BN1102" s="5">
        <v>160</v>
      </c>
      <c r="BO1102" s="5">
        <f t="shared" si="17"/>
        <v>23.4375</v>
      </c>
      <c r="BP1102" s="5" t="s">
        <v>394</v>
      </c>
      <c r="BQ1102" s="5">
        <v>5.8</v>
      </c>
      <c r="BR1102" s="5">
        <v>8411</v>
      </c>
    </row>
    <row r="1103" s="1" customFormat="1" spans="1:70">
      <c r="A1103" s="1">
        <v>3280611</v>
      </c>
      <c r="B1103" s="1" t="s">
        <v>2548</v>
      </c>
      <c r="D1103" s="4">
        <v>44964</v>
      </c>
      <c r="E1103" s="4">
        <v>44970</v>
      </c>
      <c r="F1103" s="7">
        <v>24056</v>
      </c>
      <c r="G1103" s="1">
        <v>47</v>
      </c>
      <c r="H1103" s="1">
        <v>12</v>
      </c>
      <c r="I1103" s="1">
        <v>65</v>
      </c>
      <c r="J1103" s="1">
        <v>12</v>
      </c>
      <c r="K1103" s="1">
        <v>31</v>
      </c>
      <c r="L1103" s="1">
        <v>15</v>
      </c>
      <c r="M1103" s="9">
        <v>1.8</v>
      </c>
      <c r="N1103" s="1">
        <v>17.8</v>
      </c>
      <c r="O1103" s="7">
        <v>24056</v>
      </c>
      <c r="P1103" s="4">
        <v>44964</v>
      </c>
      <c r="Q1103" s="4">
        <v>44970</v>
      </c>
      <c r="R1103" s="1" t="s">
        <v>80</v>
      </c>
      <c r="AO1103" s="7">
        <v>24056</v>
      </c>
      <c r="AP1103" s="5">
        <v>6</v>
      </c>
      <c r="AQ1103" s="5">
        <v>148</v>
      </c>
      <c r="AR1103" s="5">
        <v>44.8</v>
      </c>
      <c r="AS1103" s="5">
        <v>2.7</v>
      </c>
      <c r="AT1103" s="5">
        <v>26</v>
      </c>
      <c r="AU1103" s="5">
        <v>38</v>
      </c>
      <c r="AV1103" s="5">
        <v>36.2</v>
      </c>
      <c r="AW1103" s="5">
        <v>5.8</v>
      </c>
      <c r="AX1103" s="5">
        <v>80</v>
      </c>
      <c r="AY1103" s="5">
        <v>91.87</v>
      </c>
      <c r="AZ1103" s="5">
        <v>5.37</v>
      </c>
      <c r="BA1103" s="5">
        <v>5.23</v>
      </c>
      <c r="BB1103" s="12" t="s">
        <v>76</v>
      </c>
      <c r="BC1103" s="5">
        <v>4.16</v>
      </c>
      <c r="BD1103" s="5">
        <v>148</v>
      </c>
      <c r="BE1103" s="5">
        <v>0.71</v>
      </c>
      <c r="BF1103" s="5">
        <v>3.72</v>
      </c>
      <c r="BG1103" s="15">
        <v>36.6</v>
      </c>
      <c r="BH1103" s="5">
        <v>77</v>
      </c>
      <c r="BI1103" s="5" t="s">
        <v>76</v>
      </c>
      <c r="BJ1103" s="5">
        <v>17</v>
      </c>
      <c r="BK1103" s="5">
        <v>80</v>
      </c>
      <c r="BL1103" s="5">
        <v>65</v>
      </c>
      <c r="BM1103" s="5">
        <v>70</v>
      </c>
      <c r="BN1103" s="5">
        <v>168</v>
      </c>
      <c r="BO1103" s="5">
        <f t="shared" si="17"/>
        <v>24.8015873015873</v>
      </c>
      <c r="BP1103" s="5" t="s">
        <v>78</v>
      </c>
      <c r="BQ1103" s="5">
        <v>6.2</v>
      </c>
      <c r="BR1103" s="5">
        <v>8355</v>
      </c>
    </row>
    <row r="1104" s="1" customFormat="1" spans="1:70">
      <c r="A1104" s="1">
        <v>3292014</v>
      </c>
      <c r="B1104" s="1" t="s">
        <v>2549</v>
      </c>
      <c r="D1104" s="4">
        <v>44979</v>
      </c>
      <c r="E1104" s="4">
        <v>44986</v>
      </c>
      <c r="F1104" s="7">
        <v>24059</v>
      </c>
      <c r="G1104" s="1">
        <v>40</v>
      </c>
      <c r="H1104" s="1">
        <v>9</v>
      </c>
      <c r="I1104" s="1">
        <v>48</v>
      </c>
      <c r="J1104" s="1">
        <v>9</v>
      </c>
      <c r="K1104" s="1">
        <v>57</v>
      </c>
      <c r="L1104" s="1">
        <v>30</v>
      </c>
      <c r="N1104" s="1">
        <v>8.1</v>
      </c>
      <c r="O1104" s="7">
        <v>24059</v>
      </c>
      <c r="P1104" s="4">
        <v>44979</v>
      </c>
      <c r="Q1104" s="4">
        <v>44986</v>
      </c>
      <c r="R1104" s="1" t="s">
        <v>80</v>
      </c>
      <c r="AO1104" s="7">
        <v>24059</v>
      </c>
      <c r="AP1104" s="5">
        <v>3.4</v>
      </c>
      <c r="AQ1104" s="5">
        <v>125</v>
      </c>
      <c r="AR1104" s="5">
        <v>40.3</v>
      </c>
      <c r="AS1104" s="5">
        <v>1</v>
      </c>
      <c r="AT1104" s="5">
        <v>22</v>
      </c>
      <c r="AU1104" s="5">
        <v>25</v>
      </c>
      <c r="AV1104" s="5">
        <v>35.6</v>
      </c>
      <c r="AW1104" s="5">
        <v>3.35</v>
      </c>
      <c r="AX1104" s="5">
        <v>56</v>
      </c>
      <c r="AY1104" s="5" t="s">
        <v>125</v>
      </c>
      <c r="AZ1104" s="5">
        <v>5.23</v>
      </c>
      <c r="BA1104" s="5">
        <v>3.95</v>
      </c>
      <c r="BB1104" s="12" t="s">
        <v>76</v>
      </c>
      <c r="BC1104" s="5">
        <v>3.62</v>
      </c>
      <c r="BD1104" s="5">
        <v>125</v>
      </c>
      <c r="BE1104" s="5">
        <v>1.5</v>
      </c>
      <c r="BF1104" s="5">
        <v>2.22</v>
      </c>
      <c r="BG1104" s="15">
        <v>36.6</v>
      </c>
      <c r="BH1104" s="5">
        <v>110</v>
      </c>
      <c r="BI1104" s="5">
        <v>115</v>
      </c>
      <c r="BJ1104" s="5">
        <v>20</v>
      </c>
      <c r="BK1104" s="5">
        <v>112</v>
      </c>
      <c r="BL1104" s="5">
        <v>79</v>
      </c>
      <c r="BM1104" s="5">
        <v>55</v>
      </c>
      <c r="BN1104" s="5">
        <v>162</v>
      </c>
      <c r="BO1104" s="5">
        <f t="shared" si="17"/>
        <v>20.9571711629325</v>
      </c>
      <c r="BP1104" s="5" t="s">
        <v>161</v>
      </c>
      <c r="BQ1104" s="5">
        <v>5.2</v>
      </c>
      <c r="BR1104" s="5">
        <v>1436</v>
      </c>
    </row>
    <row r="1105" s="1" customFormat="1" spans="1:70">
      <c r="A1105" s="1" t="s">
        <v>2550</v>
      </c>
      <c r="B1105" s="1" t="s">
        <v>2551</v>
      </c>
      <c r="D1105" s="4">
        <v>45250</v>
      </c>
      <c r="E1105" s="4">
        <v>45271</v>
      </c>
      <c r="F1105" s="7">
        <v>24062</v>
      </c>
      <c r="G1105" s="1">
        <v>41</v>
      </c>
      <c r="H1105" s="1">
        <v>10</v>
      </c>
      <c r="I1105" s="1">
        <v>52</v>
      </c>
      <c r="J1105" s="1">
        <v>10</v>
      </c>
      <c r="K1105" s="1">
        <v>57</v>
      </c>
      <c r="L1105" s="1">
        <v>30</v>
      </c>
      <c r="M1105" s="1">
        <v>0.76</v>
      </c>
      <c r="N1105" s="1">
        <v>11.7</v>
      </c>
      <c r="O1105" s="7">
        <v>24062</v>
      </c>
      <c r="P1105" s="4">
        <v>45250</v>
      </c>
      <c r="Q1105" s="4">
        <v>45271</v>
      </c>
      <c r="R1105" s="1" t="s">
        <v>80</v>
      </c>
      <c r="AO1105" s="7">
        <v>24062</v>
      </c>
      <c r="AP1105" s="5" t="s">
        <v>179</v>
      </c>
      <c r="AQ1105" s="5" t="s">
        <v>290</v>
      </c>
      <c r="AR1105" s="5" t="s">
        <v>1130</v>
      </c>
      <c r="AS1105" s="5" t="s">
        <v>374</v>
      </c>
      <c r="AT1105" s="5" t="s">
        <v>894</v>
      </c>
      <c r="AU1105" s="5" t="s">
        <v>352</v>
      </c>
      <c r="AV1105" s="5" t="s">
        <v>2552</v>
      </c>
      <c r="AW1105" s="5" t="s">
        <v>2553</v>
      </c>
      <c r="AX1105" s="5" t="s">
        <v>2554</v>
      </c>
      <c r="AY1105" s="5" t="s">
        <v>2555</v>
      </c>
      <c r="AZ1105" s="5" t="s">
        <v>75</v>
      </c>
      <c r="BA1105" s="5" t="s">
        <v>76</v>
      </c>
      <c r="BB1105" s="12" t="s">
        <v>76</v>
      </c>
      <c r="BC1105" s="5" t="s">
        <v>1635</v>
      </c>
      <c r="BD1105" s="5" t="s">
        <v>290</v>
      </c>
      <c r="BE1105" s="5" t="s">
        <v>76</v>
      </c>
      <c r="BF1105" s="5" t="s">
        <v>76</v>
      </c>
      <c r="BG1105" s="15">
        <v>36.6</v>
      </c>
      <c r="BH1105" s="5" t="s">
        <v>1474</v>
      </c>
      <c r="BI1105" s="5" t="s">
        <v>1474</v>
      </c>
      <c r="BJ1105" s="5" t="s">
        <v>293</v>
      </c>
      <c r="BK1105" s="5" t="s">
        <v>548</v>
      </c>
      <c r="BL1105" s="5" t="s">
        <v>100</v>
      </c>
      <c r="BM1105" s="5" t="s">
        <v>215</v>
      </c>
      <c r="BN1105" s="5">
        <v>165</v>
      </c>
      <c r="BO1105" s="5">
        <f t="shared" si="17"/>
        <v>22.038567493113</v>
      </c>
      <c r="BP1105" s="5" t="s">
        <v>542</v>
      </c>
      <c r="BQ1105" s="5" t="s">
        <v>76</v>
      </c>
      <c r="BR1105" s="5">
        <v>9306</v>
      </c>
    </row>
    <row r="1106" s="1" customFormat="1" spans="1:70">
      <c r="A1106" s="1">
        <v>3253600</v>
      </c>
      <c r="B1106" s="16" t="s">
        <v>2556</v>
      </c>
      <c r="C1106" s="16"/>
      <c r="D1106" s="4">
        <v>44908</v>
      </c>
      <c r="E1106" s="4">
        <v>44921</v>
      </c>
      <c r="F1106" s="7">
        <v>24063</v>
      </c>
      <c r="G1106" s="1">
        <v>69</v>
      </c>
      <c r="H1106" s="1">
        <v>11</v>
      </c>
      <c r="I1106" s="1">
        <v>84</v>
      </c>
      <c r="J1106" s="1">
        <v>11</v>
      </c>
      <c r="K1106" s="1">
        <v>60</v>
      </c>
      <c r="L1106" s="1">
        <v>32</v>
      </c>
      <c r="M1106" s="1">
        <v>2.6</v>
      </c>
      <c r="N1106" s="1">
        <v>11.7</v>
      </c>
      <c r="O1106" s="7">
        <v>24063</v>
      </c>
      <c r="P1106" s="4">
        <v>44908</v>
      </c>
      <c r="Q1106" s="4">
        <v>44921</v>
      </c>
      <c r="R1106" s="1" t="s">
        <v>80</v>
      </c>
      <c r="AO1106" s="7">
        <v>24063</v>
      </c>
      <c r="AP1106" s="5">
        <v>5.3</v>
      </c>
      <c r="AQ1106" s="5">
        <v>147</v>
      </c>
      <c r="AR1106" s="5">
        <v>46.7</v>
      </c>
      <c r="AS1106" s="5">
        <v>5.2</v>
      </c>
      <c r="AT1106" s="5">
        <v>28</v>
      </c>
      <c r="AU1106" s="5">
        <v>9</v>
      </c>
      <c r="AV1106" s="5">
        <v>37.4</v>
      </c>
      <c r="AW1106" s="5">
        <v>9.55</v>
      </c>
      <c r="AX1106" s="5">
        <v>71</v>
      </c>
      <c r="AY1106" s="5" t="s">
        <v>125</v>
      </c>
      <c r="AZ1106" s="5" t="s">
        <v>75</v>
      </c>
      <c r="BA1106" s="5">
        <v>3.38</v>
      </c>
      <c r="BB1106" s="12" t="s">
        <v>76</v>
      </c>
      <c r="BC1106" s="5">
        <v>4.96</v>
      </c>
      <c r="BD1106" s="5">
        <v>147</v>
      </c>
      <c r="BE1106" s="5">
        <v>1.29</v>
      </c>
      <c r="BF1106" s="5">
        <v>1.76</v>
      </c>
      <c r="BG1106" s="15">
        <v>36.7</v>
      </c>
      <c r="BH1106" s="5">
        <v>75</v>
      </c>
      <c r="BI1106" s="5">
        <v>84</v>
      </c>
      <c r="BJ1106" s="5">
        <v>16</v>
      </c>
      <c r="BK1106" s="5">
        <v>105</v>
      </c>
      <c r="BL1106" s="5">
        <v>78</v>
      </c>
      <c r="BM1106" s="5">
        <v>58</v>
      </c>
      <c r="BN1106" s="5">
        <v>170</v>
      </c>
      <c r="BO1106" s="5">
        <f t="shared" si="17"/>
        <v>20.0692041522491</v>
      </c>
      <c r="BP1106" s="5" t="s">
        <v>78</v>
      </c>
      <c r="BQ1106" s="5">
        <v>5.9</v>
      </c>
      <c r="BR1106" s="5">
        <v>4744</v>
      </c>
    </row>
    <row r="1107" s="1" customFormat="1" spans="1:70">
      <c r="A1107" s="1" t="s">
        <v>2557</v>
      </c>
      <c r="B1107" s="1" t="s">
        <v>2558</v>
      </c>
      <c r="D1107" s="4">
        <v>44967</v>
      </c>
      <c r="E1107" s="4">
        <v>44978</v>
      </c>
      <c r="F1107" s="7">
        <v>24091</v>
      </c>
      <c r="G1107" s="1">
        <v>67</v>
      </c>
      <c r="H1107" s="1">
        <v>12</v>
      </c>
      <c r="I1107" s="1">
        <v>50</v>
      </c>
      <c r="J1107" s="1">
        <v>11</v>
      </c>
      <c r="K1107" s="1">
        <v>55</v>
      </c>
      <c r="L1107" s="1">
        <v>29</v>
      </c>
      <c r="O1107" s="7">
        <v>24091</v>
      </c>
      <c r="P1107" s="4">
        <v>44967</v>
      </c>
      <c r="Q1107" s="4">
        <v>44978</v>
      </c>
      <c r="R1107" s="1" t="s">
        <v>80</v>
      </c>
      <c r="AO1107" s="7">
        <v>24091</v>
      </c>
      <c r="AP1107" s="5" t="s">
        <v>2559</v>
      </c>
      <c r="AQ1107" s="5" t="s">
        <v>407</v>
      </c>
      <c r="AR1107" s="5" t="s">
        <v>2560</v>
      </c>
      <c r="AS1107" s="5" t="s">
        <v>2561</v>
      </c>
      <c r="AT1107" s="5" t="s">
        <v>760</v>
      </c>
      <c r="AU1107" s="5" t="s">
        <v>1475</v>
      </c>
      <c r="AV1107" s="5" t="s">
        <v>1044</v>
      </c>
      <c r="AW1107" s="5" t="s">
        <v>2562</v>
      </c>
      <c r="AX1107" s="5" t="s">
        <v>131</v>
      </c>
      <c r="AY1107" s="5" t="s">
        <v>125</v>
      </c>
      <c r="AZ1107" s="5" t="s">
        <v>75</v>
      </c>
      <c r="BA1107" s="5" t="s">
        <v>76</v>
      </c>
      <c r="BB1107" s="12" t="s">
        <v>76</v>
      </c>
      <c r="BC1107" s="5" t="s">
        <v>824</v>
      </c>
      <c r="BD1107" s="5" t="s">
        <v>407</v>
      </c>
      <c r="BE1107" s="5" t="s">
        <v>76</v>
      </c>
      <c r="BF1107" s="5" t="s">
        <v>76</v>
      </c>
      <c r="BG1107" s="15">
        <v>37.5</v>
      </c>
      <c r="BH1107" s="5" t="s">
        <v>598</v>
      </c>
      <c r="BI1107" s="5" t="s">
        <v>173</v>
      </c>
      <c r="BJ1107" s="5" t="s">
        <v>769</v>
      </c>
      <c r="BK1107" s="5" t="s">
        <v>558</v>
      </c>
      <c r="BL1107" s="5" t="s">
        <v>483</v>
      </c>
      <c r="BM1107" s="5" t="s">
        <v>233</v>
      </c>
      <c r="BN1107" s="5">
        <v>172</v>
      </c>
      <c r="BO1107" s="5">
        <f t="shared" si="17"/>
        <v>22.3093564088697</v>
      </c>
      <c r="BP1107" s="5" t="s">
        <v>542</v>
      </c>
      <c r="BQ1107" s="5" t="s">
        <v>76</v>
      </c>
      <c r="BR1107" s="5">
        <v>2324</v>
      </c>
    </row>
    <row r="1108" s="1" customFormat="1" spans="1:70">
      <c r="A1108" s="1">
        <v>3505287</v>
      </c>
      <c r="B1108" s="1" t="s">
        <v>2563</v>
      </c>
      <c r="D1108" s="4">
        <v>45273</v>
      </c>
      <c r="E1108" s="4">
        <v>45279</v>
      </c>
      <c r="F1108" s="7">
        <v>24095</v>
      </c>
      <c r="G1108" s="1">
        <v>36</v>
      </c>
      <c r="H1108" s="1">
        <v>10</v>
      </c>
      <c r="I1108" s="1">
        <v>44</v>
      </c>
      <c r="J1108" s="1">
        <v>10</v>
      </c>
      <c r="K1108" s="1">
        <v>57</v>
      </c>
      <c r="L1108" s="1">
        <v>30</v>
      </c>
      <c r="M1108" s="1">
        <v>0.83</v>
      </c>
      <c r="O1108" s="7">
        <v>24095</v>
      </c>
      <c r="P1108" s="4">
        <v>45273</v>
      </c>
      <c r="Q1108" s="4">
        <v>45279</v>
      </c>
      <c r="R1108" s="1" t="s">
        <v>73</v>
      </c>
      <c r="AO1108" s="7">
        <v>24095</v>
      </c>
      <c r="AP1108" s="5">
        <v>5.6</v>
      </c>
      <c r="AQ1108" s="5">
        <v>138</v>
      </c>
      <c r="AR1108" s="5">
        <v>45.4</v>
      </c>
      <c r="AS1108" s="5">
        <v>61.6</v>
      </c>
      <c r="AT1108" s="5">
        <v>99</v>
      </c>
      <c r="AU1108" s="5">
        <v>47</v>
      </c>
      <c r="AV1108" s="5">
        <v>34</v>
      </c>
      <c r="AW1108" s="5">
        <v>5.47</v>
      </c>
      <c r="AX1108" s="5">
        <v>44</v>
      </c>
      <c r="AY1108" s="5" t="s">
        <v>125</v>
      </c>
      <c r="AZ1108" s="5" t="s">
        <v>2564</v>
      </c>
      <c r="BA1108" s="5" t="s">
        <v>76</v>
      </c>
      <c r="BB1108" s="12" t="s">
        <v>76</v>
      </c>
      <c r="BC1108" s="5">
        <v>4.3</v>
      </c>
      <c r="BD1108" s="5">
        <v>138</v>
      </c>
      <c r="BE1108" s="5" t="s">
        <v>76</v>
      </c>
      <c r="BF1108" s="5" t="s">
        <v>76</v>
      </c>
      <c r="BG1108" s="5" t="s">
        <v>76</v>
      </c>
      <c r="BH1108" s="5" t="s">
        <v>76</v>
      </c>
      <c r="BI1108" s="5" t="s">
        <v>76</v>
      </c>
      <c r="BJ1108" s="5" t="s">
        <v>76</v>
      </c>
      <c r="BK1108" s="5" t="s">
        <v>76</v>
      </c>
      <c r="BL1108" s="5" t="s">
        <v>76</v>
      </c>
      <c r="BM1108" s="5" t="s">
        <v>76</v>
      </c>
      <c r="BN1108" s="5" t="s">
        <v>76</v>
      </c>
      <c r="BO1108" s="5" t="e">
        <f t="shared" si="17"/>
        <v>#VALUE!</v>
      </c>
      <c r="BP1108" s="5" t="s">
        <v>117</v>
      </c>
      <c r="BQ1108" s="5" t="s">
        <v>76</v>
      </c>
      <c r="BR1108" s="5">
        <v>3039.24</v>
      </c>
    </row>
    <row r="1109" s="1" customFormat="1" spans="1:70">
      <c r="A1109" s="1">
        <v>3250436</v>
      </c>
      <c r="B1109" s="1" t="s">
        <v>2565</v>
      </c>
      <c r="D1109" s="4">
        <v>44901</v>
      </c>
      <c r="E1109" s="4">
        <v>44911</v>
      </c>
      <c r="F1109" s="7">
        <v>24098</v>
      </c>
      <c r="G1109" s="1">
        <v>47</v>
      </c>
      <c r="H1109" s="1">
        <v>10</v>
      </c>
      <c r="I1109" s="1">
        <v>57</v>
      </c>
      <c r="J1109" s="1">
        <v>9</v>
      </c>
      <c r="K1109" s="1">
        <v>49</v>
      </c>
      <c r="L1109" s="1">
        <v>25</v>
      </c>
      <c r="M1109" s="1">
        <v>1.26</v>
      </c>
      <c r="N1109" s="1">
        <v>8.4</v>
      </c>
      <c r="O1109" s="7">
        <v>24098</v>
      </c>
      <c r="P1109" s="4">
        <v>44901</v>
      </c>
      <c r="Q1109" s="4">
        <v>44911</v>
      </c>
      <c r="R1109" s="1" t="s">
        <v>80</v>
      </c>
      <c r="AO1109" s="7">
        <v>24098</v>
      </c>
      <c r="AP1109" s="5">
        <v>5.7</v>
      </c>
      <c r="AQ1109" s="5">
        <v>167</v>
      </c>
      <c r="AR1109" s="5">
        <v>48.8</v>
      </c>
      <c r="AS1109" s="5">
        <v>0.8</v>
      </c>
      <c r="AT1109" s="5">
        <v>20</v>
      </c>
      <c r="AU1109" s="5">
        <v>9</v>
      </c>
      <c r="AV1109" s="5">
        <v>47.8</v>
      </c>
      <c r="AW1109" s="5">
        <v>9.31</v>
      </c>
      <c r="AX1109" s="5">
        <v>82</v>
      </c>
      <c r="AY1109" s="5">
        <v>89.61</v>
      </c>
      <c r="AZ1109" s="5" t="s">
        <v>375</v>
      </c>
      <c r="BA1109" s="5">
        <v>7.37</v>
      </c>
      <c r="BB1109" s="12" t="s">
        <v>76</v>
      </c>
      <c r="BC1109" s="5">
        <v>4.38</v>
      </c>
      <c r="BD1109" s="5">
        <v>167</v>
      </c>
      <c r="BE1109" s="5" t="s">
        <v>76</v>
      </c>
      <c r="BF1109" s="5" t="s">
        <v>76</v>
      </c>
      <c r="BG1109" s="15">
        <v>36.4</v>
      </c>
      <c r="BH1109" s="5">
        <v>77</v>
      </c>
      <c r="BI1109" s="5" t="s">
        <v>76</v>
      </c>
      <c r="BJ1109" s="5">
        <v>12</v>
      </c>
      <c r="BK1109" s="5">
        <v>154</v>
      </c>
      <c r="BL1109" s="5">
        <v>99</v>
      </c>
      <c r="BM1109" s="5">
        <v>105</v>
      </c>
      <c r="BN1109" s="5">
        <v>173</v>
      </c>
      <c r="BO1109" s="5">
        <f t="shared" si="17"/>
        <v>35.0830298372816</v>
      </c>
      <c r="BP1109" s="5" t="s">
        <v>438</v>
      </c>
      <c r="BQ1109" s="5">
        <v>12.5</v>
      </c>
      <c r="BR1109" s="5">
        <v>1577</v>
      </c>
    </row>
    <row r="1110" s="1" customFormat="1" spans="1:70">
      <c r="A1110" s="1" t="s">
        <v>2566</v>
      </c>
      <c r="B1110" s="1" t="s">
        <v>2567</v>
      </c>
      <c r="D1110" s="4">
        <v>44977</v>
      </c>
      <c r="E1110" s="4">
        <v>44980</v>
      </c>
      <c r="F1110" s="7">
        <v>24112</v>
      </c>
      <c r="G1110" s="1">
        <v>31</v>
      </c>
      <c r="H1110" s="1">
        <v>8</v>
      </c>
      <c r="I1110" s="1">
        <v>40</v>
      </c>
      <c r="J1110" s="1">
        <v>8</v>
      </c>
      <c r="K1110" s="1">
        <v>62</v>
      </c>
      <c r="L1110" s="1">
        <v>33</v>
      </c>
      <c r="M1110" s="1">
        <v>0.68</v>
      </c>
      <c r="N1110" s="1">
        <v>8.3</v>
      </c>
      <c r="O1110" s="7">
        <v>24112</v>
      </c>
      <c r="P1110" s="4">
        <v>44977</v>
      </c>
      <c r="Q1110" s="4">
        <v>44980</v>
      </c>
      <c r="R1110" s="1" t="s">
        <v>73</v>
      </c>
      <c r="S1110" s="1">
        <v>57</v>
      </c>
      <c r="T1110" s="1" t="s">
        <v>2568</v>
      </c>
      <c r="AO1110" s="7">
        <v>24112</v>
      </c>
      <c r="AP1110" s="5" t="s">
        <v>2569</v>
      </c>
      <c r="AQ1110" s="5" t="s">
        <v>186</v>
      </c>
      <c r="AR1110" s="5" t="s">
        <v>2570</v>
      </c>
      <c r="AS1110" s="5" t="s">
        <v>2571</v>
      </c>
      <c r="AT1110" s="5" t="s">
        <v>483</v>
      </c>
      <c r="AU1110" s="5" t="s">
        <v>319</v>
      </c>
      <c r="AV1110" s="5" t="s">
        <v>2572</v>
      </c>
      <c r="AW1110" s="5" t="s">
        <v>1493</v>
      </c>
      <c r="AX1110" s="5" t="s">
        <v>104</v>
      </c>
      <c r="AY1110" s="5" t="s">
        <v>125</v>
      </c>
      <c r="AZ1110" s="5" t="s">
        <v>2573</v>
      </c>
      <c r="BA1110" s="5" t="s">
        <v>2574</v>
      </c>
      <c r="BB1110" s="12" t="s">
        <v>76</v>
      </c>
      <c r="BC1110" s="5" t="s">
        <v>837</v>
      </c>
      <c r="BD1110" s="5" t="s">
        <v>186</v>
      </c>
      <c r="BE1110" s="5" t="s">
        <v>2575</v>
      </c>
      <c r="BF1110" s="5" t="s">
        <v>2576</v>
      </c>
      <c r="BG1110" s="15">
        <v>36.5</v>
      </c>
      <c r="BH1110" s="5" t="s">
        <v>473</v>
      </c>
      <c r="BI1110" s="5" t="s">
        <v>473</v>
      </c>
      <c r="BJ1110" s="5" t="s">
        <v>182</v>
      </c>
      <c r="BK1110" s="5" t="s">
        <v>103</v>
      </c>
      <c r="BL1110" s="5" t="s">
        <v>344</v>
      </c>
      <c r="BM1110" s="5" t="s">
        <v>77</v>
      </c>
      <c r="BN1110" s="5">
        <v>155</v>
      </c>
      <c r="BO1110" s="5" t="e">
        <f t="shared" si="17"/>
        <v>#VALUE!</v>
      </c>
      <c r="BP1110" s="5" t="s">
        <v>1035</v>
      </c>
      <c r="BQ1110" s="5" t="s">
        <v>76</v>
      </c>
      <c r="BR1110" s="5">
        <v>2719</v>
      </c>
    </row>
    <row r="1111" s="1" customFormat="1" spans="1:70">
      <c r="A1111" s="1">
        <v>3293112</v>
      </c>
      <c r="B1111" s="1" t="s">
        <v>2577</v>
      </c>
      <c r="D1111" s="4">
        <v>44981</v>
      </c>
      <c r="E1111" s="4">
        <v>45000</v>
      </c>
      <c r="F1111" s="7">
        <v>24120</v>
      </c>
      <c r="G1111" s="1">
        <v>31</v>
      </c>
      <c r="H1111" s="1">
        <v>7</v>
      </c>
      <c r="I1111" s="1">
        <v>43</v>
      </c>
      <c r="J1111" s="1">
        <v>7</v>
      </c>
      <c r="K1111" s="1">
        <v>53</v>
      </c>
      <c r="L1111" s="1">
        <v>27</v>
      </c>
      <c r="M1111" s="1">
        <v>0.87</v>
      </c>
      <c r="N1111" s="1">
        <v>8.4</v>
      </c>
      <c r="O1111" s="7">
        <v>24120</v>
      </c>
      <c r="P1111" s="4">
        <v>44981</v>
      </c>
      <c r="Q1111" s="4">
        <v>45000</v>
      </c>
      <c r="R1111" s="1" t="s">
        <v>73</v>
      </c>
      <c r="AO1111" s="7">
        <v>24120</v>
      </c>
      <c r="AP1111" s="5">
        <v>9.4</v>
      </c>
      <c r="AQ1111" s="5">
        <v>99</v>
      </c>
      <c r="AR1111" s="5" t="s">
        <v>2578</v>
      </c>
      <c r="AS1111" s="5">
        <v>80.7</v>
      </c>
      <c r="AT1111" s="5">
        <v>51</v>
      </c>
      <c r="AU1111" s="5">
        <v>41</v>
      </c>
      <c r="AV1111" s="5">
        <v>42</v>
      </c>
      <c r="AW1111" s="5">
        <v>9.35</v>
      </c>
      <c r="AX1111" s="5">
        <v>83</v>
      </c>
      <c r="AY1111" s="5" t="s">
        <v>125</v>
      </c>
      <c r="AZ1111" s="5">
        <v>9.7</v>
      </c>
      <c r="BA1111" s="5" t="s">
        <v>76</v>
      </c>
      <c r="BB1111" s="12" t="s">
        <v>76</v>
      </c>
      <c r="BC1111" s="5">
        <v>4.35</v>
      </c>
      <c r="BD1111" s="5">
        <v>99</v>
      </c>
      <c r="BE1111" s="5" t="s">
        <v>76</v>
      </c>
      <c r="BF1111" s="5" t="s">
        <v>76</v>
      </c>
      <c r="BG1111" s="15">
        <v>36.3</v>
      </c>
      <c r="BH1111" s="5">
        <v>72</v>
      </c>
      <c r="BI1111" s="5" t="s">
        <v>76</v>
      </c>
      <c r="BJ1111" s="5">
        <v>18</v>
      </c>
      <c r="BK1111" s="5">
        <v>100</v>
      </c>
      <c r="BL1111" s="5">
        <v>80</v>
      </c>
      <c r="BM1111" s="5">
        <v>40</v>
      </c>
      <c r="BN1111" s="5">
        <v>155</v>
      </c>
      <c r="BO1111" s="5">
        <f t="shared" si="17"/>
        <v>16.6493236212279</v>
      </c>
      <c r="BP1111" s="5" t="s">
        <v>618</v>
      </c>
      <c r="BQ1111" s="5" t="s">
        <v>76</v>
      </c>
      <c r="BR1111" s="5">
        <v>4823</v>
      </c>
    </row>
    <row r="1112" s="1" customFormat="1" spans="1:70">
      <c r="A1112" s="1">
        <v>3281794</v>
      </c>
      <c r="B1112" s="1" t="s">
        <v>2579</v>
      </c>
      <c r="D1112" s="4">
        <v>44965</v>
      </c>
      <c r="E1112" s="4">
        <v>44971</v>
      </c>
      <c r="F1112" s="7">
        <v>24141</v>
      </c>
      <c r="G1112" s="1">
        <v>35</v>
      </c>
      <c r="H1112" s="1">
        <v>7</v>
      </c>
      <c r="I1112" s="1">
        <v>46</v>
      </c>
      <c r="J1112" s="1">
        <v>7</v>
      </c>
      <c r="K1112" s="1">
        <v>64</v>
      </c>
      <c r="L1112" s="1">
        <v>35</v>
      </c>
      <c r="M1112" s="1">
        <v>0.71</v>
      </c>
      <c r="N1112" s="1">
        <v>8.4</v>
      </c>
      <c r="O1112" s="7">
        <v>24141</v>
      </c>
      <c r="P1112" s="4">
        <v>44965</v>
      </c>
      <c r="Q1112" s="4">
        <v>44971</v>
      </c>
      <c r="R1112" s="1" t="s">
        <v>80</v>
      </c>
      <c r="AO1112" s="7">
        <v>24141</v>
      </c>
      <c r="AP1112" s="5">
        <v>8.3</v>
      </c>
      <c r="AQ1112" s="5">
        <v>144</v>
      </c>
      <c r="AR1112" s="5">
        <v>45</v>
      </c>
      <c r="AS1112" s="5">
        <v>9.2</v>
      </c>
      <c r="AT1112" s="5">
        <v>28</v>
      </c>
      <c r="AU1112" s="5">
        <v>17</v>
      </c>
      <c r="AV1112" s="5">
        <v>35.3</v>
      </c>
      <c r="AW1112" s="5">
        <v>6.2</v>
      </c>
      <c r="AX1112" s="5">
        <v>65</v>
      </c>
      <c r="AY1112" s="5" t="s">
        <v>76</v>
      </c>
      <c r="AZ1112" s="5">
        <v>7.1</v>
      </c>
      <c r="BA1112" s="5">
        <v>2.69</v>
      </c>
      <c r="BB1112" s="12" t="s">
        <v>76</v>
      </c>
      <c r="BC1112" s="5">
        <v>3.65</v>
      </c>
      <c r="BD1112" s="5">
        <v>144</v>
      </c>
      <c r="BE1112" s="5">
        <v>1.06</v>
      </c>
      <c r="BF1112" s="5">
        <v>1.26</v>
      </c>
      <c r="BG1112" s="15">
        <v>36.5</v>
      </c>
      <c r="BH1112" s="5">
        <v>78</v>
      </c>
      <c r="BI1112" s="5" t="s">
        <v>76</v>
      </c>
      <c r="BJ1112" s="5">
        <v>18</v>
      </c>
      <c r="BK1112" s="5">
        <v>129</v>
      </c>
      <c r="BL1112" s="5">
        <v>85</v>
      </c>
      <c r="BM1112" s="5">
        <v>50</v>
      </c>
      <c r="BN1112" s="5">
        <v>160</v>
      </c>
      <c r="BO1112" s="5">
        <f t="shared" si="17"/>
        <v>19.53125</v>
      </c>
      <c r="BP1112" s="5" t="s">
        <v>168</v>
      </c>
      <c r="BQ1112" s="5" t="s">
        <v>76</v>
      </c>
      <c r="BR1112" s="5">
        <v>3584</v>
      </c>
    </row>
    <row r="1113" s="1" customFormat="1" spans="1:70">
      <c r="A1113" s="1">
        <v>3251721</v>
      </c>
      <c r="B1113" s="1" t="s">
        <v>2580</v>
      </c>
      <c r="D1113" s="4">
        <v>44904</v>
      </c>
      <c r="E1113" s="4">
        <v>44912</v>
      </c>
      <c r="F1113" s="7">
        <v>24146</v>
      </c>
      <c r="G1113" s="1">
        <v>40</v>
      </c>
      <c r="H1113" s="1">
        <v>9</v>
      </c>
      <c r="I1113" s="1">
        <v>49</v>
      </c>
      <c r="J1113" s="1">
        <v>9</v>
      </c>
      <c r="K1113" s="1">
        <v>56</v>
      </c>
      <c r="L1113" s="1">
        <v>29</v>
      </c>
      <c r="M1113" s="1">
        <v>0.65</v>
      </c>
      <c r="N1113" s="1">
        <v>7.8</v>
      </c>
      <c r="O1113" s="7">
        <v>24146</v>
      </c>
      <c r="P1113" s="4">
        <v>44904</v>
      </c>
      <c r="Q1113" s="4">
        <v>44912</v>
      </c>
      <c r="R1113" s="1" t="s">
        <v>80</v>
      </c>
      <c r="S1113" s="1">
        <v>56</v>
      </c>
      <c r="T1113" s="1">
        <v>13912018812</v>
      </c>
      <c r="AB1113" s="1">
        <v>1</v>
      </c>
      <c r="AM1113" s="1">
        <v>1</v>
      </c>
      <c r="AO1113" s="7">
        <v>24146</v>
      </c>
      <c r="AP1113" s="5">
        <v>9.1</v>
      </c>
      <c r="AQ1113" s="5">
        <v>174</v>
      </c>
      <c r="AR1113" s="5">
        <v>57</v>
      </c>
      <c r="AS1113" s="5">
        <v>8.5</v>
      </c>
      <c r="AT1113" s="5">
        <v>12</v>
      </c>
      <c r="AU1113" s="5">
        <v>8</v>
      </c>
      <c r="AV1113" s="5">
        <v>36</v>
      </c>
      <c r="AW1113" s="5">
        <v>8.74</v>
      </c>
      <c r="AX1113" s="5">
        <v>79</v>
      </c>
      <c r="AY1113" s="5" t="s">
        <v>125</v>
      </c>
      <c r="AZ1113" s="5">
        <v>8.6</v>
      </c>
      <c r="BA1113" s="5" t="s">
        <v>76</v>
      </c>
      <c r="BB1113" s="12" t="s">
        <v>76</v>
      </c>
      <c r="BC1113" s="5">
        <v>3.4</v>
      </c>
      <c r="BD1113" s="5">
        <v>174</v>
      </c>
      <c r="BE1113" s="5" t="s">
        <v>76</v>
      </c>
      <c r="BF1113" s="5" t="s">
        <v>76</v>
      </c>
      <c r="BG1113" s="15">
        <v>36.3</v>
      </c>
      <c r="BH1113" s="5">
        <v>83</v>
      </c>
      <c r="BI1113" s="5" t="s">
        <v>76</v>
      </c>
      <c r="BJ1113" s="5">
        <v>20</v>
      </c>
      <c r="BK1113" s="5">
        <v>120</v>
      </c>
      <c r="BL1113" s="5">
        <v>73</v>
      </c>
      <c r="BM1113" s="5">
        <v>88</v>
      </c>
      <c r="BN1113" s="5">
        <v>172</v>
      </c>
      <c r="BO1113" s="5">
        <f t="shared" si="17"/>
        <v>29.7458085451595</v>
      </c>
      <c r="BP1113" s="5" t="s">
        <v>109</v>
      </c>
      <c r="BQ1113" s="5" t="s">
        <v>76</v>
      </c>
      <c r="BR1113" s="5">
        <v>2104</v>
      </c>
    </row>
    <row r="1114" s="1" customFormat="1" spans="1:70">
      <c r="A1114" s="1" t="s">
        <v>2581</v>
      </c>
      <c r="B1114" s="1" t="s">
        <v>2582</v>
      </c>
      <c r="D1114" s="4">
        <v>44997</v>
      </c>
      <c r="E1114" s="4">
        <v>45014</v>
      </c>
      <c r="F1114" s="7">
        <v>24153</v>
      </c>
      <c r="G1114" s="1">
        <v>42</v>
      </c>
      <c r="H1114" s="1">
        <v>10</v>
      </c>
      <c r="I1114" s="1">
        <v>47</v>
      </c>
      <c r="J1114" s="1">
        <v>10</v>
      </c>
      <c r="K1114" s="1">
        <v>60</v>
      </c>
      <c r="L1114" s="1">
        <v>32</v>
      </c>
      <c r="N1114" s="1">
        <v>8.6</v>
      </c>
      <c r="O1114" s="7">
        <v>24153</v>
      </c>
      <c r="P1114" s="4">
        <v>44997</v>
      </c>
      <c r="Q1114" s="4">
        <v>45014</v>
      </c>
      <c r="R1114" s="1" t="s">
        <v>80</v>
      </c>
      <c r="AO1114" s="7">
        <v>24153</v>
      </c>
      <c r="AP1114" s="5" t="s">
        <v>915</v>
      </c>
      <c r="AQ1114" s="5" t="s">
        <v>247</v>
      </c>
      <c r="AR1114" s="5" t="s">
        <v>181</v>
      </c>
      <c r="AS1114" s="5" t="s">
        <v>1082</v>
      </c>
      <c r="AT1114" s="5" t="s">
        <v>225</v>
      </c>
      <c r="AU1114" s="5" t="s">
        <v>93</v>
      </c>
      <c r="AV1114" s="5" t="s">
        <v>980</v>
      </c>
      <c r="AW1114" s="5" t="s">
        <v>2583</v>
      </c>
      <c r="AX1114" s="5" t="s">
        <v>419</v>
      </c>
      <c r="AY1114" s="5" t="s">
        <v>76</v>
      </c>
      <c r="AZ1114" s="5" t="s">
        <v>179</v>
      </c>
      <c r="BA1114" s="5" t="s">
        <v>76</v>
      </c>
      <c r="BB1114" s="12" t="s">
        <v>76</v>
      </c>
      <c r="BC1114" s="5" t="s">
        <v>2584</v>
      </c>
      <c r="BD1114" s="5" t="s">
        <v>247</v>
      </c>
      <c r="BE1114" s="5" t="s">
        <v>76</v>
      </c>
      <c r="BF1114" s="5" t="s">
        <v>76</v>
      </c>
      <c r="BG1114" s="15">
        <v>36.5</v>
      </c>
      <c r="BH1114" s="5" t="s">
        <v>295</v>
      </c>
      <c r="BI1114" s="5" t="s">
        <v>295</v>
      </c>
      <c r="BJ1114" s="5" t="s">
        <v>445</v>
      </c>
      <c r="BK1114" s="5" t="s">
        <v>1100</v>
      </c>
      <c r="BL1114" s="5" t="s">
        <v>290</v>
      </c>
      <c r="BM1114" s="5" t="s">
        <v>425</v>
      </c>
      <c r="BN1114" s="5">
        <v>167</v>
      </c>
      <c r="BO1114" s="5">
        <f t="shared" si="17"/>
        <v>25.0995015956112</v>
      </c>
      <c r="BP1114" s="5" t="s">
        <v>986</v>
      </c>
      <c r="BQ1114" s="5" t="s">
        <v>76</v>
      </c>
      <c r="BR1114" s="5">
        <v>2460</v>
      </c>
    </row>
    <row r="1115" s="1" customFormat="1" spans="1:70">
      <c r="A1115" s="1" t="s">
        <v>2585</v>
      </c>
      <c r="B1115" s="1" t="s">
        <v>2586</v>
      </c>
      <c r="D1115" s="4">
        <v>44959</v>
      </c>
      <c r="E1115" s="4">
        <v>44970</v>
      </c>
      <c r="F1115" s="7">
        <v>24156</v>
      </c>
      <c r="G1115" s="1">
        <v>38</v>
      </c>
      <c r="H1115" s="1">
        <v>11</v>
      </c>
      <c r="I1115" s="1">
        <v>50</v>
      </c>
      <c r="J1115" s="1">
        <v>10</v>
      </c>
      <c r="K1115" s="1">
        <v>59</v>
      </c>
      <c r="L1115" s="1">
        <v>31</v>
      </c>
      <c r="M1115" s="1">
        <v>0.61</v>
      </c>
      <c r="N1115" s="1">
        <v>8.9</v>
      </c>
      <c r="O1115" s="7">
        <v>24156</v>
      </c>
      <c r="P1115" s="4">
        <v>44959</v>
      </c>
      <c r="Q1115" s="4">
        <v>44970</v>
      </c>
      <c r="R1115" s="1" t="s">
        <v>73</v>
      </c>
      <c r="S1115" s="1">
        <v>56</v>
      </c>
      <c r="T1115" s="1" t="s">
        <v>2587</v>
      </c>
      <c r="V1115" s="1" t="s">
        <v>155</v>
      </c>
      <c r="AA1115" s="1" t="s">
        <v>155</v>
      </c>
      <c r="AK1115" s="1">
        <v>1</v>
      </c>
      <c r="AM1115" s="1">
        <v>1</v>
      </c>
      <c r="AN1115" s="1">
        <v>1</v>
      </c>
      <c r="AO1115" s="7">
        <v>24156</v>
      </c>
      <c r="AP1115" s="5" t="s">
        <v>2588</v>
      </c>
      <c r="AQ1115" s="5" t="s">
        <v>290</v>
      </c>
      <c r="AR1115" s="5" t="s">
        <v>1629</v>
      </c>
      <c r="AS1115" s="5" t="s">
        <v>76</v>
      </c>
      <c r="AT1115" s="5" t="s">
        <v>769</v>
      </c>
      <c r="AU1115" s="5" t="s">
        <v>93</v>
      </c>
      <c r="AV1115" s="5" t="s">
        <v>1007</v>
      </c>
      <c r="AW1115" s="5" t="s">
        <v>2589</v>
      </c>
      <c r="AX1115" s="5" t="s">
        <v>2250</v>
      </c>
      <c r="AY1115" s="5" t="s">
        <v>2590</v>
      </c>
      <c r="AZ1115" s="5" t="s">
        <v>75</v>
      </c>
      <c r="BA1115" s="5" t="s">
        <v>2591</v>
      </c>
      <c r="BB1115" s="12" t="s">
        <v>76</v>
      </c>
      <c r="BC1115" s="5" t="s">
        <v>2592</v>
      </c>
      <c r="BD1115" s="5" t="s">
        <v>290</v>
      </c>
      <c r="BE1115" s="5" t="s">
        <v>2593</v>
      </c>
      <c r="BF1115" s="5" t="s">
        <v>2594</v>
      </c>
      <c r="BG1115" s="15">
        <v>36.4</v>
      </c>
      <c r="BH1115" s="5" t="s">
        <v>205</v>
      </c>
      <c r="BI1115" s="5" t="s">
        <v>205</v>
      </c>
      <c r="BJ1115" s="5" t="s">
        <v>193</v>
      </c>
      <c r="BK1115" s="5" t="s">
        <v>2595</v>
      </c>
      <c r="BL1115" s="5" t="s">
        <v>247</v>
      </c>
      <c r="BM1115" s="5" t="s">
        <v>215</v>
      </c>
      <c r="BN1115" s="5">
        <v>155</v>
      </c>
      <c r="BO1115" s="5">
        <f t="shared" si="17"/>
        <v>24.9739854318418</v>
      </c>
      <c r="BP1115" s="5" t="s">
        <v>501</v>
      </c>
      <c r="BQ1115" s="5" t="s">
        <v>2596</v>
      </c>
      <c r="BR1115" s="5">
        <v>2914</v>
      </c>
    </row>
    <row r="1116" s="1" customFormat="1" spans="1:70">
      <c r="A1116" s="1" t="s">
        <v>2597</v>
      </c>
      <c r="B1116" s="1" t="s">
        <v>2598</v>
      </c>
      <c r="D1116" s="4">
        <v>45019</v>
      </c>
      <c r="E1116" s="4">
        <v>45026</v>
      </c>
      <c r="F1116" s="7">
        <v>24158</v>
      </c>
      <c r="G1116" s="1">
        <v>41</v>
      </c>
      <c r="H1116" s="1">
        <v>9</v>
      </c>
      <c r="I1116" s="1">
        <v>52</v>
      </c>
      <c r="J1116" s="1">
        <v>9</v>
      </c>
      <c r="K1116" s="1">
        <v>63</v>
      </c>
      <c r="L1116" s="1">
        <v>34</v>
      </c>
      <c r="M1116" s="1">
        <v>0.87</v>
      </c>
      <c r="N1116" s="1">
        <v>15.4</v>
      </c>
      <c r="O1116" s="7">
        <v>24158</v>
      </c>
      <c r="P1116" s="4">
        <v>45019</v>
      </c>
      <c r="Q1116" s="4">
        <v>45026</v>
      </c>
      <c r="R1116" s="1" t="s">
        <v>73</v>
      </c>
      <c r="AO1116" s="7">
        <v>24158</v>
      </c>
      <c r="AP1116" s="5" t="s">
        <v>221</v>
      </c>
      <c r="AQ1116" s="5" t="s">
        <v>103</v>
      </c>
      <c r="AR1116" s="5" t="s">
        <v>2599</v>
      </c>
      <c r="AS1116" s="5" t="s">
        <v>1861</v>
      </c>
      <c r="AT1116" s="5" t="s">
        <v>225</v>
      </c>
      <c r="AU1116" s="5" t="s">
        <v>1257</v>
      </c>
      <c r="AV1116" s="5" t="s">
        <v>310</v>
      </c>
      <c r="AW1116" s="5" t="s">
        <v>2026</v>
      </c>
      <c r="AX1116" s="5" t="s">
        <v>2600</v>
      </c>
      <c r="AY1116" s="5" t="s">
        <v>2601</v>
      </c>
      <c r="AZ1116" s="5" t="s">
        <v>2012</v>
      </c>
      <c r="BA1116" s="5" t="s">
        <v>76</v>
      </c>
      <c r="BB1116" s="12" t="s">
        <v>76</v>
      </c>
      <c r="BC1116" s="5" t="s">
        <v>2602</v>
      </c>
      <c r="BD1116" s="5" t="s">
        <v>103</v>
      </c>
      <c r="BE1116" s="5" t="s">
        <v>76</v>
      </c>
      <c r="BF1116" s="5" t="s">
        <v>76</v>
      </c>
      <c r="BG1116" s="15">
        <v>36.5</v>
      </c>
      <c r="BH1116" s="5" t="s">
        <v>129</v>
      </c>
      <c r="BI1116" s="5" t="s">
        <v>129</v>
      </c>
      <c r="BJ1116" s="5" t="s">
        <v>293</v>
      </c>
      <c r="BK1116" s="5" t="s">
        <v>1763</v>
      </c>
      <c r="BL1116" s="5" t="s">
        <v>139</v>
      </c>
      <c r="BM1116" s="5" t="s">
        <v>658</v>
      </c>
      <c r="BN1116" s="5">
        <v>165</v>
      </c>
      <c r="BO1116" s="5">
        <f t="shared" si="17"/>
        <v>31.2213039485767</v>
      </c>
      <c r="BP1116" s="5" t="s">
        <v>573</v>
      </c>
      <c r="BQ1116" s="5" t="s">
        <v>76</v>
      </c>
      <c r="BR1116" s="5">
        <v>1892</v>
      </c>
    </row>
    <row r="1117" s="1" customFormat="1" spans="1:70">
      <c r="A1117" s="1">
        <v>3290178</v>
      </c>
      <c r="B1117" s="1" t="s">
        <v>2603</v>
      </c>
      <c r="D1117" s="4">
        <v>44977</v>
      </c>
      <c r="E1117" s="4">
        <v>44986</v>
      </c>
      <c r="F1117" s="7">
        <v>24191</v>
      </c>
      <c r="G1117" s="1">
        <v>43</v>
      </c>
      <c r="H1117" s="1">
        <v>10</v>
      </c>
      <c r="I1117" s="1">
        <v>57</v>
      </c>
      <c r="J1117" s="1">
        <v>10</v>
      </c>
      <c r="K1117" s="1">
        <v>43</v>
      </c>
      <c r="L1117" s="1">
        <v>21</v>
      </c>
      <c r="M1117" s="1">
        <v>0.71</v>
      </c>
      <c r="N1117" s="1">
        <v>10.7</v>
      </c>
      <c r="O1117" s="7">
        <v>24191</v>
      </c>
      <c r="P1117" s="4">
        <v>44977</v>
      </c>
      <c r="Q1117" s="4">
        <v>44986</v>
      </c>
      <c r="R1117" s="1" t="s">
        <v>80</v>
      </c>
      <c r="AO1117" s="7">
        <v>24191</v>
      </c>
      <c r="AP1117" s="5">
        <v>7.1</v>
      </c>
      <c r="AQ1117" s="5">
        <v>146</v>
      </c>
      <c r="AR1117" s="5">
        <v>42.7</v>
      </c>
      <c r="AS1117" s="5" t="s">
        <v>81</v>
      </c>
      <c r="AT1117" s="5">
        <v>20</v>
      </c>
      <c r="AU1117" s="5">
        <v>15</v>
      </c>
      <c r="AV1117" s="5">
        <v>47.8</v>
      </c>
      <c r="AW1117" s="5">
        <v>4.48</v>
      </c>
      <c r="AX1117" s="5">
        <v>60</v>
      </c>
      <c r="AY1117" s="5" t="s">
        <v>125</v>
      </c>
      <c r="AZ1117" s="5" t="s">
        <v>76</v>
      </c>
      <c r="BA1117" s="5">
        <v>4.62</v>
      </c>
      <c r="BB1117" s="12" t="s">
        <v>76</v>
      </c>
      <c r="BC1117" s="5">
        <v>4.51</v>
      </c>
      <c r="BD1117" s="5">
        <v>146</v>
      </c>
      <c r="BE1117" s="5">
        <v>1.5</v>
      </c>
      <c r="BF1117" s="5">
        <v>2.31</v>
      </c>
      <c r="BG1117" s="15">
        <v>36</v>
      </c>
      <c r="BH1117" s="5">
        <v>84</v>
      </c>
      <c r="BI1117" s="5" t="s">
        <v>76</v>
      </c>
      <c r="BJ1117" s="5">
        <v>15</v>
      </c>
      <c r="BK1117" s="5">
        <v>150</v>
      </c>
      <c r="BL1117" s="5">
        <v>100</v>
      </c>
      <c r="BM1117" s="5">
        <v>69</v>
      </c>
      <c r="BN1117" s="5">
        <v>173</v>
      </c>
      <c r="BO1117" s="5">
        <f t="shared" si="17"/>
        <v>23.0545624644993</v>
      </c>
      <c r="BP1117" s="5" t="s">
        <v>121</v>
      </c>
      <c r="BQ1117" s="5">
        <v>8.1</v>
      </c>
      <c r="BR1117" s="5">
        <v>2710</v>
      </c>
    </row>
    <row r="1118" s="1" customFormat="1" spans="1:70">
      <c r="A1118" s="1">
        <v>3282479</v>
      </c>
      <c r="B1118" s="1" t="s">
        <v>2604</v>
      </c>
      <c r="D1118" s="4">
        <v>44966</v>
      </c>
      <c r="E1118" s="4">
        <v>44977</v>
      </c>
      <c r="F1118" s="7">
        <v>24192</v>
      </c>
      <c r="G1118" s="1">
        <v>48</v>
      </c>
      <c r="H1118" s="1">
        <v>8</v>
      </c>
      <c r="I1118" s="1">
        <v>64</v>
      </c>
      <c r="J1118" s="1">
        <v>8</v>
      </c>
      <c r="K1118" s="1">
        <v>38</v>
      </c>
      <c r="L1118" s="1">
        <v>19</v>
      </c>
      <c r="M1118" s="1">
        <v>1.42</v>
      </c>
      <c r="N1118" s="1">
        <v>18.8</v>
      </c>
      <c r="O1118" s="7">
        <v>24192</v>
      </c>
      <c r="P1118" s="4">
        <v>44966</v>
      </c>
      <c r="Q1118" s="4">
        <v>44977</v>
      </c>
      <c r="R1118" s="1" t="s">
        <v>80</v>
      </c>
      <c r="AO1118" s="7">
        <v>24192</v>
      </c>
      <c r="AP1118" s="5">
        <v>5.9</v>
      </c>
      <c r="AQ1118" s="5">
        <v>143</v>
      </c>
      <c r="AR1118" s="5">
        <v>46.5</v>
      </c>
      <c r="AS1118" s="5" t="s">
        <v>81</v>
      </c>
      <c r="AT1118" s="5">
        <v>21</v>
      </c>
      <c r="AU1118" s="5">
        <v>17</v>
      </c>
      <c r="AV1118" s="5">
        <v>42.9</v>
      </c>
      <c r="AW1118" s="5">
        <v>6.15</v>
      </c>
      <c r="AX1118" s="5">
        <v>105</v>
      </c>
      <c r="AY1118" s="5" t="s">
        <v>76</v>
      </c>
      <c r="AZ1118" s="5">
        <v>10.58</v>
      </c>
      <c r="BA1118" s="5">
        <v>2.16</v>
      </c>
      <c r="BB1118" s="12" t="s">
        <v>76</v>
      </c>
      <c r="BC1118" s="5">
        <v>4.48</v>
      </c>
      <c r="BD1118" s="5">
        <v>143</v>
      </c>
      <c r="BE1118" s="5" t="s">
        <v>76</v>
      </c>
      <c r="BF1118" s="5" t="s">
        <v>76</v>
      </c>
      <c r="BG1118" s="15">
        <v>36.6</v>
      </c>
      <c r="BH1118" s="5">
        <v>78</v>
      </c>
      <c r="BI1118" s="5">
        <v>90</v>
      </c>
      <c r="BJ1118" s="5">
        <v>17</v>
      </c>
      <c r="BK1118" s="5">
        <v>73</v>
      </c>
      <c r="BL1118" s="5">
        <v>58</v>
      </c>
      <c r="BM1118" s="5">
        <v>85</v>
      </c>
      <c r="BN1118" s="5">
        <v>176</v>
      </c>
      <c r="BO1118" s="5">
        <f t="shared" si="17"/>
        <v>27.4405991735537</v>
      </c>
      <c r="BP1118" s="5" t="s">
        <v>78</v>
      </c>
      <c r="BQ1118" s="5">
        <v>8.7</v>
      </c>
      <c r="BR1118" s="5">
        <v>3825.93</v>
      </c>
    </row>
    <row r="1119" s="1" customFormat="1" spans="1:70">
      <c r="A1119" s="1">
        <v>3260886</v>
      </c>
      <c r="B1119" s="1" t="s">
        <v>2605</v>
      </c>
      <c r="D1119" s="4">
        <v>44929</v>
      </c>
      <c r="E1119" s="4">
        <v>44935</v>
      </c>
      <c r="F1119" s="7">
        <v>24214</v>
      </c>
      <c r="G1119" s="1">
        <v>38</v>
      </c>
      <c r="H1119" s="1">
        <v>8</v>
      </c>
      <c r="I1119" s="1">
        <v>59</v>
      </c>
      <c r="J1119" s="1">
        <v>10</v>
      </c>
      <c r="K1119" s="1">
        <v>52</v>
      </c>
      <c r="L1119" s="1">
        <v>27</v>
      </c>
      <c r="M1119" s="1">
        <v>0.77</v>
      </c>
      <c r="N1119" s="1">
        <v>16.7</v>
      </c>
      <c r="O1119" s="7">
        <v>24214</v>
      </c>
      <c r="P1119" s="4">
        <v>44929</v>
      </c>
      <c r="Q1119" s="4">
        <v>44935</v>
      </c>
      <c r="R1119" s="1" t="s">
        <v>73</v>
      </c>
      <c r="S1119" s="1">
        <v>56</v>
      </c>
      <c r="T1119" s="1">
        <v>13705206517</v>
      </c>
      <c r="V1119" s="1">
        <v>1</v>
      </c>
      <c r="Z1119" s="1">
        <v>1</v>
      </c>
      <c r="AA1119" s="1">
        <v>1</v>
      </c>
      <c r="AG1119" s="1">
        <v>1</v>
      </c>
      <c r="AH1119" s="1">
        <v>1</v>
      </c>
      <c r="AI1119" s="1">
        <v>1</v>
      </c>
      <c r="AK1119" s="1">
        <v>1</v>
      </c>
      <c r="AM1119" s="1">
        <v>1</v>
      </c>
      <c r="AN1119" s="1">
        <v>1</v>
      </c>
      <c r="AO1119" s="7">
        <v>24214</v>
      </c>
      <c r="AP1119" s="5">
        <v>6.4</v>
      </c>
      <c r="AQ1119" s="5">
        <v>96</v>
      </c>
      <c r="AR1119" s="5">
        <v>31.3</v>
      </c>
      <c r="AS1119" s="5" t="s">
        <v>76</v>
      </c>
      <c r="AT1119" s="5">
        <v>22</v>
      </c>
      <c r="AU1119" s="5">
        <v>11</v>
      </c>
      <c r="AV1119" s="5">
        <v>44</v>
      </c>
      <c r="AW1119" s="5">
        <v>14.43</v>
      </c>
      <c r="AX1119" s="5">
        <v>302</v>
      </c>
      <c r="AY1119" s="5">
        <v>16.05</v>
      </c>
      <c r="AZ1119" s="5" t="s">
        <v>75</v>
      </c>
      <c r="BA1119" s="5">
        <v>7.15</v>
      </c>
      <c r="BB1119" s="12" t="s">
        <v>76</v>
      </c>
      <c r="BC1119" s="5">
        <v>4.18</v>
      </c>
      <c r="BD1119" s="5">
        <v>96</v>
      </c>
      <c r="BE1119" s="5">
        <v>1.14</v>
      </c>
      <c r="BF1119" s="5">
        <v>5.15</v>
      </c>
      <c r="BG1119" s="15">
        <v>36.5</v>
      </c>
      <c r="BH1119" s="5">
        <v>82</v>
      </c>
      <c r="BI1119" s="5">
        <v>82</v>
      </c>
      <c r="BJ1119" s="5">
        <v>19</v>
      </c>
      <c r="BK1119" s="5">
        <v>186</v>
      </c>
      <c r="BL1119" s="5">
        <v>100</v>
      </c>
      <c r="BM1119" s="5">
        <v>50</v>
      </c>
      <c r="BN1119" s="5">
        <v>150</v>
      </c>
      <c r="BO1119" s="5">
        <f t="shared" si="17"/>
        <v>22.2222222222222</v>
      </c>
      <c r="BP1119" s="5" t="s">
        <v>107</v>
      </c>
      <c r="BQ1119" s="5">
        <v>5.7</v>
      </c>
      <c r="BR1119" s="5">
        <v>4477</v>
      </c>
    </row>
    <row r="1120" s="1" customFormat="1" spans="1:70">
      <c r="A1120" s="1">
        <v>3312021</v>
      </c>
      <c r="B1120" s="1" t="s">
        <v>2606</v>
      </c>
      <c r="D1120" s="4">
        <v>45006</v>
      </c>
      <c r="E1120" s="4">
        <v>45020</v>
      </c>
      <c r="F1120" s="7">
        <v>24261</v>
      </c>
      <c r="G1120" s="1">
        <v>43</v>
      </c>
      <c r="H1120" s="1">
        <v>10</v>
      </c>
      <c r="I1120" s="1">
        <v>77</v>
      </c>
      <c r="J1120" s="1">
        <v>10</v>
      </c>
      <c r="K1120" s="1">
        <v>22</v>
      </c>
      <c r="L1120" s="1">
        <v>10</v>
      </c>
      <c r="M1120" s="1">
        <v>1.18</v>
      </c>
      <c r="O1120" s="7">
        <v>24261</v>
      </c>
      <c r="P1120" s="4">
        <v>45006</v>
      </c>
      <c r="Q1120" s="4">
        <v>45020</v>
      </c>
      <c r="R1120" s="1" t="s">
        <v>80</v>
      </c>
      <c r="AO1120" s="7">
        <v>24261</v>
      </c>
      <c r="AP1120" s="5">
        <v>7.4</v>
      </c>
      <c r="AQ1120" s="5">
        <v>191</v>
      </c>
      <c r="AR1120" s="5">
        <v>58.1</v>
      </c>
      <c r="AS1120" s="5">
        <v>80.1</v>
      </c>
      <c r="AT1120" s="5">
        <v>97</v>
      </c>
      <c r="AU1120" s="5">
        <v>89</v>
      </c>
      <c r="AV1120" s="5">
        <v>37.1</v>
      </c>
      <c r="AW1120" s="5">
        <v>7.5</v>
      </c>
      <c r="AX1120" s="5">
        <v>89</v>
      </c>
      <c r="AY1120" s="5" t="s">
        <v>125</v>
      </c>
      <c r="AZ1120" s="5">
        <v>6.3</v>
      </c>
      <c r="BA1120" s="5">
        <v>3.75</v>
      </c>
      <c r="BB1120" s="12" t="s">
        <v>76</v>
      </c>
      <c r="BC1120" s="5">
        <v>4.88</v>
      </c>
      <c r="BD1120" s="5">
        <v>191</v>
      </c>
      <c r="BE1120" s="5" t="s">
        <v>76</v>
      </c>
      <c r="BF1120" s="5" t="s">
        <v>76</v>
      </c>
      <c r="BG1120" s="15">
        <v>36.7</v>
      </c>
      <c r="BH1120" s="5">
        <v>97</v>
      </c>
      <c r="BI1120" s="5">
        <v>97</v>
      </c>
      <c r="BJ1120" s="5">
        <v>18</v>
      </c>
      <c r="BK1120" s="5">
        <v>121</v>
      </c>
      <c r="BL1120" s="5">
        <v>98</v>
      </c>
      <c r="BM1120" s="5">
        <v>65</v>
      </c>
      <c r="BN1120" s="5">
        <v>180</v>
      </c>
      <c r="BO1120" s="5">
        <f t="shared" si="17"/>
        <v>20.0617283950617</v>
      </c>
      <c r="BP1120" s="5" t="s">
        <v>164</v>
      </c>
      <c r="BQ1120" s="5">
        <v>5.4</v>
      </c>
      <c r="BR1120" s="5">
        <v>5523</v>
      </c>
    </row>
    <row r="1121" s="1" customFormat="1" spans="1:70">
      <c r="A1121" s="1">
        <v>3301251</v>
      </c>
      <c r="B1121" s="1" t="s">
        <v>2607</v>
      </c>
      <c r="D1121" s="4">
        <v>44992</v>
      </c>
      <c r="E1121" s="4">
        <v>45012</v>
      </c>
      <c r="F1121" s="7">
        <v>24289</v>
      </c>
      <c r="G1121" s="1">
        <v>41</v>
      </c>
      <c r="H1121" s="1">
        <v>10</v>
      </c>
      <c r="I1121" s="1">
        <v>42</v>
      </c>
      <c r="J1121" s="1">
        <v>10</v>
      </c>
      <c r="K1121" s="1">
        <v>59</v>
      </c>
      <c r="L1121" s="1">
        <v>31</v>
      </c>
      <c r="M1121" s="1">
        <v>0.64</v>
      </c>
      <c r="N1121" s="1">
        <v>5.8</v>
      </c>
      <c r="O1121" s="7">
        <v>24289</v>
      </c>
      <c r="P1121" s="4">
        <v>44992</v>
      </c>
      <c r="Q1121" s="4">
        <v>45012</v>
      </c>
      <c r="R1121" s="1" t="s">
        <v>73</v>
      </c>
      <c r="AO1121" s="7">
        <v>24289</v>
      </c>
      <c r="AP1121" s="5">
        <v>7.4</v>
      </c>
      <c r="AQ1121" s="5">
        <v>99</v>
      </c>
      <c r="AR1121" s="5">
        <v>39.4</v>
      </c>
      <c r="AS1121" s="5">
        <v>67.8</v>
      </c>
      <c r="AT1121" s="5">
        <v>41</v>
      </c>
      <c r="AU1121" s="5">
        <v>9</v>
      </c>
      <c r="AV1121" s="5">
        <v>46.1</v>
      </c>
      <c r="AW1121" s="5">
        <v>8.64</v>
      </c>
      <c r="AX1121" s="5">
        <v>98</v>
      </c>
      <c r="AY1121" s="5">
        <v>63.79</v>
      </c>
      <c r="AZ1121" s="5" t="s">
        <v>75</v>
      </c>
      <c r="BA1121" s="5" t="s">
        <v>76</v>
      </c>
      <c r="BB1121" s="12" t="s">
        <v>76</v>
      </c>
      <c r="BC1121" s="5">
        <v>5.13</v>
      </c>
      <c r="BD1121" s="5">
        <v>99</v>
      </c>
      <c r="BE1121" s="5" t="s">
        <v>76</v>
      </c>
      <c r="BF1121" s="5" t="s">
        <v>76</v>
      </c>
      <c r="BG1121" s="15">
        <v>36.8</v>
      </c>
      <c r="BH1121" s="5">
        <v>96</v>
      </c>
      <c r="BI1121" s="5">
        <v>96</v>
      </c>
      <c r="BJ1121" s="5">
        <v>14</v>
      </c>
      <c r="BK1121" s="5">
        <v>140</v>
      </c>
      <c r="BL1121" s="5">
        <v>90</v>
      </c>
      <c r="BM1121" s="5">
        <v>66</v>
      </c>
      <c r="BN1121" s="5">
        <v>162</v>
      </c>
      <c r="BO1121" s="5">
        <f t="shared" si="17"/>
        <v>25.148605395519</v>
      </c>
      <c r="BP1121" s="5" t="s">
        <v>1450</v>
      </c>
      <c r="BQ1121" s="5">
        <v>6</v>
      </c>
      <c r="BR1121" s="5">
        <v>9496</v>
      </c>
    </row>
    <row r="1122" s="1" customFormat="1" spans="1:70">
      <c r="A1122" s="1">
        <v>3502344</v>
      </c>
      <c r="B1122" s="1" t="s">
        <v>2608</v>
      </c>
      <c r="D1122" s="4">
        <v>45271</v>
      </c>
      <c r="E1122" s="4">
        <v>45293</v>
      </c>
      <c r="F1122" s="7">
        <v>24324</v>
      </c>
      <c r="G1122" s="1">
        <v>29</v>
      </c>
      <c r="H1122" s="1">
        <v>8</v>
      </c>
      <c r="I1122" s="1">
        <v>44</v>
      </c>
      <c r="J1122" s="1">
        <v>8</v>
      </c>
      <c r="K1122" s="1">
        <v>60</v>
      </c>
      <c r="L1122" s="1">
        <v>32</v>
      </c>
      <c r="M1122" s="1">
        <v>1.08</v>
      </c>
      <c r="O1122" s="7">
        <v>24324</v>
      </c>
      <c r="P1122" s="4">
        <v>45271</v>
      </c>
      <c r="Q1122" s="4">
        <v>45293</v>
      </c>
      <c r="R1122" s="1" t="s">
        <v>73</v>
      </c>
      <c r="AO1122" s="7">
        <v>24324</v>
      </c>
      <c r="AP1122" s="5">
        <v>8.7</v>
      </c>
      <c r="AQ1122" s="5">
        <v>95</v>
      </c>
      <c r="AR1122" s="5">
        <v>61.3</v>
      </c>
      <c r="AS1122" s="5">
        <v>84.4</v>
      </c>
      <c r="AT1122" s="5">
        <v>9</v>
      </c>
      <c r="AU1122" s="5" t="s">
        <v>171</v>
      </c>
      <c r="AV1122" s="5">
        <v>30.8</v>
      </c>
      <c r="AW1122" s="5">
        <v>7.9</v>
      </c>
      <c r="AX1122" s="5">
        <v>37</v>
      </c>
      <c r="AY1122" s="5" t="s">
        <v>125</v>
      </c>
      <c r="AZ1122" s="5" t="s">
        <v>2609</v>
      </c>
      <c r="BA1122" s="5">
        <v>3.13</v>
      </c>
      <c r="BB1122" s="12" t="s">
        <v>76</v>
      </c>
      <c r="BC1122" s="5">
        <v>4.56</v>
      </c>
      <c r="BD1122" s="5">
        <v>95</v>
      </c>
      <c r="BE1122" s="5">
        <v>0.5</v>
      </c>
      <c r="BF1122" s="5">
        <v>1.66</v>
      </c>
      <c r="BG1122" s="15">
        <v>36.5</v>
      </c>
      <c r="BH1122" s="5">
        <v>110</v>
      </c>
      <c r="BI1122" s="5">
        <v>110</v>
      </c>
      <c r="BJ1122" s="5">
        <v>21</v>
      </c>
      <c r="BK1122" s="5">
        <v>140</v>
      </c>
      <c r="BL1122" s="5">
        <v>86</v>
      </c>
      <c r="BM1122" s="5">
        <v>55</v>
      </c>
      <c r="BN1122" s="5">
        <v>155</v>
      </c>
      <c r="BO1122" s="5">
        <f t="shared" si="17"/>
        <v>22.8928199791883</v>
      </c>
      <c r="BP1122" s="5" t="s">
        <v>164</v>
      </c>
      <c r="BQ1122" s="5">
        <v>11.7</v>
      </c>
      <c r="BR1122" s="5">
        <v>6622</v>
      </c>
    </row>
    <row r="1123" s="1" customFormat="1" spans="1:70">
      <c r="A1123" s="1" t="s">
        <v>2610</v>
      </c>
      <c r="B1123" s="1" t="s">
        <v>2611</v>
      </c>
      <c r="C1123" s="1">
        <v>1</v>
      </c>
      <c r="D1123" s="4">
        <v>45265</v>
      </c>
      <c r="E1123" s="4">
        <v>45274</v>
      </c>
      <c r="F1123" s="7">
        <v>24357</v>
      </c>
      <c r="G1123" s="1">
        <v>36</v>
      </c>
      <c r="H1123" s="1">
        <v>10</v>
      </c>
      <c r="I1123" s="1">
        <v>44</v>
      </c>
      <c r="J1123" s="1">
        <v>10</v>
      </c>
      <c r="K1123" s="1">
        <v>62</v>
      </c>
      <c r="L1123" s="1">
        <v>34</v>
      </c>
      <c r="M1123" s="1">
        <v>1.08</v>
      </c>
      <c r="N1123" s="1">
        <v>8.4</v>
      </c>
      <c r="O1123" s="7">
        <v>24357</v>
      </c>
      <c r="P1123" s="4">
        <v>45265</v>
      </c>
      <c r="Q1123" s="4">
        <v>45274</v>
      </c>
      <c r="R1123" s="1" t="s">
        <v>73</v>
      </c>
      <c r="AO1123" s="7">
        <v>24357</v>
      </c>
      <c r="AP1123" s="5" t="s">
        <v>1055</v>
      </c>
      <c r="AQ1123" s="5" t="s">
        <v>290</v>
      </c>
      <c r="AR1123" s="5" t="s">
        <v>1438</v>
      </c>
      <c r="AS1123" s="5" t="s">
        <v>2321</v>
      </c>
      <c r="AT1123" s="5" t="s">
        <v>101</v>
      </c>
      <c r="AU1123" s="5" t="s">
        <v>1257</v>
      </c>
      <c r="AV1123" s="5" t="s">
        <v>285</v>
      </c>
      <c r="AW1123" s="5" t="s">
        <v>2612</v>
      </c>
      <c r="AX1123" s="5" t="s">
        <v>2613</v>
      </c>
      <c r="AY1123" s="5" t="s">
        <v>2614</v>
      </c>
      <c r="AZ1123" s="5" t="s">
        <v>2615</v>
      </c>
      <c r="BA1123" s="5" t="s">
        <v>76</v>
      </c>
      <c r="BB1123" s="12" t="s">
        <v>76</v>
      </c>
      <c r="BC1123" s="5" t="s">
        <v>2616</v>
      </c>
      <c r="BD1123" s="5" t="s">
        <v>290</v>
      </c>
      <c r="BE1123" s="5" t="s">
        <v>76</v>
      </c>
      <c r="BF1123" s="5" t="s">
        <v>76</v>
      </c>
      <c r="BG1123" s="15">
        <v>36.3</v>
      </c>
      <c r="BH1123" s="5" t="s">
        <v>290</v>
      </c>
      <c r="BI1123" s="5" t="s">
        <v>290</v>
      </c>
      <c r="BJ1123" s="5" t="s">
        <v>293</v>
      </c>
      <c r="BK1123" s="5" t="s">
        <v>212</v>
      </c>
      <c r="BL1123" s="5" t="s">
        <v>205</v>
      </c>
      <c r="BM1123" s="5" t="s">
        <v>228</v>
      </c>
      <c r="BN1123" s="5">
        <v>152</v>
      </c>
      <c r="BO1123" s="5">
        <f t="shared" si="17"/>
        <v>24.2382271468144</v>
      </c>
      <c r="BP1123" s="5" t="s">
        <v>1167</v>
      </c>
      <c r="BQ1123" s="5" t="s">
        <v>76</v>
      </c>
      <c r="BR1123" s="5">
        <v>9391</v>
      </c>
    </row>
    <row r="1124" s="1" customFormat="1" spans="1:70">
      <c r="A1124" s="1">
        <v>3322331</v>
      </c>
      <c r="B1124" s="1" t="s">
        <v>2617</v>
      </c>
      <c r="D1124" s="4">
        <v>45021</v>
      </c>
      <c r="E1124" s="4">
        <v>45027</v>
      </c>
      <c r="F1124" s="7">
        <v>24383</v>
      </c>
      <c r="G1124" s="1">
        <v>37</v>
      </c>
      <c r="H1124" s="1">
        <v>10</v>
      </c>
      <c r="I1124" s="1">
        <v>50</v>
      </c>
      <c r="J1124" s="1">
        <v>10</v>
      </c>
      <c r="K1124" s="1">
        <v>51</v>
      </c>
      <c r="L1124" s="1">
        <v>26</v>
      </c>
      <c r="M1124" s="1">
        <v>0.81</v>
      </c>
      <c r="O1124" s="7">
        <v>24383</v>
      </c>
      <c r="P1124" s="4">
        <v>45021</v>
      </c>
      <c r="Q1124" s="4">
        <v>45027</v>
      </c>
      <c r="R1124" s="1" t="s">
        <v>80</v>
      </c>
      <c r="AO1124" s="7">
        <v>24383</v>
      </c>
      <c r="AP1124" s="5">
        <v>8</v>
      </c>
      <c r="AQ1124" s="5">
        <v>147</v>
      </c>
      <c r="AR1124" s="5">
        <v>44</v>
      </c>
      <c r="AS1124" s="5">
        <v>68.7</v>
      </c>
      <c r="AT1124" s="5">
        <v>53</v>
      </c>
      <c r="AU1124" s="5">
        <v>57</v>
      </c>
      <c r="AV1124" s="5">
        <v>42</v>
      </c>
      <c r="AW1124" s="5">
        <v>6.17</v>
      </c>
      <c r="AX1124" s="5">
        <v>54</v>
      </c>
      <c r="AY1124" s="5" t="s">
        <v>125</v>
      </c>
      <c r="AZ1124" s="5">
        <v>9.5</v>
      </c>
      <c r="BA1124" s="5">
        <v>4.41</v>
      </c>
      <c r="BB1124" s="12" t="s">
        <v>76</v>
      </c>
      <c r="BC1124" s="5">
        <v>3.87</v>
      </c>
      <c r="BD1124" s="5">
        <v>147</v>
      </c>
      <c r="BE1124" s="5">
        <v>0.99</v>
      </c>
      <c r="BF1124" s="5">
        <v>2.55</v>
      </c>
      <c r="BG1124" s="15">
        <v>36.4</v>
      </c>
      <c r="BH1124" s="5" t="s">
        <v>76</v>
      </c>
      <c r="BI1124" s="5">
        <v>74</v>
      </c>
      <c r="BJ1124" s="5">
        <v>17</v>
      </c>
      <c r="BK1124" s="5">
        <v>130</v>
      </c>
      <c r="BL1124" s="5">
        <v>93</v>
      </c>
      <c r="BM1124" s="5">
        <v>72</v>
      </c>
      <c r="BN1124" s="5">
        <v>173</v>
      </c>
      <c r="BO1124" s="5">
        <f t="shared" si="17"/>
        <v>24.0569347455645</v>
      </c>
      <c r="BP1124" s="5" t="s">
        <v>323</v>
      </c>
      <c r="BQ1124" s="5" t="s">
        <v>76</v>
      </c>
      <c r="BR1124" s="5">
        <v>963</v>
      </c>
    </row>
    <row r="1125" s="1" customFormat="1" spans="1:70">
      <c r="A1125" s="1">
        <v>3329059</v>
      </c>
      <c r="B1125" s="1" t="s">
        <v>2618</v>
      </c>
      <c r="D1125" s="4">
        <v>45030</v>
      </c>
      <c r="E1125" s="4">
        <v>45041</v>
      </c>
      <c r="F1125" s="7">
        <v>24401</v>
      </c>
      <c r="G1125" s="1">
        <v>46</v>
      </c>
      <c r="H1125" s="1">
        <v>9</v>
      </c>
      <c r="I1125" s="1">
        <v>65</v>
      </c>
      <c r="J1125" s="1">
        <v>9</v>
      </c>
      <c r="K1125" s="1">
        <v>31</v>
      </c>
      <c r="L1125" s="1">
        <v>15</v>
      </c>
      <c r="M1125" s="1">
        <v>1.22</v>
      </c>
      <c r="N1125" s="1">
        <v>12.4</v>
      </c>
      <c r="O1125" s="7">
        <v>24401</v>
      </c>
      <c r="P1125" s="4">
        <v>45030</v>
      </c>
      <c r="Q1125" s="4">
        <v>45041</v>
      </c>
      <c r="R1125" s="1" t="s">
        <v>80</v>
      </c>
      <c r="AO1125" s="7">
        <v>24401</v>
      </c>
      <c r="AP1125" s="5">
        <v>7.9</v>
      </c>
      <c r="AQ1125" s="5">
        <v>183</v>
      </c>
      <c r="AR1125" s="5">
        <v>57.7</v>
      </c>
      <c r="AS1125" s="5">
        <v>1.2</v>
      </c>
      <c r="AT1125" s="5">
        <v>24</v>
      </c>
      <c r="AU1125" s="5">
        <v>32</v>
      </c>
      <c r="AV1125" s="5">
        <v>40.4</v>
      </c>
      <c r="AW1125" s="5">
        <v>9.34</v>
      </c>
      <c r="AX1125" s="5">
        <v>84</v>
      </c>
      <c r="AY1125" s="5">
        <v>96.36</v>
      </c>
      <c r="AZ1125" s="5" t="s">
        <v>75</v>
      </c>
      <c r="BA1125" s="5">
        <v>3.06</v>
      </c>
      <c r="BB1125" s="12" t="s">
        <v>76</v>
      </c>
      <c r="BC1125" s="5">
        <v>4.16</v>
      </c>
      <c r="BD1125" s="5">
        <v>183</v>
      </c>
      <c r="BE1125" s="5">
        <v>0.9</v>
      </c>
      <c r="BF1125" s="5">
        <v>1.6</v>
      </c>
      <c r="BG1125" s="15">
        <v>36.5</v>
      </c>
      <c r="BH1125" s="5">
        <v>90</v>
      </c>
      <c r="BI1125" s="5">
        <v>90</v>
      </c>
      <c r="BJ1125" s="5">
        <v>16</v>
      </c>
      <c r="BK1125" s="5">
        <v>141</v>
      </c>
      <c r="BL1125" s="5">
        <v>100</v>
      </c>
      <c r="BM1125" s="5">
        <v>90</v>
      </c>
      <c r="BN1125" s="5">
        <v>175</v>
      </c>
      <c r="BO1125" s="5">
        <f t="shared" si="17"/>
        <v>29.3877551020408</v>
      </c>
      <c r="BP1125" s="5" t="s">
        <v>300</v>
      </c>
      <c r="BQ1125" s="5">
        <v>6</v>
      </c>
      <c r="BR1125" s="5">
        <v>3475</v>
      </c>
    </row>
    <row r="1126" s="1" customFormat="1" spans="1:70">
      <c r="A1126" s="1" t="s">
        <v>2619</v>
      </c>
      <c r="B1126" s="1" t="s">
        <v>2620</v>
      </c>
      <c r="D1126" s="4">
        <v>45022</v>
      </c>
      <c r="E1126" s="4">
        <v>45041</v>
      </c>
      <c r="F1126" s="7">
        <v>24418</v>
      </c>
      <c r="G1126" s="1">
        <v>42</v>
      </c>
      <c r="H1126" s="1">
        <v>8</v>
      </c>
      <c r="I1126" s="1">
        <v>55</v>
      </c>
      <c r="J1126" s="1">
        <v>8</v>
      </c>
      <c r="K1126" s="1">
        <v>39</v>
      </c>
      <c r="L1126" s="1">
        <v>19</v>
      </c>
      <c r="M1126" s="1">
        <v>2.07</v>
      </c>
      <c r="N1126" s="10">
        <v>14</v>
      </c>
      <c r="O1126" s="7">
        <v>24418</v>
      </c>
      <c r="P1126" s="4">
        <v>45022</v>
      </c>
      <c r="Q1126" s="4">
        <v>45041</v>
      </c>
      <c r="R1126" s="1" t="s">
        <v>80</v>
      </c>
      <c r="AO1126" s="7">
        <v>24418</v>
      </c>
      <c r="AP1126" s="5" t="s">
        <v>306</v>
      </c>
      <c r="AQ1126" s="5" t="s">
        <v>138</v>
      </c>
      <c r="AR1126" s="5" t="s">
        <v>2621</v>
      </c>
      <c r="AS1126" s="5" t="s">
        <v>2622</v>
      </c>
      <c r="AT1126" s="5" t="s">
        <v>1475</v>
      </c>
      <c r="AU1126" s="5" t="s">
        <v>225</v>
      </c>
      <c r="AV1126" s="5" t="s">
        <v>2623</v>
      </c>
      <c r="AW1126" s="5" t="s">
        <v>2624</v>
      </c>
      <c r="AX1126" s="5" t="s">
        <v>344</v>
      </c>
      <c r="AY1126" s="5" t="s">
        <v>125</v>
      </c>
      <c r="AZ1126" s="5" t="s">
        <v>75</v>
      </c>
      <c r="BA1126" s="5" t="s">
        <v>2625</v>
      </c>
      <c r="BB1126" s="12" t="s">
        <v>76</v>
      </c>
      <c r="BC1126" s="5" t="s">
        <v>465</v>
      </c>
      <c r="BD1126" s="5" t="s">
        <v>138</v>
      </c>
      <c r="BE1126" s="5" t="s">
        <v>2626</v>
      </c>
      <c r="BF1126" s="5" t="s">
        <v>2627</v>
      </c>
      <c r="BG1126" s="15">
        <v>36.5</v>
      </c>
      <c r="BH1126" s="5" t="s">
        <v>350</v>
      </c>
      <c r="BI1126" s="5" t="s">
        <v>350</v>
      </c>
      <c r="BJ1126" s="5" t="s">
        <v>101</v>
      </c>
      <c r="BK1126" s="5" t="s">
        <v>473</v>
      </c>
      <c r="BL1126" s="5" t="s">
        <v>140</v>
      </c>
      <c r="BM1126" s="5" t="s">
        <v>336</v>
      </c>
      <c r="BN1126" s="5">
        <v>173</v>
      </c>
      <c r="BO1126" s="5">
        <f t="shared" si="17"/>
        <v>25.0593070266297</v>
      </c>
      <c r="BP1126" s="5" t="s">
        <v>1790</v>
      </c>
      <c r="BQ1126" s="5" t="s">
        <v>517</v>
      </c>
      <c r="BR1126" s="5">
        <v>7808</v>
      </c>
    </row>
    <row r="1127" s="1" customFormat="1" spans="1:70">
      <c r="A1127" s="1">
        <v>3286977</v>
      </c>
      <c r="B1127" s="1" t="s">
        <v>2628</v>
      </c>
      <c r="D1127" s="4">
        <v>44972</v>
      </c>
      <c r="E1127" s="4">
        <v>45013</v>
      </c>
      <c r="F1127" s="7">
        <v>24456</v>
      </c>
      <c r="G1127" s="1">
        <v>35</v>
      </c>
      <c r="H1127" s="1">
        <v>12</v>
      </c>
      <c r="I1127" s="1">
        <v>59</v>
      </c>
      <c r="J1127" s="1">
        <v>12</v>
      </c>
      <c r="K1127" s="1">
        <v>46</v>
      </c>
      <c r="L1127" s="1">
        <v>23</v>
      </c>
      <c r="M1127" s="1">
        <v>0.55</v>
      </c>
      <c r="N1127" s="1">
        <v>7.4</v>
      </c>
      <c r="O1127" s="7">
        <v>24456</v>
      </c>
      <c r="P1127" s="4">
        <v>44972</v>
      </c>
      <c r="Q1127" s="4">
        <v>45013</v>
      </c>
      <c r="R1127" s="1" t="s">
        <v>80</v>
      </c>
      <c r="AO1127" s="7">
        <v>24456</v>
      </c>
      <c r="AP1127" s="5">
        <v>9.7</v>
      </c>
      <c r="AQ1127" s="5">
        <v>97</v>
      </c>
      <c r="AR1127" s="5">
        <v>50.7</v>
      </c>
      <c r="AS1127" s="5" t="s">
        <v>881</v>
      </c>
      <c r="AT1127" s="5" t="s">
        <v>171</v>
      </c>
      <c r="AU1127" s="5" t="s">
        <v>171</v>
      </c>
      <c r="AV1127" s="5">
        <v>38.7</v>
      </c>
      <c r="AW1127" s="5">
        <v>8.53</v>
      </c>
      <c r="AX1127" s="5">
        <v>41</v>
      </c>
      <c r="AY1127" s="5" t="s">
        <v>125</v>
      </c>
      <c r="AZ1127" s="5" t="s">
        <v>75</v>
      </c>
      <c r="BA1127" s="5">
        <v>2.87</v>
      </c>
      <c r="BB1127" s="12" t="s">
        <v>76</v>
      </c>
      <c r="BC1127" s="5">
        <v>5.56</v>
      </c>
      <c r="BD1127" s="5">
        <v>97</v>
      </c>
      <c r="BE1127" s="5" t="s">
        <v>76</v>
      </c>
      <c r="BF1127" s="5" t="s">
        <v>76</v>
      </c>
      <c r="BG1127" s="15">
        <v>36.6</v>
      </c>
      <c r="BH1127" s="5">
        <v>98</v>
      </c>
      <c r="BI1127" s="5">
        <v>98</v>
      </c>
      <c r="BJ1127" s="5">
        <v>24</v>
      </c>
      <c r="BK1127" s="5">
        <v>151</v>
      </c>
      <c r="BL1127" s="5">
        <v>114</v>
      </c>
      <c r="BM1127" s="5">
        <v>90</v>
      </c>
      <c r="BN1127" s="5">
        <v>177</v>
      </c>
      <c r="BO1127" s="5">
        <f t="shared" si="17"/>
        <v>28.7273771904625</v>
      </c>
      <c r="BP1127" s="5" t="s">
        <v>618</v>
      </c>
      <c r="BQ1127" s="5" t="s">
        <v>76</v>
      </c>
      <c r="BR1127" s="5">
        <v>999</v>
      </c>
    </row>
    <row r="1128" s="1" customFormat="1" spans="1:70">
      <c r="A1128" s="1" t="s">
        <v>2629</v>
      </c>
      <c r="B1128" s="1" t="s">
        <v>2630</v>
      </c>
      <c r="D1128" s="4">
        <v>45008</v>
      </c>
      <c r="E1128" s="4">
        <v>45020</v>
      </c>
      <c r="F1128" s="7">
        <v>24456</v>
      </c>
      <c r="G1128" s="1">
        <v>34</v>
      </c>
      <c r="H1128" s="1">
        <v>9</v>
      </c>
      <c r="I1128" s="1">
        <v>45</v>
      </c>
      <c r="J1128" s="1">
        <v>9</v>
      </c>
      <c r="K1128" s="1">
        <v>60</v>
      </c>
      <c r="L1128" s="1">
        <v>32</v>
      </c>
      <c r="M1128" s="1">
        <v>1.18</v>
      </c>
      <c r="N1128" s="1">
        <v>11.8</v>
      </c>
      <c r="O1128" s="7">
        <v>24456</v>
      </c>
      <c r="P1128" s="4">
        <v>45008</v>
      </c>
      <c r="Q1128" s="4">
        <v>45020</v>
      </c>
      <c r="R1128" s="1" t="s">
        <v>73</v>
      </c>
      <c r="AO1128" s="7">
        <v>24456</v>
      </c>
      <c r="AP1128" s="5" t="s">
        <v>88</v>
      </c>
      <c r="AQ1128" s="5" t="s">
        <v>89</v>
      </c>
      <c r="AR1128" s="5" t="s">
        <v>2631</v>
      </c>
      <c r="AS1128" s="5" t="s">
        <v>76</v>
      </c>
      <c r="AT1128" s="5" t="s">
        <v>318</v>
      </c>
      <c r="AU1128" s="5" t="s">
        <v>205</v>
      </c>
      <c r="AV1128" s="5" t="s">
        <v>2632</v>
      </c>
      <c r="AW1128" s="5" t="s">
        <v>2633</v>
      </c>
      <c r="AX1128" s="5" t="s">
        <v>131</v>
      </c>
      <c r="AY1128" s="5" t="s">
        <v>125</v>
      </c>
      <c r="AZ1128" s="5" t="s">
        <v>2634</v>
      </c>
      <c r="BA1128" s="5" t="s">
        <v>76</v>
      </c>
      <c r="BB1128" s="12" t="s">
        <v>76</v>
      </c>
      <c r="BC1128" s="5" t="s">
        <v>1519</v>
      </c>
      <c r="BD1128" s="5" t="s">
        <v>89</v>
      </c>
      <c r="BE1128" s="5" t="s">
        <v>76</v>
      </c>
      <c r="BF1128" s="5" t="s">
        <v>76</v>
      </c>
      <c r="BG1128" s="15">
        <v>36.3</v>
      </c>
      <c r="BH1128" s="5" t="s">
        <v>103</v>
      </c>
      <c r="BI1128" s="5" t="s">
        <v>103</v>
      </c>
      <c r="BJ1128" s="5" t="s">
        <v>101</v>
      </c>
      <c r="BK1128" s="5" t="s">
        <v>1517</v>
      </c>
      <c r="BL1128" s="5" t="s">
        <v>482</v>
      </c>
      <c r="BM1128" s="5" t="s">
        <v>391</v>
      </c>
      <c r="BN1128" s="5">
        <v>167</v>
      </c>
      <c r="BO1128" s="5">
        <f t="shared" si="17"/>
        <v>24.7409372871024</v>
      </c>
      <c r="BP1128" s="5" t="s">
        <v>573</v>
      </c>
      <c r="BQ1128" s="5" t="s">
        <v>76</v>
      </c>
      <c r="BR1128" s="5">
        <v>3620</v>
      </c>
    </row>
    <row r="1129" s="1" customFormat="1" spans="1:70">
      <c r="A1129" s="1">
        <v>3290796</v>
      </c>
      <c r="B1129" s="1" t="s">
        <v>2635</v>
      </c>
      <c r="D1129" s="4">
        <v>44978</v>
      </c>
      <c r="E1129" s="4">
        <v>44985</v>
      </c>
      <c r="F1129" s="7">
        <v>24467</v>
      </c>
      <c r="G1129" s="1">
        <v>24</v>
      </c>
      <c r="H1129" s="1">
        <v>8</v>
      </c>
      <c r="I1129" s="1">
        <v>38</v>
      </c>
      <c r="J1129" s="1">
        <v>8</v>
      </c>
      <c r="K1129" s="1">
        <v>60</v>
      </c>
      <c r="L1129" s="1">
        <v>32</v>
      </c>
      <c r="M1129" s="1">
        <v>0.56</v>
      </c>
      <c r="N1129" s="1">
        <v>8.8</v>
      </c>
      <c r="O1129" s="7">
        <v>24467</v>
      </c>
      <c r="P1129" s="4">
        <v>44978</v>
      </c>
      <c r="Q1129" s="4">
        <v>44985</v>
      </c>
      <c r="R1129" s="1" t="s">
        <v>73</v>
      </c>
      <c r="AO1129" s="7">
        <v>24467</v>
      </c>
      <c r="AP1129" s="5">
        <v>4</v>
      </c>
      <c r="AQ1129" s="5">
        <v>97</v>
      </c>
      <c r="AR1129" s="5">
        <v>33</v>
      </c>
      <c r="AS1129" s="5">
        <v>115.3</v>
      </c>
      <c r="AT1129" s="5">
        <v>98</v>
      </c>
      <c r="AU1129" s="5">
        <v>22</v>
      </c>
      <c r="AV1129" s="5">
        <v>27.9</v>
      </c>
      <c r="AW1129" s="5">
        <v>6.4</v>
      </c>
      <c r="AX1129" s="5">
        <v>40</v>
      </c>
      <c r="AY1129" s="5" t="s">
        <v>76</v>
      </c>
      <c r="AZ1129" s="5" t="s">
        <v>75</v>
      </c>
      <c r="BA1129" s="5">
        <v>1.61</v>
      </c>
      <c r="BB1129" s="12" t="s">
        <v>76</v>
      </c>
      <c r="BC1129" s="5">
        <v>4.31</v>
      </c>
      <c r="BD1129" s="5">
        <v>97</v>
      </c>
      <c r="BE1129" s="5" t="s">
        <v>76</v>
      </c>
      <c r="BF1129" s="5" t="s">
        <v>76</v>
      </c>
      <c r="BG1129" s="15">
        <v>36.5</v>
      </c>
      <c r="BH1129" s="5">
        <v>75</v>
      </c>
      <c r="BI1129" s="5" t="s">
        <v>76</v>
      </c>
      <c r="BJ1129" s="5">
        <v>20</v>
      </c>
      <c r="BK1129" s="5">
        <v>115</v>
      </c>
      <c r="BL1129" s="5">
        <v>68</v>
      </c>
      <c r="BM1129" s="5">
        <v>56</v>
      </c>
      <c r="BN1129" s="5">
        <v>155</v>
      </c>
      <c r="BO1129" s="5">
        <f t="shared" si="17"/>
        <v>23.309053069719</v>
      </c>
      <c r="BP1129" s="5" t="s">
        <v>622</v>
      </c>
      <c r="BQ1129" s="5" t="s">
        <v>76</v>
      </c>
      <c r="BR1129" s="5">
        <v>4254</v>
      </c>
    </row>
    <row r="1130" s="1" customFormat="1" spans="1:70">
      <c r="A1130" s="1" t="s">
        <v>2636</v>
      </c>
      <c r="B1130" s="1" t="s">
        <v>2637</v>
      </c>
      <c r="D1130" s="4">
        <v>44976</v>
      </c>
      <c r="E1130" s="4">
        <v>45001</v>
      </c>
      <c r="F1130" s="7">
        <v>24508</v>
      </c>
      <c r="G1130" s="1">
        <v>40</v>
      </c>
      <c r="H1130" s="1">
        <v>10</v>
      </c>
      <c r="I1130" s="1">
        <v>58</v>
      </c>
      <c r="J1130" s="1">
        <v>10</v>
      </c>
      <c r="K1130" s="1">
        <v>51</v>
      </c>
      <c r="L1130" s="1">
        <v>26</v>
      </c>
      <c r="M1130" s="1">
        <v>0.73</v>
      </c>
      <c r="N1130" s="1">
        <v>11.5</v>
      </c>
      <c r="O1130" s="7">
        <v>24508</v>
      </c>
      <c r="P1130" s="4">
        <v>44976</v>
      </c>
      <c r="Q1130" s="4">
        <v>45001</v>
      </c>
      <c r="R1130" s="1" t="s">
        <v>80</v>
      </c>
      <c r="AO1130" s="7">
        <v>24508</v>
      </c>
      <c r="AP1130" s="5" t="s">
        <v>844</v>
      </c>
      <c r="AQ1130" s="5" t="s">
        <v>419</v>
      </c>
      <c r="AR1130" s="5" t="s">
        <v>1906</v>
      </c>
      <c r="AS1130" s="5" t="s">
        <v>2321</v>
      </c>
      <c r="AT1130" s="5" t="s">
        <v>419</v>
      </c>
      <c r="AU1130" s="5" t="s">
        <v>1000</v>
      </c>
      <c r="AV1130" s="5" t="s">
        <v>1044</v>
      </c>
      <c r="AW1130" s="5" t="s">
        <v>2638</v>
      </c>
      <c r="AX1130" s="5" t="s">
        <v>2639</v>
      </c>
      <c r="AY1130" s="5" t="s">
        <v>2640</v>
      </c>
      <c r="AZ1130" s="5" t="s">
        <v>75</v>
      </c>
      <c r="BA1130" s="5" t="s">
        <v>2305</v>
      </c>
      <c r="BB1130" s="12" t="s">
        <v>76</v>
      </c>
      <c r="BC1130" s="5" t="s">
        <v>4</v>
      </c>
      <c r="BD1130" s="5" t="s">
        <v>419</v>
      </c>
      <c r="BE1130" s="5" t="s">
        <v>1996</v>
      </c>
      <c r="BF1130" s="5" t="s">
        <v>2641</v>
      </c>
      <c r="BG1130" s="15">
        <v>37</v>
      </c>
      <c r="BH1130" s="5" t="s">
        <v>140</v>
      </c>
      <c r="BI1130" s="5" t="s">
        <v>140</v>
      </c>
      <c r="BJ1130" s="5" t="s">
        <v>101</v>
      </c>
      <c r="BK1130" s="5" t="s">
        <v>2220</v>
      </c>
      <c r="BL1130" s="5" t="s">
        <v>290</v>
      </c>
      <c r="BM1130" s="5" t="s">
        <v>140</v>
      </c>
      <c r="BN1130" s="5">
        <v>175</v>
      </c>
      <c r="BO1130" s="5">
        <f t="shared" si="17"/>
        <v>26.1224489795918</v>
      </c>
      <c r="BP1130" s="5" t="s">
        <v>2642</v>
      </c>
      <c r="BQ1130" s="5" t="s">
        <v>76</v>
      </c>
      <c r="BR1130" s="5" t="s">
        <v>118</v>
      </c>
    </row>
    <row r="1131" s="1" customFormat="1" spans="1:70">
      <c r="A1131" s="1">
        <v>3260112</v>
      </c>
      <c r="B1131" s="1" t="s">
        <v>2643</v>
      </c>
      <c r="D1131" s="4">
        <v>44928</v>
      </c>
      <c r="E1131" s="4">
        <v>44937</v>
      </c>
      <c r="F1131" s="7">
        <v>24511</v>
      </c>
      <c r="G1131" s="1">
        <v>33</v>
      </c>
      <c r="H1131" s="1">
        <v>9</v>
      </c>
      <c r="I1131" s="1">
        <v>47</v>
      </c>
      <c r="J1131" s="1">
        <v>9</v>
      </c>
      <c r="K1131" s="1">
        <v>59</v>
      </c>
      <c r="L1131" s="1">
        <v>31</v>
      </c>
      <c r="M1131" s="1">
        <v>1.25</v>
      </c>
      <c r="N1131" s="1">
        <v>8.2</v>
      </c>
      <c r="O1131" s="7">
        <v>24511</v>
      </c>
      <c r="P1131" s="4">
        <v>44928</v>
      </c>
      <c r="Q1131" s="4">
        <v>44937</v>
      </c>
      <c r="R1131" s="1" t="s">
        <v>80</v>
      </c>
      <c r="AO1131" s="7">
        <v>24511</v>
      </c>
      <c r="AP1131" s="5" t="s">
        <v>76</v>
      </c>
      <c r="AQ1131" s="5" t="s">
        <v>76</v>
      </c>
      <c r="AR1131" s="5" t="s">
        <v>76</v>
      </c>
      <c r="AS1131" s="5" t="s">
        <v>76</v>
      </c>
      <c r="AT1131" s="5">
        <v>18</v>
      </c>
      <c r="AU1131" s="5" t="s">
        <v>76</v>
      </c>
      <c r="AV1131" s="5" t="s">
        <v>76</v>
      </c>
      <c r="AW1131" s="5" t="s">
        <v>76</v>
      </c>
      <c r="AX1131" s="5" t="s">
        <v>76</v>
      </c>
      <c r="AY1131" s="5" t="s">
        <v>76</v>
      </c>
      <c r="AZ1131" s="5">
        <v>3.97</v>
      </c>
      <c r="BA1131" s="5">
        <v>4.28</v>
      </c>
      <c r="BB1131" s="12" t="s">
        <v>76</v>
      </c>
      <c r="BC1131" s="5" t="s">
        <v>76</v>
      </c>
      <c r="BD1131" s="5" t="s">
        <v>76</v>
      </c>
      <c r="BE1131" s="5">
        <v>1.63</v>
      </c>
      <c r="BF1131" s="5">
        <v>2.25</v>
      </c>
      <c r="BG1131" s="15">
        <v>36.2</v>
      </c>
      <c r="BH1131" s="5">
        <v>60</v>
      </c>
      <c r="BI1131" s="5">
        <v>60</v>
      </c>
      <c r="BJ1131" s="5">
        <v>18</v>
      </c>
      <c r="BK1131" s="5">
        <v>132</v>
      </c>
      <c r="BL1131" s="5">
        <v>80</v>
      </c>
      <c r="BM1131" s="5">
        <v>50</v>
      </c>
      <c r="BN1131" s="5">
        <v>170</v>
      </c>
      <c r="BO1131" s="5">
        <f t="shared" si="17"/>
        <v>17.3010380622837</v>
      </c>
      <c r="BP1131" s="5" t="s">
        <v>121</v>
      </c>
      <c r="BQ1131" s="5">
        <v>5.5</v>
      </c>
      <c r="BR1131" s="5">
        <v>1315</v>
      </c>
    </row>
    <row r="1132" s="1" customFormat="1" spans="1:70">
      <c r="A1132" s="1" t="s">
        <v>2644</v>
      </c>
      <c r="B1132" s="1" t="s">
        <v>2645</v>
      </c>
      <c r="D1132" s="4">
        <v>44981</v>
      </c>
      <c r="E1132" s="4">
        <v>45014</v>
      </c>
      <c r="F1132" s="7">
        <v>24521</v>
      </c>
      <c r="G1132" s="1">
        <v>36</v>
      </c>
      <c r="H1132" s="1">
        <v>8</v>
      </c>
      <c r="I1132" s="1">
        <v>43</v>
      </c>
      <c r="J1132" s="1">
        <v>8</v>
      </c>
      <c r="K1132" s="1">
        <v>65</v>
      </c>
      <c r="L1132" s="1">
        <v>35</v>
      </c>
      <c r="M1132" s="1">
        <v>0.86</v>
      </c>
      <c r="N1132" s="1">
        <v>9.6</v>
      </c>
      <c r="O1132" s="7">
        <v>24521</v>
      </c>
      <c r="P1132" s="4">
        <v>44981</v>
      </c>
      <c r="Q1132" s="4">
        <v>45014</v>
      </c>
      <c r="R1132" s="1" t="s">
        <v>80</v>
      </c>
      <c r="AO1132" s="7">
        <v>24521</v>
      </c>
      <c r="AP1132" s="5" t="s">
        <v>807</v>
      </c>
      <c r="AQ1132" s="5" t="s">
        <v>89</v>
      </c>
      <c r="AR1132" s="5" t="s">
        <v>1007</v>
      </c>
      <c r="AS1132" s="5" t="s">
        <v>2397</v>
      </c>
      <c r="AT1132" s="5" t="s">
        <v>205</v>
      </c>
      <c r="AU1132" s="5" t="s">
        <v>691</v>
      </c>
      <c r="AV1132" s="5" t="s">
        <v>819</v>
      </c>
      <c r="AW1132" s="5" t="s">
        <v>607</v>
      </c>
      <c r="AX1132" s="5" t="s">
        <v>533</v>
      </c>
      <c r="AY1132" s="5" t="s">
        <v>76</v>
      </c>
      <c r="AZ1132" s="5" t="s">
        <v>306</v>
      </c>
      <c r="BA1132" s="5" t="s">
        <v>2627</v>
      </c>
      <c r="BB1132" s="12" t="s">
        <v>76</v>
      </c>
      <c r="BC1132" s="5" t="s">
        <v>2646</v>
      </c>
      <c r="BD1132" s="5" t="s">
        <v>89</v>
      </c>
      <c r="BE1132" s="5" t="s">
        <v>76</v>
      </c>
      <c r="BF1132" s="5" t="s">
        <v>76</v>
      </c>
      <c r="BG1132" s="15">
        <v>36.5</v>
      </c>
      <c r="BH1132" s="5" t="s">
        <v>140</v>
      </c>
      <c r="BI1132" s="5" t="s">
        <v>140</v>
      </c>
      <c r="BJ1132" s="5" t="s">
        <v>293</v>
      </c>
      <c r="BK1132" s="5" t="s">
        <v>238</v>
      </c>
      <c r="BL1132" s="5" t="s">
        <v>598</v>
      </c>
      <c r="BM1132" s="5" t="s">
        <v>205</v>
      </c>
      <c r="BN1132" s="5">
        <v>162</v>
      </c>
      <c r="BO1132" s="5">
        <f t="shared" si="17"/>
        <v>22.1002895900015</v>
      </c>
      <c r="BP1132" s="5" t="s">
        <v>321</v>
      </c>
      <c r="BQ1132" s="5" t="s">
        <v>2647</v>
      </c>
      <c r="BR1132" s="5">
        <v>2201</v>
      </c>
    </row>
    <row r="1133" s="1" customFormat="1" spans="1:70">
      <c r="A1133" s="1" t="s">
        <v>2648</v>
      </c>
      <c r="B1133" s="1" t="s">
        <v>2649</v>
      </c>
      <c r="D1133" s="4">
        <v>44983</v>
      </c>
      <c r="E1133" s="4">
        <v>45002</v>
      </c>
      <c r="F1133" s="7">
        <v>24529</v>
      </c>
      <c r="G1133" s="1">
        <v>27</v>
      </c>
      <c r="H1133" s="1">
        <v>8</v>
      </c>
      <c r="I1133" s="1">
        <v>40</v>
      </c>
      <c r="J1133" s="1">
        <v>8</v>
      </c>
      <c r="K1133" s="1">
        <v>61</v>
      </c>
      <c r="L1133" s="1">
        <v>33</v>
      </c>
      <c r="M1133" s="1">
        <v>0.86</v>
      </c>
      <c r="O1133" s="7">
        <v>24529</v>
      </c>
      <c r="P1133" s="4">
        <v>44983</v>
      </c>
      <c r="Q1133" s="4">
        <v>45002</v>
      </c>
      <c r="R1133" s="1" t="s">
        <v>73</v>
      </c>
      <c r="AO1133" s="7">
        <v>24529</v>
      </c>
      <c r="AP1133" s="5" t="s">
        <v>2650</v>
      </c>
      <c r="AQ1133" s="5" t="s">
        <v>243</v>
      </c>
      <c r="AR1133" s="5" t="s">
        <v>2197</v>
      </c>
      <c r="AS1133" s="5" t="s">
        <v>2651</v>
      </c>
      <c r="AT1133" s="5" t="s">
        <v>691</v>
      </c>
      <c r="AU1133" s="5" t="s">
        <v>195</v>
      </c>
      <c r="AV1133" s="5" t="s">
        <v>592</v>
      </c>
      <c r="AW1133" s="5" t="s">
        <v>1745</v>
      </c>
      <c r="AX1133" s="5" t="s">
        <v>186</v>
      </c>
      <c r="AY1133" s="5" t="s">
        <v>2652</v>
      </c>
      <c r="AZ1133" s="5" t="s">
        <v>1060</v>
      </c>
      <c r="BA1133" s="5" t="s">
        <v>76</v>
      </c>
      <c r="BB1133" s="12" t="s">
        <v>76</v>
      </c>
      <c r="BC1133" s="5" t="s">
        <v>2646</v>
      </c>
      <c r="BD1133" s="5" t="s">
        <v>243</v>
      </c>
      <c r="BE1133" s="5" t="s">
        <v>76</v>
      </c>
      <c r="BF1133" s="5" t="s">
        <v>76</v>
      </c>
      <c r="BG1133" s="15">
        <v>37</v>
      </c>
      <c r="BH1133" s="5" t="s">
        <v>76</v>
      </c>
      <c r="BI1133" s="5" t="s">
        <v>760</v>
      </c>
      <c r="BJ1133" s="5" t="s">
        <v>769</v>
      </c>
      <c r="BK1133" s="5" t="s">
        <v>938</v>
      </c>
      <c r="BL1133" s="5" t="s">
        <v>336</v>
      </c>
      <c r="BM1133" s="5" t="s">
        <v>77</v>
      </c>
      <c r="BN1133" s="5" t="s">
        <v>77</v>
      </c>
      <c r="BO1133" s="5" t="e">
        <f t="shared" si="17"/>
        <v>#VALUE!</v>
      </c>
      <c r="BP1133" s="5" t="s">
        <v>1121</v>
      </c>
      <c r="BQ1133" s="5" t="s">
        <v>76</v>
      </c>
      <c r="BR1133" s="5">
        <v>5383</v>
      </c>
    </row>
    <row r="1134" s="1" customFormat="1" spans="1:70">
      <c r="A1134" s="1">
        <v>3310993</v>
      </c>
      <c r="B1134" s="1" t="s">
        <v>2653</v>
      </c>
      <c r="D1134" s="4">
        <v>45005</v>
      </c>
      <c r="E1134" s="4">
        <v>45022</v>
      </c>
      <c r="F1134" s="7">
        <v>24538</v>
      </c>
      <c r="G1134" s="1">
        <v>38</v>
      </c>
      <c r="H1134" s="1">
        <v>13</v>
      </c>
      <c r="I1134" s="1">
        <v>42</v>
      </c>
      <c r="J1134" s="1">
        <v>11</v>
      </c>
      <c r="K1134" s="1">
        <v>57</v>
      </c>
      <c r="L1134" s="1">
        <v>30</v>
      </c>
      <c r="M1134" s="1">
        <v>0.45</v>
      </c>
      <c r="N1134" s="1">
        <v>5.4</v>
      </c>
      <c r="O1134" s="7">
        <v>24538</v>
      </c>
      <c r="P1134" s="4">
        <v>45005</v>
      </c>
      <c r="Q1134" s="4">
        <v>45022</v>
      </c>
      <c r="R1134" s="1" t="s">
        <v>73</v>
      </c>
      <c r="S1134" s="1">
        <v>56</v>
      </c>
      <c r="T1134" s="1" t="s">
        <v>2654</v>
      </c>
      <c r="AM1134" s="1">
        <v>1</v>
      </c>
      <c r="AO1134" s="7">
        <v>24538</v>
      </c>
      <c r="AP1134" s="5">
        <v>9</v>
      </c>
      <c r="AQ1134" s="5">
        <v>139</v>
      </c>
      <c r="AR1134" s="5">
        <v>51</v>
      </c>
      <c r="AS1134" s="5">
        <v>97.7</v>
      </c>
      <c r="AT1134" s="5">
        <v>59</v>
      </c>
      <c r="AU1134" s="5">
        <v>37</v>
      </c>
      <c r="AV1134" s="5">
        <v>43.4</v>
      </c>
      <c r="AW1134" s="5">
        <v>7.23</v>
      </c>
      <c r="AX1134" s="5">
        <v>70</v>
      </c>
      <c r="AY1134" s="5" t="s">
        <v>125</v>
      </c>
      <c r="AZ1134" s="5" t="s">
        <v>75</v>
      </c>
      <c r="BA1134" s="5">
        <v>4.62</v>
      </c>
      <c r="BB1134" s="12" t="s">
        <v>76</v>
      </c>
      <c r="BC1134" s="5">
        <v>4.41</v>
      </c>
      <c r="BD1134" s="5">
        <v>139</v>
      </c>
      <c r="BE1134" s="5">
        <v>1.17</v>
      </c>
      <c r="BF1134" s="5">
        <v>2.75</v>
      </c>
      <c r="BG1134" s="15">
        <v>36.2</v>
      </c>
      <c r="BH1134" s="5">
        <v>88</v>
      </c>
      <c r="BI1134" s="5">
        <v>88</v>
      </c>
      <c r="BJ1134" s="5">
        <v>16</v>
      </c>
      <c r="BK1134" s="5">
        <v>154</v>
      </c>
      <c r="BL1134" s="5">
        <v>102</v>
      </c>
      <c r="BM1134" s="5">
        <v>62</v>
      </c>
      <c r="BN1134" s="5">
        <v>146</v>
      </c>
      <c r="BO1134" s="5">
        <f t="shared" si="17"/>
        <v>29.0861324826421</v>
      </c>
      <c r="BP1134" s="5" t="s">
        <v>1450</v>
      </c>
      <c r="BQ1134" s="5">
        <v>5.7</v>
      </c>
      <c r="BR1134" s="5">
        <v>3781</v>
      </c>
    </row>
    <row r="1135" s="1" customFormat="1" spans="1:70">
      <c r="A1135" s="1">
        <v>3492678</v>
      </c>
      <c r="B1135" s="1" t="s">
        <v>1024</v>
      </c>
      <c r="D1135" s="4">
        <v>45257</v>
      </c>
      <c r="E1135" s="4">
        <v>45261</v>
      </c>
      <c r="F1135" s="7">
        <v>24565</v>
      </c>
      <c r="G1135" s="1">
        <v>37</v>
      </c>
      <c r="H1135" s="1">
        <v>8</v>
      </c>
      <c r="I1135" s="1">
        <v>54</v>
      </c>
      <c r="J1135" s="1">
        <v>8</v>
      </c>
      <c r="K1135" s="1">
        <v>59</v>
      </c>
      <c r="L1135" s="1">
        <v>31</v>
      </c>
      <c r="M1135" s="9">
        <v>1.2</v>
      </c>
      <c r="N1135" s="1">
        <v>6.7</v>
      </c>
      <c r="O1135" s="7">
        <v>24565</v>
      </c>
      <c r="P1135" s="4">
        <v>45257</v>
      </c>
      <c r="Q1135" s="4">
        <v>45261</v>
      </c>
      <c r="R1135" s="1" t="s">
        <v>73</v>
      </c>
      <c r="AO1135" s="7">
        <v>24565</v>
      </c>
      <c r="AP1135" s="5">
        <v>17.2</v>
      </c>
      <c r="AQ1135" s="5">
        <v>98</v>
      </c>
      <c r="AR1135" s="5">
        <v>37.6</v>
      </c>
      <c r="AS1135" s="5" t="s">
        <v>76</v>
      </c>
      <c r="AT1135" s="5">
        <v>61</v>
      </c>
      <c r="AU1135" s="5">
        <v>93</v>
      </c>
      <c r="AV1135" s="5">
        <v>32.5</v>
      </c>
      <c r="AW1135" s="5">
        <v>3.6</v>
      </c>
      <c r="AX1135" s="5">
        <v>49</v>
      </c>
      <c r="AY1135" s="5" t="s">
        <v>125</v>
      </c>
      <c r="AZ1135" s="5">
        <v>8.7</v>
      </c>
      <c r="BA1135" s="5" t="s">
        <v>76</v>
      </c>
      <c r="BB1135" s="12" t="s">
        <v>76</v>
      </c>
      <c r="BC1135" s="5">
        <v>4.21</v>
      </c>
      <c r="BD1135" s="5">
        <v>98</v>
      </c>
      <c r="BE1135" s="5" t="s">
        <v>76</v>
      </c>
      <c r="BF1135" s="5" t="s">
        <v>76</v>
      </c>
      <c r="BG1135" s="15">
        <v>36.7</v>
      </c>
      <c r="BH1135" s="5">
        <v>102</v>
      </c>
      <c r="BI1135" s="5">
        <v>102</v>
      </c>
      <c r="BJ1135" s="5">
        <v>20</v>
      </c>
      <c r="BK1135" s="5">
        <v>118</v>
      </c>
      <c r="BL1135" s="5">
        <v>70</v>
      </c>
      <c r="BM1135" s="5">
        <v>50</v>
      </c>
      <c r="BN1135" s="5">
        <v>160</v>
      </c>
      <c r="BO1135" s="5">
        <f t="shared" si="17"/>
        <v>19.53125</v>
      </c>
      <c r="BP1135" s="5" t="s">
        <v>85</v>
      </c>
      <c r="BQ1135" s="5" t="s">
        <v>76</v>
      </c>
      <c r="BR1135" s="5">
        <v>4372</v>
      </c>
    </row>
    <row r="1136" s="1" customFormat="1" spans="1:70">
      <c r="A1136" s="1">
        <v>3271316</v>
      </c>
      <c r="B1136" s="1" t="s">
        <v>2655</v>
      </c>
      <c r="D1136" s="4">
        <v>44953</v>
      </c>
      <c r="E1136" s="4">
        <v>44957</v>
      </c>
      <c r="F1136" s="7">
        <v>24661</v>
      </c>
      <c r="G1136" s="1">
        <v>42</v>
      </c>
      <c r="H1136" s="1">
        <v>13</v>
      </c>
      <c r="I1136" s="1">
        <v>54</v>
      </c>
      <c r="J1136" s="1">
        <v>12</v>
      </c>
      <c r="K1136" s="1">
        <v>64</v>
      </c>
      <c r="L1136" s="1">
        <v>34</v>
      </c>
      <c r="M1136" s="1">
        <v>85</v>
      </c>
      <c r="N1136" s="1">
        <v>9.5</v>
      </c>
      <c r="O1136" s="7">
        <v>24661</v>
      </c>
      <c r="P1136" s="4">
        <v>44953</v>
      </c>
      <c r="Q1136" s="4">
        <v>44957</v>
      </c>
      <c r="R1136" s="1" t="s">
        <v>80</v>
      </c>
      <c r="S1136" s="1">
        <v>55</v>
      </c>
      <c r="T1136" s="1" t="s">
        <v>2656</v>
      </c>
      <c r="X1136" s="1" t="s">
        <v>155</v>
      </c>
      <c r="AA1136" s="1" t="s">
        <v>155</v>
      </c>
      <c r="AI1136" s="1">
        <v>1</v>
      </c>
      <c r="AM1136" s="1">
        <v>1</v>
      </c>
      <c r="AN1136" s="1">
        <v>1</v>
      </c>
      <c r="AO1136" s="7">
        <v>24661</v>
      </c>
      <c r="AP1136" s="5">
        <v>5.3</v>
      </c>
      <c r="AQ1136" s="5">
        <v>79</v>
      </c>
      <c r="AR1136" s="5">
        <v>25.4</v>
      </c>
      <c r="AS1136" s="5" t="s">
        <v>81</v>
      </c>
      <c r="AT1136" s="5">
        <v>32</v>
      </c>
      <c r="AU1136" s="5">
        <v>37</v>
      </c>
      <c r="AV1136" s="5">
        <v>30.9</v>
      </c>
      <c r="AW1136" s="5">
        <v>24.01</v>
      </c>
      <c r="AX1136" s="5">
        <v>373</v>
      </c>
      <c r="AY1136" s="5">
        <v>15.95</v>
      </c>
      <c r="AZ1136" s="5">
        <v>9.41</v>
      </c>
      <c r="BA1136" s="5">
        <v>4.77</v>
      </c>
      <c r="BB1136" s="12" t="s">
        <v>76</v>
      </c>
      <c r="BC1136" s="5" t="s">
        <v>4</v>
      </c>
      <c r="BD1136" s="5">
        <v>79</v>
      </c>
      <c r="BE1136" s="5">
        <v>1.91</v>
      </c>
      <c r="BF1136" s="5">
        <v>2.56</v>
      </c>
      <c r="BG1136" s="15">
        <v>36.4</v>
      </c>
      <c r="BH1136" s="5">
        <v>84</v>
      </c>
      <c r="BI1136" s="5" t="s">
        <v>76</v>
      </c>
      <c r="BJ1136" s="5">
        <v>14</v>
      </c>
      <c r="BK1136" s="5">
        <v>188</v>
      </c>
      <c r="BL1136" s="5">
        <v>98</v>
      </c>
      <c r="BM1136" s="5">
        <v>74</v>
      </c>
      <c r="BN1136" s="5">
        <v>178</v>
      </c>
      <c r="BO1136" s="5">
        <f t="shared" si="17"/>
        <v>23.355636914531</v>
      </c>
      <c r="BP1136" s="5" t="s">
        <v>415</v>
      </c>
      <c r="BQ1136" s="5">
        <v>6.6</v>
      </c>
      <c r="BR1136" s="5">
        <v>1545</v>
      </c>
    </row>
    <row r="1137" s="1" customFormat="1" spans="1:70">
      <c r="A1137" s="1" t="s">
        <v>2657</v>
      </c>
      <c r="B1137" s="1" t="s">
        <v>2658</v>
      </c>
      <c r="C1137" s="1">
        <v>1</v>
      </c>
      <c r="D1137" s="4">
        <v>44900</v>
      </c>
      <c r="E1137" s="4">
        <v>44916</v>
      </c>
      <c r="F1137" s="7">
        <v>24682</v>
      </c>
      <c r="G1137" s="1">
        <v>39</v>
      </c>
      <c r="H1137" s="1">
        <v>9</v>
      </c>
      <c r="I1137" s="1">
        <v>52</v>
      </c>
      <c r="J1137" s="1">
        <v>9</v>
      </c>
      <c r="K1137" s="1">
        <v>36</v>
      </c>
      <c r="L1137" s="1">
        <v>17</v>
      </c>
      <c r="M1137" s="1">
        <v>0.74</v>
      </c>
      <c r="O1137" s="7">
        <v>24682</v>
      </c>
      <c r="P1137" s="4">
        <v>44900</v>
      </c>
      <c r="Q1137" s="4">
        <v>44916</v>
      </c>
      <c r="R1137" s="1" t="s">
        <v>73</v>
      </c>
      <c r="AO1137" s="7">
        <v>24682</v>
      </c>
      <c r="AP1137" s="5" t="s">
        <v>2650</v>
      </c>
      <c r="AQ1137" s="5" t="s">
        <v>89</v>
      </c>
      <c r="AR1137" s="5" t="s">
        <v>511</v>
      </c>
      <c r="AS1137" s="5" t="s">
        <v>2659</v>
      </c>
      <c r="AT1137" s="5" t="s">
        <v>318</v>
      </c>
      <c r="AU1137" s="5" t="s">
        <v>212</v>
      </c>
      <c r="AV1137" s="5" t="s">
        <v>2660</v>
      </c>
      <c r="AW1137" s="5" t="s">
        <v>2661</v>
      </c>
      <c r="AX1137" s="5" t="s">
        <v>295</v>
      </c>
      <c r="AY1137" s="5" t="s">
        <v>125</v>
      </c>
      <c r="AZ1137" s="5" t="s">
        <v>75</v>
      </c>
      <c r="BA1137" s="5" t="s">
        <v>1550</v>
      </c>
      <c r="BB1137" s="12" t="s">
        <v>76</v>
      </c>
      <c r="BC1137" s="5" t="s">
        <v>1563</v>
      </c>
      <c r="BD1137" s="5" t="s">
        <v>89</v>
      </c>
      <c r="BE1137" s="5" t="s">
        <v>2662</v>
      </c>
      <c r="BF1137" s="5" t="s">
        <v>2663</v>
      </c>
      <c r="BG1137" s="15">
        <v>36.3</v>
      </c>
      <c r="BH1137" s="5" t="s">
        <v>493</v>
      </c>
      <c r="BI1137" s="5" t="s">
        <v>76</v>
      </c>
      <c r="BJ1137" s="5" t="s">
        <v>101</v>
      </c>
      <c r="BK1137" s="5" t="s">
        <v>350</v>
      </c>
      <c r="BL1137" s="5" t="s">
        <v>215</v>
      </c>
      <c r="BM1137" s="5" t="s">
        <v>215</v>
      </c>
      <c r="BN1137" s="5">
        <v>155</v>
      </c>
      <c r="BO1137" s="5">
        <f t="shared" si="17"/>
        <v>24.9739854318418</v>
      </c>
      <c r="BP1137" s="5" t="s">
        <v>296</v>
      </c>
      <c r="BQ1137" s="5" t="s">
        <v>1343</v>
      </c>
      <c r="BR1137" s="5" t="s">
        <v>118</v>
      </c>
    </row>
    <row r="1138" s="1" customFormat="1" spans="1:70">
      <c r="A1138" s="1">
        <v>3516569</v>
      </c>
      <c r="B1138" s="1" t="s">
        <v>2664</v>
      </c>
      <c r="D1138" s="4">
        <v>45289</v>
      </c>
      <c r="E1138" s="4">
        <v>45296</v>
      </c>
      <c r="F1138" s="7">
        <v>24691</v>
      </c>
      <c r="G1138" s="1">
        <v>50</v>
      </c>
      <c r="H1138" s="1">
        <v>8</v>
      </c>
      <c r="I1138" s="1">
        <v>48</v>
      </c>
      <c r="J1138" s="1">
        <v>8</v>
      </c>
      <c r="K1138" s="1">
        <v>65</v>
      </c>
      <c r="L1138" s="1">
        <v>36</v>
      </c>
      <c r="O1138" s="7">
        <v>24691</v>
      </c>
      <c r="P1138" s="4">
        <v>45289</v>
      </c>
      <c r="Q1138" s="4">
        <v>45296</v>
      </c>
      <c r="R1138" s="1" t="s">
        <v>73</v>
      </c>
      <c r="AO1138" s="7">
        <v>24691</v>
      </c>
      <c r="AP1138" s="5">
        <v>6.5</v>
      </c>
      <c r="AQ1138" s="5">
        <v>123</v>
      </c>
      <c r="AR1138" s="5">
        <v>38</v>
      </c>
      <c r="AS1138" s="5">
        <v>3.2</v>
      </c>
      <c r="AT1138" s="5">
        <v>25</v>
      </c>
      <c r="AU1138" s="5">
        <v>9</v>
      </c>
      <c r="AV1138" s="5">
        <v>48</v>
      </c>
      <c r="AW1138" s="5">
        <v>4.35</v>
      </c>
      <c r="AX1138" s="5">
        <v>40</v>
      </c>
      <c r="AY1138" s="5" t="s">
        <v>125</v>
      </c>
      <c r="AZ1138" s="5">
        <v>4.63</v>
      </c>
      <c r="BA1138" s="5" t="s">
        <v>76</v>
      </c>
      <c r="BB1138" s="12" t="s">
        <v>76</v>
      </c>
      <c r="BC1138" s="5">
        <v>4.26</v>
      </c>
      <c r="BD1138" s="5">
        <v>123</v>
      </c>
      <c r="BE1138" s="5" t="s">
        <v>76</v>
      </c>
      <c r="BF1138" s="5" t="s">
        <v>76</v>
      </c>
      <c r="BG1138" s="15">
        <v>36.2</v>
      </c>
      <c r="BH1138" s="5">
        <v>107</v>
      </c>
      <c r="BI1138" s="5">
        <v>107</v>
      </c>
      <c r="BJ1138" s="5">
        <v>22</v>
      </c>
      <c r="BK1138" s="5">
        <v>147</v>
      </c>
      <c r="BL1138" s="5">
        <v>78</v>
      </c>
      <c r="BM1138" s="5">
        <v>59</v>
      </c>
      <c r="BN1138" s="5">
        <v>156</v>
      </c>
      <c r="BO1138" s="5">
        <f t="shared" si="17"/>
        <v>24.2439184746877</v>
      </c>
      <c r="BP1138" s="5" t="s">
        <v>168</v>
      </c>
      <c r="BQ1138" s="5" t="s">
        <v>76</v>
      </c>
      <c r="BR1138" s="5">
        <v>1060</v>
      </c>
    </row>
    <row r="1139" s="1" customFormat="1" spans="1:70">
      <c r="A1139" s="1">
        <v>3319318</v>
      </c>
      <c r="B1139" s="1" t="s">
        <v>2665</v>
      </c>
      <c r="D1139" s="4">
        <v>45016</v>
      </c>
      <c r="E1139" s="4">
        <v>45030</v>
      </c>
      <c r="F1139" s="7">
        <v>24723</v>
      </c>
      <c r="G1139" s="1">
        <v>41</v>
      </c>
      <c r="H1139" s="1">
        <v>13</v>
      </c>
      <c r="I1139" s="1">
        <v>57</v>
      </c>
      <c r="J1139" s="1">
        <v>11</v>
      </c>
      <c r="K1139" s="1">
        <v>42</v>
      </c>
      <c r="L1139" s="1">
        <v>21</v>
      </c>
      <c r="M1139" s="1">
        <v>1.32</v>
      </c>
      <c r="N1139" s="10">
        <v>28</v>
      </c>
      <c r="O1139" s="7">
        <v>24723</v>
      </c>
      <c r="P1139" s="4">
        <v>45016</v>
      </c>
      <c r="Q1139" s="4">
        <v>45030</v>
      </c>
      <c r="R1139" s="1" t="s">
        <v>73</v>
      </c>
      <c r="AO1139" s="7">
        <v>24723</v>
      </c>
      <c r="AP1139" s="5">
        <v>6.3</v>
      </c>
      <c r="AQ1139" s="5">
        <v>79</v>
      </c>
      <c r="AR1139" s="5">
        <v>24.1</v>
      </c>
      <c r="AS1139" s="5">
        <v>8.6</v>
      </c>
      <c r="AT1139" s="5">
        <v>15</v>
      </c>
      <c r="AU1139" s="5">
        <v>18</v>
      </c>
      <c r="AV1139" s="5">
        <v>34.7</v>
      </c>
      <c r="AW1139" s="5">
        <v>10.56</v>
      </c>
      <c r="AX1139" s="5">
        <v>239</v>
      </c>
      <c r="AY1139" s="5">
        <v>19.42</v>
      </c>
      <c r="AZ1139" s="5">
        <v>8.91</v>
      </c>
      <c r="BA1139" s="5">
        <v>6.26</v>
      </c>
      <c r="BB1139" s="12" t="s">
        <v>76</v>
      </c>
      <c r="BC1139" s="5">
        <v>3.72</v>
      </c>
      <c r="BD1139" s="5">
        <v>79</v>
      </c>
      <c r="BE1139" s="5">
        <v>1.69</v>
      </c>
      <c r="BF1139" s="5">
        <v>3.96</v>
      </c>
      <c r="BG1139" s="15">
        <v>36.9</v>
      </c>
      <c r="BH1139" s="5">
        <v>73</v>
      </c>
      <c r="BI1139" s="5" t="s">
        <v>76</v>
      </c>
      <c r="BJ1139" s="5">
        <v>20</v>
      </c>
      <c r="BK1139" s="5">
        <v>135</v>
      </c>
      <c r="BL1139" s="5">
        <v>65</v>
      </c>
      <c r="BM1139" s="5">
        <v>49.1</v>
      </c>
      <c r="BN1139" s="5">
        <v>160</v>
      </c>
      <c r="BO1139" s="5">
        <f t="shared" si="17"/>
        <v>19.1796875</v>
      </c>
      <c r="BP1139" s="5" t="s">
        <v>415</v>
      </c>
      <c r="BQ1139" s="5">
        <v>12.8</v>
      </c>
      <c r="BR1139" s="5" t="s">
        <v>118</v>
      </c>
    </row>
    <row r="1140" s="1" customFormat="1" spans="1:70">
      <c r="A1140" s="1">
        <v>3236389</v>
      </c>
      <c r="B1140" s="1" t="s">
        <v>2666</v>
      </c>
      <c r="D1140" s="4">
        <v>44876</v>
      </c>
      <c r="E1140" s="4">
        <v>44880</v>
      </c>
      <c r="F1140" s="7">
        <v>24747</v>
      </c>
      <c r="G1140" s="1">
        <v>30</v>
      </c>
      <c r="H1140" s="1">
        <v>8</v>
      </c>
      <c r="I1140" s="1">
        <v>48</v>
      </c>
      <c r="J1140" s="1">
        <v>8</v>
      </c>
      <c r="K1140" s="1">
        <v>55</v>
      </c>
      <c r="L1140" s="1">
        <v>29</v>
      </c>
      <c r="M1140" s="1">
        <v>0.81</v>
      </c>
      <c r="N1140" s="1">
        <v>7.4</v>
      </c>
      <c r="O1140" s="7">
        <v>24747</v>
      </c>
      <c r="P1140" s="4">
        <v>44876</v>
      </c>
      <c r="Q1140" s="4">
        <v>44880</v>
      </c>
      <c r="R1140" s="1" t="s">
        <v>80</v>
      </c>
      <c r="AO1140" s="7">
        <v>24747</v>
      </c>
      <c r="AP1140" s="5">
        <v>13.5</v>
      </c>
      <c r="AQ1140" s="5">
        <v>146</v>
      </c>
      <c r="AR1140" s="5">
        <v>46.4</v>
      </c>
      <c r="AS1140" s="5">
        <v>9.3</v>
      </c>
      <c r="AT1140" s="5">
        <v>69</v>
      </c>
      <c r="AU1140" s="5">
        <v>63</v>
      </c>
      <c r="AV1140" s="5">
        <v>45.1</v>
      </c>
      <c r="AW1140" s="5">
        <v>7.94</v>
      </c>
      <c r="AX1140" s="5">
        <v>62</v>
      </c>
      <c r="AY1140" s="5" t="s">
        <v>125</v>
      </c>
      <c r="AZ1140" s="5" t="s">
        <v>75</v>
      </c>
      <c r="BA1140" s="5">
        <v>6.69</v>
      </c>
      <c r="BB1140" s="12" t="s">
        <v>76</v>
      </c>
      <c r="BC1140" s="5">
        <v>4.54</v>
      </c>
      <c r="BD1140" s="5">
        <v>146</v>
      </c>
      <c r="BE1140" s="5">
        <v>0.75</v>
      </c>
      <c r="BF1140" s="5">
        <v>4.56</v>
      </c>
      <c r="BG1140" s="15">
        <v>36.6</v>
      </c>
      <c r="BH1140" s="5">
        <v>68</v>
      </c>
      <c r="BI1140" s="5">
        <v>68</v>
      </c>
      <c r="BJ1140" s="5">
        <v>20</v>
      </c>
      <c r="BK1140" s="5">
        <v>107</v>
      </c>
      <c r="BL1140" s="5">
        <v>51</v>
      </c>
      <c r="BM1140" s="5">
        <v>68</v>
      </c>
      <c r="BN1140" s="5">
        <v>172</v>
      </c>
      <c r="BO1140" s="5">
        <f t="shared" si="17"/>
        <v>22.9853975121687</v>
      </c>
      <c r="BP1140" s="5" t="s">
        <v>323</v>
      </c>
      <c r="BQ1140" s="5">
        <v>5.8</v>
      </c>
      <c r="BR1140" s="5">
        <v>979</v>
      </c>
    </row>
    <row r="1141" s="1" customFormat="1" spans="1:70">
      <c r="A1141" s="1">
        <v>3516668</v>
      </c>
      <c r="B1141" s="1" t="s">
        <v>2667</v>
      </c>
      <c r="D1141" s="4">
        <v>45289</v>
      </c>
      <c r="E1141" s="4">
        <v>45297</v>
      </c>
      <c r="F1141" s="7">
        <v>24753</v>
      </c>
      <c r="G1141" s="1">
        <v>42</v>
      </c>
      <c r="H1141" s="1">
        <v>11</v>
      </c>
      <c r="I1141" s="1">
        <v>40</v>
      </c>
      <c r="J1141" s="1">
        <v>11</v>
      </c>
      <c r="K1141" s="1">
        <v>56</v>
      </c>
      <c r="L1141" s="1">
        <v>29</v>
      </c>
      <c r="M1141" s="1">
        <v>3.3</v>
      </c>
      <c r="O1141" s="7">
        <v>24753</v>
      </c>
      <c r="P1141" s="4">
        <v>45289</v>
      </c>
      <c r="Q1141" s="4">
        <v>45297</v>
      </c>
      <c r="R1141" s="1" t="s">
        <v>80</v>
      </c>
      <c r="AO1141" s="7">
        <v>24753</v>
      </c>
      <c r="AP1141" s="5">
        <v>8.8</v>
      </c>
      <c r="AQ1141" s="5">
        <v>163</v>
      </c>
      <c r="AR1141" s="5">
        <v>57</v>
      </c>
      <c r="AS1141" s="5">
        <v>83.8</v>
      </c>
      <c r="AT1141" s="5">
        <v>87</v>
      </c>
      <c r="AU1141" s="5">
        <v>43</v>
      </c>
      <c r="AV1141" s="5">
        <v>28.4</v>
      </c>
      <c r="AW1141" s="5">
        <v>8.98</v>
      </c>
      <c r="AX1141" s="5">
        <v>95</v>
      </c>
      <c r="AY1141" s="5">
        <v>75.61</v>
      </c>
      <c r="AZ1141" s="5" t="s">
        <v>75</v>
      </c>
      <c r="BA1141" s="5" t="s">
        <v>76</v>
      </c>
      <c r="BB1141" s="12" t="s">
        <v>76</v>
      </c>
      <c r="BC1141" s="5">
        <v>4.26</v>
      </c>
      <c r="BD1141" s="5">
        <v>163</v>
      </c>
      <c r="BE1141" s="5" t="s">
        <v>76</v>
      </c>
      <c r="BF1141" s="5" t="s">
        <v>76</v>
      </c>
      <c r="BG1141" s="15">
        <v>38.2</v>
      </c>
      <c r="BH1141" s="5" t="s">
        <v>76</v>
      </c>
      <c r="BI1141" s="5">
        <v>124</v>
      </c>
      <c r="BJ1141" s="5">
        <v>15</v>
      </c>
      <c r="BK1141" s="5">
        <v>133</v>
      </c>
      <c r="BL1141" s="5">
        <v>94</v>
      </c>
      <c r="BM1141" s="5" t="s">
        <v>77</v>
      </c>
      <c r="BN1141" s="5" t="s">
        <v>77</v>
      </c>
      <c r="BO1141" s="5" t="e">
        <f t="shared" si="17"/>
        <v>#VALUE!</v>
      </c>
      <c r="BP1141" s="5" t="s">
        <v>117</v>
      </c>
      <c r="BQ1141" s="5">
        <v>6</v>
      </c>
      <c r="BR1141" s="5" t="s">
        <v>118</v>
      </c>
    </row>
    <row r="1142" s="1" customFormat="1" spans="1:70">
      <c r="A1142" s="1" t="s">
        <v>2668</v>
      </c>
      <c r="B1142" s="1" t="s">
        <v>2669</v>
      </c>
      <c r="D1142" s="4">
        <v>44928</v>
      </c>
      <c r="E1142" s="4">
        <v>44943</v>
      </c>
      <c r="F1142" s="7">
        <v>24769</v>
      </c>
      <c r="G1142" s="1">
        <v>35</v>
      </c>
      <c r="H1142" s="1">
        <v>8</v>
      </c>
      <c r="I1142" s="1">
        <v>54</v>
      </c>
      <c r="J1142" s="1">
        <v>8</v>
      </c>
      <c r="K1142" s="1">
        <v>40</v>
      </c>
      <c r="L1142" s="1">
        <v>20</v>
      </c>
      <c r="M1142" s="1">
        <v>2.81</v>
      </c>
      <c r="N1142" s="1">
        <v>10.6</v>
      </c>
      <c r="O1142" s="7">
        <v>24769</v>
      </c>
      <c r="P1142" s="4">
        <v>44928</v>
      </c>
      <c r="Q1142" s="4">
        <v>44943</v>
      </c>
      <c r="R1142" s="1" t="s">
        <v>73</v>
      </c>
      <c r="AO1142" s="7">
        <v>24769</v>
      </c>
      <c r="AP1142" s="5" t="s">
        <v>522</v>
      </c>
      <c r="AQ1142" s="5" t="s">
        <v>201</v>
      </c>
      <c r="AR1142" s="5" t="s">
        <v>2670</v>
      </c>
      <c r="AS1142" s="5" t="s">
        <v>2671</v>
      </c>
      <c r="AT1142" s="5" t="s">
        <v>892</v>
      </c>
      <c r="AU1142" s="5" t="s">
        <v>287</v>
      </c>
      <c r="AV1142" s="5" t="s">
        <v>288</v>
      </c>
      <c r="AW1142" s="5" t="s">
        <v>2672</v>
      </c>
      <c r="AX1142" s="5" t="s">
        <v>425</v>
      </c>
      <c r="AY1142" s="5" t="s">
        <v>76</v>
      </c>
      <c r="AZ1142" s="5" t="s">
        <v>2673</v>
      </c>
      <c r="BA1142" s="5" t="s">
        <v>1292</v>
      </c>
      <c r="BB1142" s="12" t="s">
        <v>76</v>
      </c>
      <c r="BC1142" s="5" t="s">
        <v>2674</v>
      </c>
      <c r="BD1142" s="5" t="s">
        <v>201</v>
      </c>
      <c r="BE1142" s="5" t="s">
        <v>2675</v>
      </c>
      <c r="BF1142" s="5" t="s">
        <v>647</v>
      </c>
      <c r="BG1142" s="15">
        <v>36.5</v>
      </c>
      <c r="BH1142" s="5" t="s">
        <v>76</v>
      </c>
      <c r="BI1142" s="5" t="s">
        <v>228</v>
      </c>
      <c r="BJ1142" s="5" t="s">
        <v>246</v>
      </c>
      <c r="BK1142" s="5" t="s">
        <v>675</v>
      </c>
      <c r="BL1142" s="5" t="s">
        <v>215</v>
      </c>
      <c r="BM1142" s="5" t="s">
        <v>422</v>
      </c>
      <c r="BN1142" s="5">
        <v>150</v>
      </c>
      <c r="BO1142" s="5">
        <f t="shared" si="17"/>
        <v>20</v>
      </c>
      <c r="BP1142" s="5" t="s">
        <v>1022</v>
      </c>
      <c r="BQ1142" s="5" t="s">
        <v>771</v>
      </c>
      <c r="BR1142" s="5">
        <v>8883</v>
      </c>
    </row>
    <row r="1143" s="1" customFormat="1" spans="1:70">
      <c r="A1143" s="1">
        <v>3304034</v>
      </c>
      <c r="B1143" s="1" t="s">
        <v>2676</v>
      </c>
      <c r="D1143" s="4">
        <v>44995</v>
      </c>
      <c r="E1143" s="4">
        <v>45005</v>
      </c>
      <c r="F1143" s="7">
        <v>24786</v>
      </c>
      <c r="G1143" s="1">
        <v>41</v>
      </c>
      <c r="H1143" s="1">
        <v>13</v>
      </c>
      <c r="I1143" s="1">
        <v>53</v>
      </c>
      <c r="J1143" s="1">
        <v>9</v>
      </c>
      <c r="K1143" s="1">
        <v>37</v>
      </c>
      <c r="M1143" s="1">
        <v>0.84</v>
      </c>
      <c r="N1143" s="1">
        <v>11.1</v>
      </c>
      <c r="O1143" s="7">
        <v>24786</v>
      </c>
      <c r="P1143" s="4">
        <v>44995</v>
      </c>
      <c r="Q1143" s="4">
        <v>45005</v>
      </c>
      <c r="R1143" s="1" t="s">
        <v>80</v>
      </c>
      <c r="AO1143" s="7">
        <v>24786</v>
      </c>
      <c r="AP1143" s="5">
        <v>6.4</v>
      </c>
      <c r="AQ1143" s="5">
        <v>157</v>
      </c>
      <c r="AR1143" s="5">
        <v>48.8</v>
      </c>
      <c r="AS1143" s="5">
        <v>0.5</v>
      </c>
      <c r="AT1143" s="5">
        <v>22</v>
      </c>
      <c r="AU1143" s="5">
        <v>23</v>
      </c>
      <c r="AV1143" s="5">
        <v>37.9</v>
      </c>
      <c r="AW1143" s="5">
        <v>5.45</v>
      </c>
      <c r="AX1143" s="5">
        <v>75</v>
      </c>
      <c r="AY1143" s="5">
        <v>99.69</v>
      </c>
      <c r="AZ1143" s="5">
        <v>4.7</v>
      </c>
      <c r="BA1143" s="5">
        <v>3.44</v>
      </c>
      <c r="BB1143" s="12" t="s">
        <v>76</v>
      </c>
      <c r="BC1143" s="5">
        <v>4.1</v>
      </c>
      <c r="BD1143" s="5">
        <v>157</v>
      </c>
      <c r="BE1143" s="5">
        <v>1.01</v>
      </c>
      <c r="BF1143" s="5">
        <v>1.58</v>
      </c>
      <c r="BG1143" s="15">
        <v>36.5</v>
      </c>
      <c r="BH1143" s="5">
        <v>85</v>
      </c>
      <c r="BI1143" s="5">
        <v>85</v>
      </c>
      <c r="BJ1143" s="5">
        <v>18</v>
      </c>
      <c r="BK1143" s="5">
        <v>177</v>
      </c>
      <c r="BL1143" s="5">
        <v>97</v>
      </c>
      <c r="BM1143" s="5">
        <v>75</v>
      </c>
      <c r="BN1143" s="5">
        <v>170</v>
      </c>
      <c r="BO1143" s="5">
        <f t="shared" si="17"/>
        <v>25.9515570934256</v>
      </c>
      <c r="BP1143" s="5" t="s">
        <v>963</v>
      </c>
      <c r="BQ1143" s="5" t="s">
        <v>76</v>
      </c>
      <c r="BR1143" s="5">
        <v>1180</v>
      </c>
    </row>
    <row r="1144" s="1" customFormat="1" spans="1:70">
      <c r="A1144" s="1" t="s">
        <v>2677</v>
      </c>
      <c r="B1144" s="1" t="s">
        <v>2678</v>
      </c>
      <c r="D1144" s="4">
        <v>44968</v>
      </c>
      <c r="E1144" s="4">
        <v>45028</v>
      </c>
      <c r="F1144" s="7">
        <v>24825</v>
      </c>
      <c r="G1144" s="1">
        <v>30</v>
      </c>
      <c r="H1144" s="1">
        <v>8</v>
      </c>
      <c r="I1144" s="1">
        <v>52</v>
      </c>
      <c r="J1144" s="1">
        <v>8</v>
      </c>
      <c r="K1144" s="1">
        <v>24</v>
      </c>
      <c r="L1144" s="1">
        <v>11</v>
      </c>
      <c r="M1144" s="1">
        <v>2.59</v>
      </c>
      <c r="O1144" s="7">
        <v>24825</v>
      </c>
      <c r="P1144" s="4">
        <v>44968</v>
      </c>
      <c r="Q1144" s="4">
        <v>45028</v>
      </c>
      <c r="R1144" s="1" t="s">
        <v>80</v>
      </c>
      <c r="AO1144" s="7">
        <v>24825</v>
      </c>
      <c r="AP1144" s="5" t="s">
        <v>306</v>
      </c>
      <c r="AQ1144" s="5" t="s">
        <v>89</v>
      </c>
      <c r="AR1144" s="5" t="s">
        <v>2679</v>
      </c>
      <c r="AS1144" s="5" t="s">
        <v>2680</v>
      </c>
      <c r="AT1144" s="5" t="s">
        <v>93</v>
      </c>
      <c r="AU1144" s="5" t="s">
        <v>93</v>
      </c>
      <c r="AV1144" s="5" t="s">
        <v>1204</v>
      </c>
      <c r="AW1144" s="5" t="s">
        <v>834</v>
      </c>
      <c r="AX1144" s="5" t="s">
        <v>103</v>
      </c>
      <c r="AY1144" s="5" t="s">
        <v>125</v>
      </c>
      <c r="AZ1144" s="5" t="s">
        <v>2398</v>
      </c>
      <c r="BA1144" s="5" t="s">
        <v>76</v>
      </c>
      <c r="BB1144" s="12" t="s">
        <v>76</v>
      </c>
      <c r="BC1144" s="5" t="s">
        <v>2681</v>
      </c>
      <c r="BD1144" s="5" t="s">
        <v>89</v>
      </c>
      <c r="BE1144" s="5" t="s">
        <v>76</v>
      </c>
      <c r="BF1144" s="5" t="s">
        <v>76</v>
      </c>
      <c r="BG1144" s="15">
        <v>36.9</v>
      </c>
      <c r="BH1144" s="5" t="s">
        <v>201</v>
      </c>
      <c r="BI1144" s="5" t="s">
        <v>473</v>
      </c>
      <c r="BJ1144" s="5" t="s">
        <v>319</v>
      </c>
      <c r="BK1144" s="5" t="s">
        <v>1267</v>
      </c>
      <c r="BL1144" s="5" t="s">
        <v>482</v>
      </c>
      <c r="BM1144" s="5" t="s">
        <v>77</v>
      </c>
      <c r="BN1144" s="5" t="s">
        <v>77</v>
      </c>
      <c r="BO1144" s="5" t="e">
        <f t="shared" si="17"/>
        <v>#VALUE!</v>
      </c>
      <c r="BP1144" s="5" t="s">
        <v>799</v>
      </c>
      <c r="BQ1144" s="5" t="s">
        <v>76</v>
      </c>
      <c r="BR1144" s="5">
        <v>9662</v>
      </c>
    </row>
    <row r="1145" s="1" customFormat="1" spans="1:70">
      <c r="A1145" s="1">
        <v>3297637</v>
      </c>
      <c r="B1145" s="1" t="s">
        <v>2682</v>
      </c>
      <c r="D1145" s="4">
        <v>44987</v>
      </c>
      <c r="E1145" s="4">
        <v>44994</v>
      </c>
      <c r="F1145" s="7">
        <v>24830</v>
      </c>
      <c r="G1145" s="1">
        <v>51</v>
      </c>
      <c r="H1145" s="1">
        <v>10</v>
      </c>
      <c r="I1145" s="1">
        <v>55</v>
      </c>
      <c r="J1145" s="1">
        <v>10</v>
      </c>
      <c r="K1145" s="1">
        <v>40</v>
      </c>
      <c r="L1145" s="1">
        <v>20</v>
      </c>
      <c r="N1145" s="1">
        <v>12.4</v>
      </c>
      <c r="O1145" s="7">
        <v>24830</v>
      </c>
      <c r="P1145" s="4">
        <v>44987</v>
      </c>
      <c r="Q1145" s="4">
        <v>44994</v>
      </c>
      <c r="R1145" s="1" t="s">
        <v>80</v>
      </c>
      <c r="AO1145" s="7">
        <v>24830</v>
      </c>
      <c r="AP1145" s="5">
        <v>7.5</v>
      </c>
      <c r="AQ1145" s="5">
        <v>127</v>
      </c>
      <c r="AR1145" s="5">
        <v>38.9</v>
      </c>
      <c r="AS1145" s="5">
        <v>8.9</v>
      </c>
      <c r="AT1145" s="5">
        <v>17</v>
      </c>
      <c r="AU1145" s="5">
        <v>12</v>
      </c>
      <c r="AV1145" s="5">
        <v>30.4</v>
      </c>
      <c r="AW1145" s="5">
        <v>27.15</v>
      </c>
      <c r="AX1145" s="5">
        <v>374</v>
      </c>
      <c r="AY1145" s="5">
        <v>16.74</v>
      </c>
      <c r="AZ1145" s="5">
        <v>5.78</v>
      </c>
      <c r="BA1145" s="5">
        <v>6.24</v>
      </c>
      <c r="BB1145" s="12" t="s">
        <v>76</v>
      </c>
      <c r="BC1145" s="5">
        <v>5.23</v>
      </c>
      <c r="BD1145" s="5">
        <v>127</v>
      </c>
      <c r="BE1145" s="5">
        <v>1.22</v>
      </c>
      <c r="BF1145" s="5">
        <v>4.28</v>
      </c>
      <c r="BG1145" s="15">
        <v>36</v>
      </c>
      <c r="BH1145" s="5">
        <v>82</v>
      </c>
      <c r="BI1145" s="5">
        <v>90</v>
      </c>
      <c r="BJ1145" s="5">
        <v>16</v>
      </c>
      <c r="BK1145" s="5">
        <v>116</v>
      </c>
      <c r="BL1145" s="5">
        <v>85</v>
      </c>
      <c r="BM1145" s="5">
        <v>89</v>
      </c>
      <c r="BN1145" s="5">
        <v>180</v>
      </c>
      <c r="BO1145" s="5">
        <f t="shared" si="17"/>
        <v>27.4691358024691</v>
      </c>
      <c r="BP1145" s="5" t="s">
        <v>415</v>
      </c>
      <c r="BQ1145" s="5">
        <v>6.8</v>
      </c>
      <c r="BR1145" s="5" t="s">
        <v>118</v>
      </c>
    </row>
    <row r="1146" s="1" customFormat="1" spans="1:70">
      <c r="A1146" s="1">
        <v>3515997</v>
      </c>
      <c r="B1146" s="1" t="s">
        <v>2683</v>
      </c>
      <c r="D1146" s="4">
        <v>45288</v>
      </c>
      <c r="E1146" s="4">
        <v>45295</v>
      </c>
      <c r="F1146" s="7">
        <v>24885</v>
      </c>
      <c r="G1146" s="1">
        <v>56</v>
      </c>
      <c r="H1146" s="1">
        <v>12</v>
      </c>
      <c r="I1146" s="1">
        <v>65</v>
      </c>
      <c r="J1146" s="1">
        <v>11</v>
      </c>
      <c r="K1146" s="1">
        <v>35</v>
      </c>
      <c r="L1146" s="1">
        <v>17</v>
      </c>
      <c r="N1146" s="1">
        <v>8.3</v>
      </c>
      <c r="O1146" s="7">
        <v>24885</v>
      </c>
      <c r="P1146" s="4">
        <v>45288</v>
      </c>
      <c r="Q1146" s="4">
        <v>45295</v>
      </c>
      <c r="R1146" s="1" t="s">
        <v>80</v>
      </c>
      <c r="AO1146" s="7">
        <v>24885</v>
      </c>
      <c r="AP1146" s="5">
        <v>9.4</v>
      </c>
      <c r="AQ1146" s="5">
        <v>159</v>
      </c>
      <c r="AR1146" s="5">
        <v>48.8</v>
      </c>
      <c r="AS1146" s="5">
        <v>60.4</v>
      </c>
      <c r="AT1146" s="5">
        <v>60</v>
      </c>
      <c r="AU1146" s="5">
        <v>227</v>
      </c>
      <c r="AV1146" s="5">
        <v>31.2</v>
      </c>
      <c r="AW1146" s="5">
        <v>9.92</v>
      </c>
      <c r="AX1146" s="5">
        <v>90</v>
      </c>
      <c r="AY1146" s="5">
        <v>84</v>
      </c>
      <c r="AZ1146" s="5">
        <v>4.88</v>
      </c>
      <c r="BA1146" s="5" t="s">
        <v>76</v>
      </c>
      <c r="BB1146" s="12" t="s">
        <v>76</v>
      </c>
      <c r="BC1146" s="5">
        <v>3.75</v>
      </c>
      <c r="BD1146" s="5">
        <v>159</v>
      </c>
      <c r="BE1146" s="5" t="s">
        <v>76</v>
      </c>
      <c r="BF1146" s="5" t="s">
        <v>76</v>
      </c>
      <c r="BG1146" s="15">
        <v>38</v>
      </c>
      <c r="BH1146" s="5">
        <v>67</v>
      </c>
      <c r="BI1146" s="5">
        <v>67</v>
      </c>
      <c r="BJ1146" s="5">
        <v>20</v>
      </c>
      <c r="BK1146" s="5">
        <v>109</v>
      </c>
      <c r="BL1146" s="5">
        <v>74</v>
      </c>
      <c r="BM1146" s="5">
        <v>80</v>
      </c>
      <c r="BN1146" s="5">
        <v>172</v>
      </c>
      <c r="BO1146" s="5">
        <f t="shared" si="17"/>
        <v>27.0416441319632</v>
      </c>
      <c r="BP1146" s="5" t="s">
        <v>168</v>
      </c>
      <c r="BQ1146" s="5" t="s">
        <v>76</v>
      </c>
      <c r="BR1146" s="5">
        <v>8293</v>
      </c>
    </row>
    <row r="1147" s="1" customFormat="1" spans="1:70">
      <c r="A1147" s="1">
        <v>3251353</v>
      </c>
      <c r="B1147" s="1" t="s">
        <v>2684</v>
      </c>
      <c r="D1147" s="4">
        <v>44903</v>
      </c>
      <c r="E1147" s="4">
        <v>44909</v>
      </c>
      <c r="F1147" s="7">
        <v>24899</v>
      </c>
      <c r="G1147" s="1">
        <v>37</v>
      </c>
      <c r="H1147" s="1">
        <v>10</v>
      </c>
      <c r="I1147" s="1">
        <v>52</v>
      </c>
      <c r="J1147" s="1">
        <v>9</v>
      </c>
      <c r="K1147" s="1">
        <v>62</v>
      </c>
      <c r="L1147" s="1">
        <v>33</v>
      </c>
      <c r="M1147" s="1">
        <v>1.52</v>
      </c>
      <c r="N1147" s="1">
        <v>8.8</v>
      </c>
      <c r="O1147" s="7">
        <v>24899</v>
      </c>
      <c r="P1147" s="4">
        <v>44903</v>
      </c>
      <c r="Q1147" s="4">
        <v>44909</v>
      </c>
      <c r="R1147" s="1" t="s">
        <v>80</v>
      </c>
      <c r="S1147" s="1">
        <v>54</v>
      </c>
      <c r="T1147" s="1">
        <v>13526329238</v>
      </c>
      <c r="AA1147" s="1">
        <v>1</v>
      </c>
      <c r="AM1147" s="1">
        <v>1</v>
      </c>
      <c r="AN1147" s="1">
        <v>1</v>
      </c>
      <c r="AO1147" s="7">
        <v>24899</v>
      </c>
      <c r="AP1147" s="5">
        <v>8.6</v>
      </c>
      <c r="AQ1147" s="5">
        <v>147</v>
      </c>
      <c r="AR1147" s="5">
        <v>44.4</v>
      </c>
      <c r="AS1147" s="5">
        <v>84</v>
      </c>
      <c r="AT1147" s="5">
        <v>54</v>
      </c>
      <c r="AU1147" s="5">
        <v>88</v>
      </c>
      <c r="AV1147" s="5">
        <v>25.1</v>
      </c>
      <c r="AW1147" s="5">
        <v>15.7</v>
      </c>
      <c r="AX1147" s="5">
        <v>185</v>
      </c>
      <c r="AY1147" s="5">
        <v>46.76</v>
      </c>
      <c r="AZ1147" s="5" t="s">
        <v>75</v>
      </c>
      <c r="BA1147" s="5">
        <v>4.92</v>
      </c>
      <c r="BB1147" s="12" t="s">
        <v>76</v>
      </c>
      <c r="BC1147" s="5">
        <v>4.78</v>
      </c>
      <c r="BD1147" s="5">
        <v>147</v>
      </c>
      <c r="BE1147" s="5">
        <v>1.72</v>
      </c>
      <c r="BF1147" s="5">
        <v>2.18</v>
      </c>
      <c r="BG1147" s="15">
        <v>36.5</v>
      </c>
      <c r="BH1147" s="5">
        <v>84</v>
      </c>
      <c r="BI1147" s="5" t="s">
        <v>76</v>
      </c>
      <c r="BJ1147" s="5">
        <v>16</v>
      </c>
      <c r="BK1147" s="5">
        <v>135</v>
      </c>
      <c r="BL1147" s="5">
        <v>82</v>
      </c>
      <c r="BM1147" s="5">
        <v>75</v>
      </c>
      <c r="BN1147" s="5">
        <v>167</v>
      </c>
      <c r="BO1147" s="5">
        <f t="shared" si="17"/>
        <v>26.8923231381548</v>
      </c>
      <c r="BP1147" s="5" t="s">
        <v>300</v>
      </c>
      <c r="BQ1147" s="5">
        <v>5.7</v>
      </c>
      <c r="BR1147" s="5">
        <v>2210</v>
      </c>
    </row>
    <row r="1148" s="1" customFormat="1" spans="1:70">
      <c r="A1148" s="1">
        <v>3507486</v>
      </c>
      <c r="B1148" s="1" t="s">
        <v>2685</v>
      </c>
      <c r="D1148" s="4">
        <v>45277</v>
      </c>
      <c r="E1148" s="4">
        <v>45285</v>
      </c>
      <c r="F1148" s="7">
        <v>24905</v>
      </c>
      <c r="G1148" s="1">
        <v>34</v>
      </c>
      <c r="H1148" s="1">
        <v>10</v>
      </c>
      <c r="I1148" s="1">
        <v>45</v>
      </c>
      <c r="J1148" s="1">
        <v>10</v>
      </c>
      <c r="K1148" s="1">
        <v>68</v>
      </c>
      <c r="L1148" s="1">
        <v>38</v>
      </c>
      <c r="M1148" s="1">
        <v>0.91</v>
      </c>
      <c r="O1148" s="7">
        <v>24905</v>
      </c>
      <c r="P1148" s="4">
        <v>45277</v>
      </c>
      <c r="Q1148" s="4">
        <v>45285</v>
      </c>
      <c r="R1148" s="1" t="s">
        <v>73</v>
      </c>
      <c r="AO1148" s="7">
        <v>24905</v>
      </c>
      <c r="AP1148" s="5">
        <v>851</v>
      </c>
      <c r="AQ1148" s="5">
        <v>98</v>
      </c>
      <c r="AR1148" s="5">
        <v>35.9</v>
      </c>
      <c r="AS1148" s="5" t="s">
        <v>76</v>
      </c>
      <c r="AT1148" s="5">
        <v>9</v>
      </c>
      <c r="AU1148" s="5">
        <v>9</v>
      </c>
      <c r="AV1148" s="5">
        <v>33.1</v>
      </c>
      <c r="AW1148" s="5">
        <v>9.27</v>
      </c>
      <c r="AX1148" s="5">
        <v>43</v>
      </c>
      <c r="AY1148" s="5" t="s">
        <v>125</v>
      </c>
      <c r="AZ1148" s="5">
        <v>8.8</v>
      </c>
      <c r="BA1148" s="5">
        <v>2.1</v>
      </c>
      <c r="BB1148" s="12" t="s">
        <v>76</v>
      </c>
      <c r="BC1148" s="5">
        <v>4.47</v>
      </c>
      <c r="BD1148" s="5">
        <v>98</v>
      </c>
      <c r="BE1148" s="5" t="s">
        <v>76</v>
      </c>
      <c r="BF1148" s="5" t="s">
        <v>76</v>
      </c>
      <c r="BG1148" s="5" t="s">
        <v>76</v>
      </c>
      <c r="BH1148" s="5" t="s">
        <v>76</v>
      </c>
      <c r="BI1148" s="5" t="s">
        <v>76</v>
      </c>
      <c r="BJ1148" s="5" t="s">
        <v>76</v>
      </c>
      <c r="BK1148" s="5" t="s">
        <v>76</v>
      </c>
      <c r="BL1148" s="5" t="s">
        <v>76</v>
      </c>
      <c r="BM1148" s="5" t="s">
        <v>76</v>
      </c>
      <c r="BN1148" s="5" t="s">
        <v>76</v>
      </c>
      <c r="BO1148" s="5" t="e">
        <f t="shared" si="17"/>
        <v>#VALUE!</v>
      </c>
      <c r="BP1148" s="5" t="s">
        <v>85</v>
      </c>
      <c r="BQ1148" s="5">
        <v>9.5</v>
      </c>
      <c r="BR1148" s="5">
        <v>2979</v>
      </c>
    </row>
    <row r="1149" s="1" customFormat="1" spans="1:70">
      <c r="A1149" s="1">
        <v>3316678</v>
      </c>
      <c r="B1149" s="1" t="s">
        <v>2686</v>
      </c>
      <c r="D1149" s="4">
        <v>45013</v>
      </c>
      <c r="E1149" s="4">
        <v>45019</v>
      </c>
      <c r="F1149" s="7">
        <v>24915</v>
      </c>
      <c r="G1149" s="1">
        <v>38</v>
      </c>
      <c r="H1149" s="1">
        <v>10</v>
      </c>
      <c r="I1149" s="1">
        <v>52</v>
      </c>
      <c r="J1149" s="1">
        <v>10</v>
      </c>
      <c r="K1149" s="1">
        <v>64</v>
      </c>
      <c r="L1149" s="1">
        <v>35</v>
      </c>
      <c r="M1149" s="1">
        <v>0.58</v>
      </c>
      <c r="N1149" s="1">
        <v>4.3</v>
      </c>
      <c r="O1149" s="7">
        <v>24915</v>
      </c>
      <c r="P1149" s="4">
        <v>45013</v>
      </c>
      <c r="Q1149" s="4">
        <v>45019</v>
      </c>
      <c r="R1149" s="1" t="s">
        <v>80</v>
      </c>
      <c r="AO1149" s="7">
        <v>24915</v>
      </c>
      <c r="AP1149" s="5">
        <v>4.3</v>
      </c>
      <c r="AQ1149" s="5">
        <v>105</v>
      </c>
      <c r="AR1149" s="5">
        <v>33.4</v>
      </c>
      <c r="AS1149" s="5">
        <v>8.9</v>
      </c>
      <c r="AT1149" s="5">
        <v>18</v>
      </c>
      <c r="AU1149" s="5">
        <v>17</v>
      </c>
      <c r="AV1149" s="5">
        <v>37.1</v>
      </c>
      <c r="AW1149" s="5">
        <v>20.1</v>
      </c>
      <c r="AX1149" s="5">
        <v>369</v>
      </c>
      <c r="AY1149" s="5">
        <v>17.72</v>
      </c>
      <c r="AZ1149" s="5" t="s">
        <v>75</v>
      </c>
      <c r="BA1149" s="5">
        <v>3.23</v>
      </c>
      <c r="BB1149" s="12" t="s">
        <v>76</v>
      </c>
      <c r="BC1149" s="5">
        <v>4.67</v>
      </c>
      <c r="BD1149" s="5">
        <v>105</v>
      </c>
      <c r="BE1149" s="5" t="s">
        <v>76</v>
      </c>
      <c r="BF1149" s="5" t="s">
        <v>76</v>
      </c>
      <c r="BG1149" s="15">
        <v>36.5</v>
      </c>
      <c r="BH1149" s="5">
        <v>74</v>
      </c>
      <c r="BI1149" s="5">
        <v>74</v>
      </c>
      <c r="BJ1149" s="5">
        <v>19</v>
      </c>
      <c r="BK1149" s="5">
        <v>185</v>
      </c>
      <c r="BL1149" s="5">
        <v>117</v>
      </c>
      <c r="BM1149" s="5">
        <v>80</v>
      </c>
      <c r="BN1149" s="5">
        <v>185</v>
      </c>
      <c r="BO1149" s="5">
        <f t="shared" si="17"/>
        <v>23.3747260774288</v>
      </c>
      <c r="BP1149" s="5" t="s">
        <v>415</v>
      </c>
      <c r="BQ1149" s="5" t="s">
        <v>76</v>
      </c>
      <c r="BR1149" s="5">
        <v>3085</v>
      </c>
    </row>
    <row r="1150" s="1" customFormat="1" spans="1:70">
      <c r="A1150" s="1">
        <v>3277968</v>
      </c>
      <c r="B1150" s="1" t="s">
        <v>2687</v>
      </c>
      <c r="D1150" s="4">
        <v>44960</v>
      </c>
      <c r="E1150" s="4">
        <v>44971</v>
      </c>
      <c r="F1150" s="7">
        <v>24919</v>
      </c>
      <c r="G1150" s="1">
        <v>35</v>
      </c>
      <c r="H1150" s="1">
        <v>10</v>
      </c>
      <c r="I1150" s="1">
        <v>47</v>
      </c>
      <c r="J1150" s="1">
        <v>10</v>
      </c>
      <c r="K1150" s="1">
        <v>55</v>
      </c>
      <c r="L1150" s="1">
        <v>29</v>
      </c>
      <c r="M1150" s="1">
        <v>0.45</v>
      </c>
      <c r="N1150" s="1">
        <v>5.6</v>
      </c>
      <c r="O1150" s="7">
        <v>24919</v>
      </c>
      <c r="P1150" s="4">
        <v>44960</v>
      </c>
      <c r="Q1150" s="4">
        <v>44971</v>
      </c>
      <c r="R1150" s="1" t="s">
        <v>80</v>
      </c>
      <c r="AO1150" s="7">
        <v>24919</v>
      </c>
      <c r="AP1150" s="5">
        <v>3.6</v>
      </c>
      <c r="AQ1150" s="5">
        <v>89</v>
      </c>
      <c r="AR1150" s="5">
        <v>29.2</v>
      </c>
      <c r="AS1150" s="5">
        <v>8</v>
      </c>
      <c r="AT1150" s="5">
        <v>33</v>
      </c>
      <c r="AU1150" s="5">
        <v>8</v>
      </c>
      <c r="AV1150" s="5">
        <v>3.7</v>
      </c>
      <c r="AW1150" s="5">
        <v>14.15</v>
      </c>
      <c r="AX1150" s="5">
        <v>150</v>
      </c>
      <c r="AY1150" s="5">
        <v>51.22</v>
      </c>
      <c r="AZ1150" s="5">
        <v>4.74</v>
      </c>
      <c r="BA1150" s="5">
        <v>5.68</v>
      </c>
      <c r="BB1150" s="12" t="s">
        <v>76</v>
      </c>
      <c r="BC1150" s="5">
        <v>4.72</v>
      </c>
      <c r="BD1150" s="5">
        <v>89</v>
      </c>
      <c r="BE1150" s="5" t="s">
        <v>76</v>
      </c>
      <c r="BF1150" s="5" t="s">
        <v>76</v>
      </c>
      <c r="BG1150" s="15">
        <v>37.5</v>
      </c>
      <c r="BH1150" s="5">
        <v>90</v>
      </c>
      <c r="BI1150" s="5" t="s">
        <v>76</v>
      </c>
      <c r="BJ1150" s="5">
        <v>15</v>
      </c>
      <c r="BK1150" s="5">
        <v>154</v>
      </c>
      <c r="BL1150" s="5">
        <v>113</v>
      </c>
      <c r="BM1150" s="5">
        <v>70</v>
      </c>
      <c r="BN1150" s="5">
        <v>165</v>
      </c>
      <c r="BO1150" s="5">
        <f t="shared" si="17"/>
        <v>25.7116620752984</v>
      </c>
      <c r="BP1150" s="5" t="s">
        <v>415</v>
      </c>
      <c r="BQ1150" s="5">
        <v>5.3</v>
      </c>
      <c r="BR1150" s="5">
        <v>1179</v>
      </c>
    </row>
    <row r="1151" s="1" customFormat="1" spans="1:70">
      <c r="A1151" s="1">
        <v>3323864</v>
      </c>
      <c r="B1151" s="1" t="s">
        <v>2688</v>
      </c>
      <c r="D1151" s="4">
        <v>45023</v>
      </c>
      <c r="E1151" s="4">
        <v>45035</v>
      </c>
      <c r="F1151" s="7">
        <v>24922</v>
      </c>
      <c r="G1151" s="1">
        <v>38</v>
      </c>
      <c r="H1151" s="1">
        <v>13</v>
      </c>
      <c r="I1151" s="1">
        <v>41</v>
      </c>
      <c r="J1151" s="1">
        <v>14</v>
      </c>
      <c r="K1151" s="1">
        <v>61</v>
      </c>
      <c r="L1151" s="1">
        <v>32</v>
      </c>
      <c r="M1151" s="1">
        <v>0.86</v>
      </c>
      <c r="N1151" s="1">
        <v>29.2</v>
      </c>
      <c r="O1151" s="7">
        <v>24922</v>
      </c>
      <c r="P1151" s="4">
        <v>45023</v>
      </c>
      <c r="Q1151" s="4">
        <v>45035</v>
      </c>
      <c r="R1151" s="1" t="s">
        <v>73</v>
      </c>
      <c r="S1151" s="1">
        <v>54</v>
      </c>
      <c r="T1151" s="1" t="s">
        <v>2689</v>
      </c>
      <c r="V1151" s="1" t="s">
        <v>155</v>
      </c>
      <c r="X1151" s="1" t="s">
        <v>155</v>
      </c>
      <c r="AA1151" s="1" t="s">
        <v>155</v>
      </c>
      <c r="AG1151" s="1">
        <v>1</v>
      </c>
      <c r="AH1151" s="1">
        <v>1</v>
      </c>
      <c r="AK1151" s="1">
        <v>1</v>
      </c>
      <c r="AM1151" s="1">
        <v>1</v>
      </c>
      <c r="AN1151" s="1">
        <v>1</v>
      </c>
      <c r="AO1151" s="7">
        <v>24922</v>
      </c>
      <c r="AP1151" s="5">
        <v>9.9</v>
      </c>
      <c r="AQ1151" s="5">
        <v>95</v>
      </c>
      <c r="AR1151" s="5">
        <v>39.4</v>
      </c>
      <c r="AS1151" s="5" t="s">
        <v>81</v>
      </c>
      <c r="AT1151" s="5">
        <v>9</v>
      </c>
      <c r="AU1151" s="5">
        <v>7</v>
      </c>
      <c r="AV1151" s="5">
        <v>32.2</v>
      </c>
      <c r="AW1151" s="5">
        <v>31.35</v>
      </c>
      <c r="AX1151" s="5">
        <v>408</v>
      </c>
      <c r="AY1151" s="5">
        <v>21.03</v>
      </c>
      <c r="AZ1151" s="5">
        <v>9.7</v>
      </c>
      <c r="BA1151" s="5">
        <v>5.01</v>
      </c>
      <c r="BB1151" s="12" t="s">
        <v>76</v>
      </c>
      <c r="BC1151" s="5" t="s">
        <v>4</v>
      </c>
      <c r="BD1151" s="5">
        <v>95</v>
      </c>
      <c r="BE1151" s="5">
        <v>0.87</v>
      </c>
      <c r="BF1151" s="5">
        <v>2.93</v>
      </c>
      <c r="BG1151" s="15">
        <v>36.5</v>
      </c>
      <c r="BH1151" s="5">
        <v>87</v>
      </c>
      <c r="BI1151" s="5">
        <v>87</v>
      </c>
      <c r="BJ1151" s="5">
        <v>14</v>
      </c>
      <c r="BK1151" s="5">
        <v>216</v>
      </c>
      <c r="BL1151" s="5">
        <v>100</v>
      </c>
      <c r="BM1151" s="5" t="s">
        <v>77</v>
      </c>
      <c r="BN1151" s="5" t="s">
        <v>77</v>
      </c>
      <c r="BO1151" s="5" t="e">
        <f t="shared" si="17"/>
        <v>#VALUE!</v>
      </c>
      <c r="BP1151" s="5" t="s">
        <v>415</v>
      </c>
      <c r="BQ1151" s="5" t="s">
        <v>76</v>
      </c>
      <c r="BR1151" s="5">
        <v>9769</v>
      </c>
    </row>
    <row r="1152" s="1" customFormat="1" spans="1:70">
      <c r="A1152" s="1">
        <v>3299778</v>
      </c>
      <c r="B1152" s="1" t="s">
        <v>2690</v>
      </c>
      <c r="D1152" s="4">
        <v>44994</v>
      </c>
      <c r="E1152" s="4">
        <v>45001</v>
      </c>
      <c r="F1152" s="7">
        <v>24958</v>
      </c>
      <c r="G1152" s="1">
        <v>40</v>
      </c>
      <c r="H1152" s="1">
        <v>9</v>
      </c>
      <c r="I1152" s="1">
        <v>56</v>
      </c>
      <c r="J1152" s="1">
        <v>9</v>
      </c>
      <c r="K1152" s="1">
        <v>58</v>
      </c>
      <c r="L1152" s="1">
        <v>31</v>
      </c>
      <c r="M1152" s="1">
        <v>0.62</v>
      </c>
      <c r="N1152" s="1">
        <v>6.5</v>
      </c>
      <c r="O1152" s="7">
        <v>24958</v>
      </c>
      <c r="P1152" s="4">
        <v>44994</v>
      </c>
      <c r="Q1152" s="4">
        <v>45001</v>
      </c>
      <c r="R1152" s="1" t="s">
        <v>80</v>
      </c>
      <c r="S1152" s="1">
        <v>54</v>
      </c>
      <c r="T1152" s="1" t="s">
        <v>2691</v>
      </c>
      <c r="V1152" s="1">
        <v>1</v>
      </c>
      <c r="W1152" s="1">
        <v>1</v>
      </c>
      <c r="X1152" s="1">
        <v>1</v>
      </c>
      <c r="Y1152" s="1">
        <v>1</v>
      </c>
      <c r="AH1152" s="1">
        <v>1</v>
      </c>
      <c r="AI1152" s="1">
        <v>1</v>
      </c>
      <c r="AO1152" s="7">
        <v>24958</v>
      </c>
      <c r="AP1152" s="5">
        <v>8.7</v>
      </c>
      <c r="AQ1152" s="5">
        <v>187</v>
      </c>
      <c r="AR1152" s="5">
        <v>53.4</v>
      </c>
      <c r="AS1152" s="5" t="s">
        <v>76</v>
      </c>
      <c r="AT1152" s="5">
        <v>23</v>
      </c>
      <c r="AU1152" s="5">
        <v>31</v>
      </c>
      <c r="AV1152" s="5">
        <v>41.4</v>
      </c>
      <c r="AW1152" s="5">
        <v>4.97</v>
      </c>
      <c r="AX1152" s="5">
        <v>81</v>
      </c>
      <c r="AY1152" s="5">
        <v>91.56</v>
      </c>
      <c r="AZ1152" s="5" t="s">
        <v>375</v>
      </c>
      <c r="BA1152" s="5">
        <v>4.39</v>
      </c>
      <c r="BB1152" s="12" t="s">
        <v>76</v>
      </c>
      <c r="BC1152" s="5">
        <v>3.68</v>
      </c>
      <c r="BD1152" s="5">
        <v>187</v>
      </c>
      <c r="BE1152" s="5">
        <v>0.66</v>
      </c>
      <c r="BF1152" s="5">
        <v>2.18</v>
      </c>
      <c r="BG1152" s="15">
        <v>36.6</v>
      </c>
      <c r="BH1152" s="5">
        <v>77</v>
      </c>
      <c r="BI1152" s="5">
        <v>77</v>
      </c>
      <c r="BJ1152" s="5">
        <v>17</v>
      </c>
      <c r="BK1152" s="5">
        <v>168</v>
      </c>
      <c r="BL1152" s="5">
        <v>102</v>
      </c>
      <c r="BM1152" s="5">
        <v>95</v>
      </c>
      <c r="BN1152" s="5">
        <v>174</v>
      </c>
      <c r="BO1152" s="5">
        <f t="shared" si="17"/>
        <v>31.3779891663364</v>
      </c>
      <c r="BP1152" s="5" t="s">
        <v>78</v>
      </c>
      <c r="BQ1152" s="5">
        <v>9.9</v>
      </c>
      <c r="BR1152" s="5">
        <v>1306</v>
      </c>
    </row>
    <row r="1153" s="1" customFormat="1" spans="1:70">
      <c r="A1153" s="1">
        <v>3270622</v>
      </c>
      <c r="B1153" s="1" t="s">
        <v>2692</v>
      </c>
      <c r="D1153" s="4">
        <v>44952</v>
      </c>
      <c r="E1153" s="4">
        <v>44959</v>
      </c>
      <c r="F1153" s="7">
        <v>24960</v>
      </c>
      <c r="G1153" s="1">
        <v>36</v>
      </c>
      <c r="H1153" s="1">
        <v>10</v>
      </c>
      <c r="I1153" s="1">
        <v>53</v>
      </c>
      <c r="J1153" s="1">
        <v>10</v>
      </c>
      <c r="K1153" s="1">
        <v>51</v>
      </c>
      <c r="L1153" s="1">
        <v>26</v>
      </c>
      <c r="M1153" s="1">
        <v>0.62</v>
      </c>
      <c r="N1153" s="1">
        <v>12.6</v>
      </c>
      <c r="O1153" s="7">
        <v>24960</v>
      </c>
      <c r="P1153" s="4">
        <v>44952</v>
      </c>
      <c r="Q1153" s="4">
        <v>44959</v>
      </c>
      <c r="R1153" s="1" t="s">
        <v>80</v>
      </c>
      <c r="AO1153" s="7">
        <v>24960</v>
      </c>
      <c r="AP1153" s="5">
        <v>9</v>
      </c>
      <c r="AQ1153" s="5">
        <v>118</v>
      </c>
      <c r="AR1153" s="5">
        <v>37.9</v>
      </c>
      <c r="AS1153" s="5">
        <v>8.2</v>
      </c>
      <c r="AT1153" s="5">
        <v>83</v>
      </c>
      <c r="AU1153" s="5">
        <v>67</v>
      </c>
      <c r="AV1153" s="5">
        <v>22.6</v>
      </c>
      <c r="AW1153" s="5">
        <v>6.17</v>
      </c>
      <c r="AX1153" s="5">
        <v>72</v>
      </c>
      <c r="AY1153" s="5" t="s">
        <v>125</v>
      </c>
      <c r="AZ1153" s="5" t="s">
        <v>75</v>
      </c>
      <c r="BA1153" s="5">
        <v>8.26</v>
      </c>
      <c r="BB1153" s="12" t="s">
        <v>76</v>
      </c>
      <c r="BC1153" s="5" t="s">
        <v>4</v>
      </c>
      <c r="BD1153" s="5">
        <v>118</v>
      </c>
      <c r="BE1153" s="5">
        <v>0.83</v>
      </c>
      <c r="BF1153" s="5">
        <v>7.05</v>
      </c>
      <c r="BG1153" s="15">
        <v>36.2</v>
      </c>
      <c r="BH1153" s="5">
        <v>88</v>
      </c>
      <c r="BI1153" s="5">
        <v>88</v>
      </c>
      <c r="BJ1153" s="5">
        <v>17</v>
      </c>
      <c r="BK1153" s="5">
        <v>146</v>
      </c>
      <c r="BL1153" s="5">
        <v>108</v>
      </c>
      <c r="BM1153" s="5">
        <v>75</v>
      </c>
      <c r="BN1153" s="5">
        <v>170</v>
      </c>
      <c r="BO1153" s="5">
        <f t="shared" si="17"/>
        <v>25.9515570934256</v>
      </c>
      <c r="BP1153" s="5" t="s">
        <v>323</v>
      </c>
      <c r="BQ1153" s="5">
        <v>6.1</v>
      </c>
      <c r="BR1153" s="5">
        <v>2198</v>
      </c>
    </row>
    <row r="1154" s="1" customFormat="1" spans="1:70">
      <c r="A1154" s="1">
        <v>3255933</v>
      </c>
      <c r="B1154" s="1" t="s">
        <v>2693</v>
      </c>
      <c r="D1154" s="4">
        <v>44922</v>
      </c>
      <c r="E1154" s="4">
        <v>44928</v>
      </c>
      <c r="F1154" s="7">
        <v>24978</v>
      </c>
      <c r="G1154" s="1">
        <v>38</v>
      </c>
      <c r="H1154" s="1">
        <v>9</v>
      </c>
      <c r="I1154" s="1">
        <v>52</v>
      </c>
      <c r="J1154" s="1">
        <v>9</v>
      </c>
      <c r="K1154" s="1">
        <v>41</v>
      </c>
      <c r="L1154" s="1">
        <v>20</v>
      </c>
      <c r="M1154" s="1">
        <v>0.83</v>
      </c>
      <c r="N1154" s="1">
        <v>13.8</v>
      </c>
      <c r="O1154" s="7">
        <v>24978</v>
      </c>
      <c r="P1154" s="4">
        <v>44922</v>
      </c>
      <c r="Q1154" s="4">
        <v>44928</v>
      </c>
      <c r="R1154" s="1" t="s">
        <v>73</v>
      </c>
      <c r="AO1154" s="7">
        <v>24978</v>
      </c>
      <c r="AP1154" s="5">
        <v>72.2</v>
      </c>
      <c r="AQ1154" s="5">
        <v>128</v>
      </c>
      <c r="AR1154" s="5">
        <v>41.6</v>
      </c>
      <c r="AS1154" s="5" t="s">
        <v>76</v>
      </c>
      <c r="AT1154" s="5">
        <v>37</v>
      </c>
      <c r="AU1154" s="5">
        <v>20</v>
      </c>
      <c r="AV1154" s="5">
        <v>45.5</v>
      </c>
      <c r="AW1154" s="5">
        <v>4.99</v>
      </c>
      <c r="AX1154" s="5">
        <v>55</v>
      </c>
      <c r="AY1154" s="5">
        <v>106.2</v>
      </c>
      <c r="AZ1154" s="5" t="s">
        <v>75</v>
      </c>
      <c r="BA1154" s="5">
        <v>3.81</v>
      </c>
      <c r="BB1154" s="12" t="s">
        <v>76</v>
      </c>
      <c r="BC1154" s="5">
        <v>4.54</v>
      </c>
      <c r="BD1154" s="5">
        <v>128</v>
      </c>
      <c r="BE1154" s="5">
        <v>0.91</v>
      </c>
      <c r="BF1154" s="5">
        <v>2.22</v>
      </c>
      <c r="BG1154" s="15">
        <v>36.3</v>
      </c>
      <c r="BH1154" s="5">
        <v>83</v>
      </c>
      <c r="BI1154" s="5" t="s">
        <v>76</v>
      </c>
      <c r="BJ1154" s="5">
        <v>19</v>
      </c>
      <c r="BK1154" s="5">
        <v>110</v>
      </c>
      <c r="BL1154" s="5">
        <v>76</v>
      </c>
      <c r="BM1154" s="5">
        <v>64</v>
      </c>
      <c r="BN1154" s="5">
        <v>155</v>
      </c>
      <c r="BO1154" s="5">
        <f t="shared" si="17"/>
        <v>26.6389177939646</v>
      </c>
      <c r="BP1154" s="5" t="s">
        <v>78</v>
      </c>
      <c r="BQ1154" s="5">
        <v>8.8</v>
      </c>
      <c r="BR1154" s="5">
        <v>1038</v>
      </c>
    </row>
    <row r="1155" s="1" customFormat="1" spans="1:70">
      <c r="A1155" s="1">
        <v>3281632</v>
      </c>
      <c r="B1155" s="1" t="s">
        <v>2693</v>
      </c>
      <c r="D1155" s="4">
        <v>44965</v>
      </c>
      <c r="E1155" s="4">
        <v>44970</v>
      </c>
      <c r="F1155" s="7">
        <v>24978</v>
      </c>
      <c r="G1155" s="1">
        <v>36</v>
      </c>
      <c r="H1155" s="1">
        <v>9</v>
      </c>
      <c r="I1155" s="1">
        <v>53</v>
      </c>
      <c r="J1155" s="1">
        <v>9</v>
      </c>
      <c r="K1155" s="1">
        <v>44</v>
      </c>
      <c r="L1155" s="1">
        <v>22</v>
      </c>
      <c r="M1155" s="1">
        <v>0.71</v>
      </c>
      <c r="N1155" s="1">
        <v>12.9</v>
      </c>
      <c r="O1155" s="7">
        <v>24978</v>
      </c>
      <c r="P1155" s="4">
        <v>44965</v>
      </c>
      <c r="Q1155" s="4">
        <v>44970</v>
      </c>
      <c r="R1155" s="1" t="s">
        <v>73</v>
      </c>
      <c r="AO1155" s="7">
        <v>24978</v>
      </c>
      <c r="AP1155" s="5">
        <v>4.1</v>
      </c>
      <c r="AQ1155" s="5">
        <v>132</v>
      </c>
      <c r="AR1155" s="5">
        <v>43.2</v>
      </c>
      <c r="AS1155" s="5">
        <v>2</v>
      </c>
      <c r="AT1155" s="5">
        <v>16</v>
      </c>
      <c r="AU1155" s="5">
        <v>8</v>
      </c>
      <c r="AV1155" s="5">
        <v>49.1</v>
      </c>
      <c r="AW1155" s="5">
        <v>3.94</v>
      </c>
      <c r="AX1155" s="5">
        <v>36</v>
      </c>
      <c r="AY1155" s="5" t="s">
        <v>125</v>
      </c>
      <c r="AZ1155" s="5">
        <v>4.68</v>
      </c>
      <c r="BA1155" s="5">
        <v>4.02</v>
      </c>
      <c r="BB1155" s="12" t="s">
        <v>76</v>
      </c>
      <c r="BC1155" s="5">
        <v>4.13</v>
      </c>
      <c r="BD1155" s="5">
        <v>132</v>
      </c>
      <c r="BE1155" s="5">
        <v>0.89</v>
      </c>
      <c r="BF1155" s="5">
        <v>2.62</v>
      </c>
      <c r="BG1155" s="15">
        <v>36.6</v>
      </c>
      <c r="BH1155" s="5">
        <v>87</v>
      </c>
      <c r="BI1155" s="5" t="s">
        <v>76</v>
      </c>
      <c r="BJ1155" s="5">
        <v>17</v>
      </c>
      <c r="BK1155" s="5">
        <v>115</v>
      </c>
      <c r="BL1155" s="5">
        <v>66</v>
      </c>
      <c r="BM1155" s="5">
        <v>60</v>
      </c>
      <c r="BN1155" s="5">
        <v>155</v>
      </c>
      <c r="BO1155" s="5">
        <f t="shared" ref="BO1155:BO1218" si="18">BM1155/(BN1155/100)^2</f>
        <v>24.9739854318418</v>
      </c>
      <c r="BP1155" s="5" t="s">
        <v>78</v>
      </c>
      <c r="BQ1155" s="5">
        <v>6.2</v>
      </c>
      <c r="BR1155" s="5">
        <v>1012</v>
      </c>
    </row>
    <row r="1156" s="1" customFormat="1" spans="1:70">
      <c r="A1156" s="1">
        <v>3325481</v>
      </c>
      <c r="B1156" s="1" t="s">
        <v>2694</v>
      </c>
      <c r="D1156" s="4">
        <v>45026</v>
      </c>
      <c r="E1156" s="4">
        <v>45037</v>
      </c>
      <c r="F1156" s="7">
        <v>24992</v>
      </c>
      <c r="G1156" s="1">
        <v>37</v>
      </c>
      <c r="H1156" s="1">
        <v>9</v>
      </c>
      <c r="I1156" s="1">
        <v>51</v>
      </c>
      <c r="J1156" s="1">
        <v>9</v>
      </c>
      <c r="K1156" s="1">
        <v>53</v>
      </c>
      <c r="M1156" s="1">
        <v>0.52</v>
      </c>
      <c r="N1156" s="1">
        <v>7.7</v>
      </c>
      <c r="O1156" s="7">
        <v>24992</v>
      </c>
      <c r="P1156" s="4">
        <v>45026</v>
      </c>
      <c r="Q1156" s="4">
        <v>45037</v>
      </c>
      <c r="R1156" s="1" t="s">
        <v>73</v>
      </c>
      <c r="AO1156" s="7">
        <v>24992</v>
      </c>
      <c r="AP1156" s="5">
        <v>32.8</v>
      </c>
      <c r="AQ1156" s="5">
        <v>81</v>
      </c>
      <c r="AR1156" s="5">
        <v>33.5</v>
      </c>
      <c r="AS1156" s="5">
        <v>1</v>
      </c>
      <c r="AT1156" s="5">
        <v>20</v>
      </c>
      <c r="AU1156" s="5">
        <v>18</v>
      </c>
      <c r="AV1156" s="5">
        <v>29</v>
      </c>
      <c r="AW1156" s="5">
        <v>12.68</v>
      </c>
      <c r="AX1156" s="5">
        <v>254</v>
      </c>
      <c r="AY1156" s="5">
        <v>22.75</v>
      </c>
      <c r="AZ1156" s="5">
        <v>5.59</v>
      </c>
      <c r="BA1156" s="5">
        <v>4.91</v>
      </c>
      <c r="BB1156" s="12" t="s">
        <v>76</v>
      </c>
      <c r="BC1156" s="5" t="s">
        <v>4</v>
      </c>
      <c r="BD1156" s="5">
        <v>81</v>
      </c>
      <c r="BE1156" s="5" t="s">
        <v>76</v>
      </c>
      <c r="BF1156" s="5" t="s">
        <v>76</v>
      </c>
      <c r="BG1156" s="15">
        <v>36.6</v>
      </c>
      <c r="BH1156" s="5">
        <v>82</v>
      </c>
      <c r="BI1156" s="5">
        <v>82</v>
      </c>
      <c r="BJ1156" s="5">
        <v>18</v>
      </c>
      <c r="BK1156" s="5">
        <v>145</v>
      </c>
      <c r="BL1156" s="5">
        <v>87</v>
      </c>
      <c r="BM1156" s="5">
        <v>55</v>
      </c>
      <c r="BN1156" s="5">
        <v>150</v>
      </c>
      <c r="BO1156" s="5">
        <f t="shared" si="18"/>
        <v>24.4444444444444</v>
      </c>
      <c r="BP1156" s="5" t="s">
        <v>415</v>
      </c>
      <c r="BQ1156" s="5" t="s">
        <v>76</v>
      </c>
      <c r="BR1156" s="5" t="s">
        <v>118</v>
      </c>
    </row>
    <row r="1157" s="1" customFormat="1" spans="1:70">
      <c r="A1157" s="1">
        <v>3331254</v>
      </c>
      <c r="B1157" s="1" t="s">
        <v>2695</v>
      </c>
      <c r="D1157" s="4">
        <v>45034</v>
      </c>
      <c r="E1157" s="4">
        <v>45038</v>
      </c>
      <c r="F1157" s="7">
        <v>25039</v>
      </c>
      <c r="G1157" s="1">
        <v>37</v>
      </c>
      <c r="H1157" s="1">
        <v>11</v>
      </c>
      <c r="I1157" s="1">
        <v>53</v>
      </c>
      <c r="J1157" s="1">
        <v>11</v>
      </c>
      <c r="K1157" s="1">
        <v>47</v>
      </c>
      <c r="L1157" s="1">
        <v>24</v>
      </c>
      <c r="M1157" s="1">
        <v>0.66</v>
      </c>
      <c r="N1157" s="1">
        <v>13.3</v>
      </c>
      <c r="O1157" s="7">
        <v>25039</v>
      </c>
      <c r="P1157" s="4">
        <v>45034</v>
      </c>
      <c r="Q1157" s="4">
        <v>45038</v>
      </c>
      <c r="R1157" s="1" t="s">
        <v>80</v>
      </c>
      <c r="AO1157" s="7">
        <v>25039</v>
      </c>
      <c r="AP1157" s="5">
        <v>17.8</v>
      </c>
      <c r="AQ1157" s="5">
        <v>174</v>
      </c>
      <c r="AR1157" s="5">
        <v>51.3</v>
      </c>
      <c r="AS1157" s="5">
        <v>33.9</v>
      </c>
      <c r="AT1157" s="5">
        <v>58</v>
      </c>
      <c r="AU1157" s="5">
        <v>63</v>
      </c>
      <c r="AV1157" s="5">
        <v>41.5</v>
      </c>
      <c r="AW1157" s="5">
        <v>7.1</v>
      </c>
      <c r="AX1157" s="5">
        <v>56</v>
      </c>
      <c r="AY1157" s="5" t="s">
        <v>125</v>
      </c>
      <c r="AZ1157" s="5" t="s">
        <v>375</v>
      </c>
      <c r="BA1157" s="5">
        <v>3.6</v>
      </c>
      <c r="BB1157" s="12" t="s">
        <v>76</v>
      </c>
      <c r="BC1157" s="5">
        <v>4.14</v>
      </c>
      <c r="BD1157" s="5">
        <v>174</v>
      </c>
      <c r="BE1157" s="5">
        <v>0.93</v>
      </c>
      <c r="BF1157" s="5">
        <v>1.93</v>
      </c>
      <c r="BG1157" s="15">
        <v>36.3</v>
      </c>
      <c r="BH1157" s="5" t="s">
        <v>76</v>
      </c>
      <c r="BI1157" s="5">
        <v>98</v>
      </c>
      <c r="BJ1157" s="5">
        <v>29</v>
      </c>
      <c r="BK1157" s="5">
        <v>140</v>
      </c>
      <c r="BL1157" s="5">
        <v>105</v>
      </c>
      <c r="BM1157" s="5">
        <v>75</v>
      </c>
      <c r="BN1157" s="5">
        <v>165</v>
      </c>
      <c r="BO1157" s="5">
        <f t="shared" si="18"/>
        <v>27.5482093663912</v>
      </c>
      <c r="BP1157" s="5" t="s">
        <v>323</v>
      </c>
      <c r="BQ1157" s="5">
        <v>9.6</v>
      </c>
      <c r="BR1157" s="5">
        <v>973</v>
      </c>
    </row>
    <row r="1158" s="1" customFormat="1" spans="1:70">
      <c r="A1158" s="1">
        <v>3305883</v>
      </c>
      <c r="B1158" s="1" t="s">
        <v>2696</v>
      </c>
      <c r="D1158" s="4">
        <v>44998</v>
      </c>
      <c r="E1158" s="4">
        <v>45005</v>
      </c>
      <c r="F1158" s="7">
        <v>25062</v>
      </c>
      <c r="G1158" s="1">
        <v>38</v>
      </c>
      <c r="H1158" s="1">
        <v>8</v>
      </c>
      <c r="I1158" s="1">
        <v>57</v>
      </c>
      <c r="J1158" s="1">
        <v>8</v>
      </c>
      <c r="K1158" s="1">
        <v>37</v>
      </c>
      <c r="L1158" s="1">
        <v>18</v>
      </c>
      <c r="M1158" s="1">
        <v>0.82</v>
      </c>
      <c r="N1158" s="1">
        <v>12</v>
      </c>
      <c r="O1158" s="7">
        <v>25062</v>
      </c>
      <c r="P1158" s="4">
        <v>44998</v>
      </c>
      <c r="Q1158" s="4">
        <v>45005</v>
      </c>
      <c r="R1158" s="1" t="s">
        <v>73</v>
      </c>
      <c r="AO1158" s="7">
        <v>25062</v>
      </c>
      <c r="AP1158" s="5">
        <v>5.3</v>
      </c>
      <c r="AQ1158" s="5">
        <v>139</v>
      </c>
      <c r="AR1158" s="5">
        <v>43.7</v>
      </c>
      <c r="AS1158" s="5" t="s">
        <v>81</v>
      </c>
      <c r="AT1158" s="5">
        <v>27</v>
      </c>
      <c r="AU1158" s="5">
        <v>22</v>
      </c>
      <c r="AV1158" s="5">
        <v>44.5</v>
      </c>
      <c r="AW1158" s="5">
        <v>9.34</v>
      </c>
      <c r="AX1158" s="5">
        <v>49</v>
      </c>
      <c r="AY1158" s="5" t="s">
        <v>125</v>
      </c>
      <c r="AZ1158" s="5" t="s">
        <v>76</v>
      </c>
      <c r="BA1158" s="5" t="s">
        <v>76</v>
      </c>
      <c r="BB1158" s="12" t="s">
        <v>76</v>
      </c>
      <c r="BC1158" s="5">
        <v>3.99</v>
      </c>
      <c r="BD1158" s="5">
        <v>139</v>
      </c>
      <c r="BE1158" s="5" t="s">
        <v>76</v>
      </c>
      <c r="BF1158" s="5" t="s">
        <v>76</v>
      </c>
      <c r="BG1158" s="15">
        <v>36.5</v>
      </c>
      <c r="BH1158" s="5">
        <v>130</v>
      </c>
      <c r="BI1158" s="5">
        <v>158</v>
      </c>
      <c r="BJ1158" s="5">
        <v>18</v>
      </c>
      <c r="BK1158" s="5">
        <v>114</v>
      </c>
      <c r="BL1158" s="5">
        <v>95</v>
      </c>
      <c r="BM1158" s="5">
        <v>57</v>
      </c>
      <c r="BN1158" s="5">
        <v>156</v>
      </c>
      <c r="BO1158" s="5">
        <f t="shared" si="18"/>
        <v>23.422090729783</v>
      </c>
      <c r="BP1158" s="5" t="s">
        <v>78</v>
      </c>
      <c r="BQ1158" s="5">
        <v>6.8</v>
      </c>
      <c r="BR1158" s="5">
        <v>5019</v>
      </c>
    </row>
    <row r="1159" s="1" customFormat="1" spans="1:70">
      <c r="A1159" s="1">
        <v>3313599</v>
      </c>
      <c r="B1159" s="1" t="s">
        <v>2697</v>
      </c>
      <c r="D1159" s="4">
        <v>45008</v>
      </c>
      <c r="E1159" s="4">
        <v>45017</v>
      </c>
      <c r="F1159" s="7">
        <v>25077</v>
      </c>
      <c r="G1159" s="1">
        <v>42</v>
      </c>
      <c r="H1159" s="1">
        <v>6</v>
      </c>
      <c r="I1159" s="1">
        <v>52</v>
      </c>
      <c r="J1159" s="1">
        <v>6</v>
      </c>
      <c r="K1159" s="1">
        <v>55</v>
      </c>
      <c r="L1159" s="1">
        <v>29</v>
      </c>
      <c r="M1159" s="1">
        <v>2.08</v>
      </c>
      <c r="O1159" s="7">
        <v>25077</v>
      </c>
      <c r="P1159" s="4">
        <v>45008</v>
      </c>
      <c r="Q1159" s="4">
        <v>45017</v>
      </c>
      <c r="R1159" s="1" t="s">
        <v>80</v>
      </c>
      <c r="AO1159" s="7">
        <v>25077</v>
      </c>
      <c r="AP1159" s="5">
        <v>9.8</v>
      </c>
      <c r="AQ1159" s="5">
        <v>99</v>
      </c>
      <c r="AR1159" s="5">
        <v>40.7</v>
      </c>
      <c r="AS1159" s="5" t="s">
        <v>76</v>
      </c>
      <c r="AT1159" s="5">
        <v>98</v>
      </c>
      <c r="AU1159" s="5">
        <v>52</v>
      </c>
      <c r="AV1159" s="5">
        <v>33.9</v>
      </c>
      <c r="AW1159" s="5">
        <v>25.75</v>
      </c>
      <c r="AX1159" s="5">
        <v>172</v>
      </c>
      <c r="AY1159" s="5">
        <v>56.01</v>
      </c>
      <c r="AZ1159" s="5" t="s">
        <v>375</v>
      </c>
      <c r="BA1159" s="5">
        <v>3.54</v>
      </c>
      <c r="BB1159" s="12" t="s">
        <v>76</v>
      </c>
      <c r="BC1159" s="5">
        <v>4.76</v>
      </c>
      <c r="BD1159" s="5">
        <v>99</v>
      </c>
      <c r="BE1159" s="5" t="s">
        <v>76</v>
      </c>
      <c r="BF1159" s="5" t="s">
        <v>76</v>
      </c>
      <c r="BG1159" s="15">
        <v>36.9</v>
      </c>
      <c r="BH1159" s="5">
        <v>96</v>
      </c>
      <c r="BI1159" s="5">
        <v>96</v>
      </c>
      <c r="BJ1159" s="5">
        <v>28</v>
      </c>
      <c r="BK1159" s="5">
        <v>98</v>
      </c>
      <c r="BL1159" s="5">
        <v>64</v>
      </c>
      <c r="BM1159" s="5">
        <v>65</v>
      </c>
      <c r="BN1159" s="5">
        <v>170</v>
      </c>
      <c r="BO1159" s="5">
        <f t="shared" si="18"/>
        <v>22.4913494809689</v>
      </c>
      <c r="BP1159" s="5" t="s">
        <v>85</v>
      </c>
      <c r="BQ1159" s="5">
        <v>7.5</v>
      </c>
      <c r="BR1159" s="5" t="s">
        <v>118</v>
      </c>
    </row>
    <row r="1160" s="1" customFormat="1" spans="1:70">
      <c r="A1160" s="1">
        <v>3242103</v>
      </c>
      <c r="B1160" s="1" t="s">
        <v>2698</v>
      </c>
      <c r="D1160" s="4">
        <v>44886</v>
      </c>
      <c r="E1160" s="4">
        <v>44894</v>
      </c>
      <c r="F1160" s="7">
        <v>25116</v>
      </c>
      <c r="G1160" s="1">
        <v>38</v>
      </c>
      <c r="H1160" s="1">
        <v>8</v>
      </c>
      <c r="I1160" s="1">
        <v>54</v>
      </c>
      <c r="J1160" s="1">
        <v>8</v>
      </c>
      <c r="K1160" s="1">
        <v>31</v>
      </c>
      <c r="L1160" s="1">
        <v>15</v>
      </c>
      <c r="M1160" s="1">
        <v>1.91</v>
      </c>
      <c r="N1160" s="1">
        <v>17.1</v>
      </c>
      <c r="O1160" s="7">
        <v>25116</v>
      </c>
      <c r="P1160" s="4">
        <v>44886</v>
      </c>
      <c r="Q1160" s="4">
        <v>44894</v>
      </c>
      <c r="R1160" s="1" t="s">
        <v>73</v>
      </c>
      <c r="AO1160" s="7">
        <v>25116</v>
      </c>
      <c r="AP1160" s="5">
        <v>8.4</v>
      </c>
      <c r="AQ1160" s="5">
        <v>113</v>
      </c>
      <c r="AR1160" s="5">
        <v>35.9</v>
      </c>
      <c r="AS1160" s="5">
        <v>4.9</v>
      </c>
      <c r="AT1160" s="5">
        <v>23</v>
      </c>
      <c r="AU1160" s="5">
        <v>21</v>
      </c>
      <c r="AV1160" s="5">
        <v>44.4</v>
      </c>
      <c r="AW1160" s="5">
        <v>5.4</v>
      </c>
      <c r="AX1160" s="5">
        <v>63</v>
      </c>
      <c r="AY1160" s="5" t="s">
        <v>76</v>
      </c>
      <c r="AZ1160" s="5" t="s">
        <v>75</v>
      </c>
      <c r="BA1160" s="5" t="s">
        <v>76</v>
      </c>
      <c r="BB1160" s="12" t="s">
        <v>76</v>
      </c>
      <c r="BC1160" s="5">
        <v>3.93</v>
      </c>
      <c r="BD1160" s="5">
        <v>113</v>
      </c>
      <c r="BE1160" s="5" t="s">
        <v>76</v>
      </c>
      <c r="BF1160" s="5" t="s">
        <v>76</v>
      </c>
      <c r="BG1160" s="15">
        <v>36.6</v>
      </c>
      <c r="BH1160" s="5">
        <v>100</v>
      </c>
      <c r="BI1160" s="5" t="s">
        <v>76</v>
      </c>
      <c r="BJ1160" s="5">
        <v>12</v>
      </c>
      <c r="BK1160" s="5">
        <v>120</v>
      </c>
      <c r="BL1160" s="5">
        <v>90</v>
      </c>
      <c r="BM1160" s="5">
        <v>61</v>
      </c>
      <c r="BN1160" s="5">
        <v>150</v>
      </c>
      <c r="BO1160" s="5">
        <f t="shared" si="18"/>
        <v>27.1111111111111</v>
      </c>
      <c r="BP1160" s="5" t="s">
        <v>149</v>
      </c>
      <c r="BQ1160" s="5" t="s">
        <v>76</v>
      </c>
      <c r="BR1160" s="5">
        <v>1018</v>
      </c>
    </row>
    <row r="1161" s="1" customFormat="1" spans="1:70">
      <c r="A1161" s="1">
        <v>3316393</v>
      </c>
      <c r="B1161" s="1" t="s">
        <v>2699</v>
      </c>
      <c r="D1161" s="4">
        <v>45013</v>
      </c>
      <c r="E1161" s="4">
        <v>45019</v>
      </c>
      <c r="F1161" s="7">
        <v>25119</v>
      </c>
      <c r="G1161" s="1">
        <v>36</v>
      </c>
      <c r="H1161" s="1">
        <v>10</v>
      </c>
      <c r="I1161" s="1">
        <v>42</v>
      </c>
      <c r="J1161" s="1">
        <v>10</v>
      </c>
      <c r="K1161" s="1">
        <v>44</v>
      </c>
      <c r="L1161" s="1">
        <v>22</v>
      </c>
      <c r="M1161" s="1">
        <v>0.73</v>
      </c>
      <c r="N1161" s="10">
        <v>14</v>
      </c>
      <c r="O1161" s="7">
        <v>25119</v>
      </c>
      <c r="P1161" s="4">
        <v>45013</v>
      </c>
      <c r="Q1161" s="4">
        <v>45019</v>
      </c>
      <c r="R1161" s="1" t="s">
        <v>73</v>
      </c>
      <c r="AO1161" s="7">
        <v>25119</v>
      </c>
      <c r="AP1161" s="5">
        <v>5.5</v>
      </c>
      <c r="AQ1161" s="5">
        <v>141</v>
      </c>
      <c r="AR1161" s="5">
        <v>42.3</v>
      </c>
      <c r="AS1161" s="5">
        <v>1.8</v>
      </c>
      <c r="AT1161" s="5">
        <v>16</v>
      </c>
      <c r="AU1161" s="5">
        <v>19</v>
      </c>
      <c r="AV1161" s="5">
        <v>27.9</v>
      </c>
      <c r="AW1161" s="5">
        <v>3.9</v>
      </c>
      <c r="AX1161" s="5">
        <v>91</v>
      </c>
      <c r="AY1161" s="5">
        <v>59.4</v>
      </c>
      <c r="AZ1161" s="5">
        <v>9.3</v>
      </c>
      <c r="BA1161" s="5">
        <v>14.03</v>
      </c>
      <c r="BB1161" s="12" t="s">
        <v>76</v>
      </c>
      <c r="BC1161" s="5">
        <v>3.24</v>
      </c>
      <c r="BD1161" s="5">
        <v>141</v>
      </c>
      <c r="BE1161" s="5">
        <v>1.33</v>
      </c>
      <c r="BF1161" s="5">
        <v>10.38</v>
      </c>
      <c r="BG1161" s="15">
        <v>36.4</v>
      </c>
      <c r="BH1161" s="5">
        <v>102</v>
      </c>
      <c r="BI1161" s="5">
        <v>102</v>
      </c>
      <c r="BJ1161" s="5">
        <v>20</v>
      </c>
      <c r="BK1161" s="5">
        <v>180</v>
      </c>
      <c r="BL1161" s="5">
        <v>108</v>
      </c>
      <c r="BM1161" s="5">
        <v>58</v>
      </c>
      <c r="BN1161" s="5">
        <v>165</v>
      </c>
      <c r="BO1161" s="5">
        <f t="shared" si="18"/>
        <v>21.3039485766759</v>
      </c>
      <c r="BP1161" s="5" t="s">
        <v>156</v>
      </c>
      <c r="BQ1161" s="5">
        <v>9</v>
      </c>
      <c r="BR1161" s="5">
        <v>3744</v>
      </c>
    </row>
    <row r="1162" s="1" customFormat="1" spans="1:70">
      <c r="A1162" s="1">
        <v>3313726</v>
      </c>
      <c r="B1162" s="1" t="s">
        <v>2700</v>
      </c>
      <c r="D1162" s="4">
        <v>45009</v>
      </c>
      <c r="E1162" s="4">
        <v>45042</v>
      </c>
      <c r="F1162" s="7">
        <v>25131</v>
      </c>
      <c r="G1162" s="1">
        <v>44</v>
      </c>
      <c r="H1162" s="1">
        <v>21</v>
      </c>
      <c r="I1162" s="1">
        <v>53</v>
      </c>
      <c r="J1162" s="1">
        <v>11</v>
      </c>
      <c r="K1162" s="1">
        <v>48</v>
      </c>
      <c r="L1162" s="1">
        <v>24</v>
      </c>
      <c r="M1162" s="1">
        <v>0.84</v>
      </c>
      <c r="N1162" s="1">
        <v>22.7</v>
      </c>
      <c r="O1162" s="7">
        <v>25131</v>
      </c>
      <c r="P1162" s="4">
        <v>45009</v>
      </c>
      <c r="Q1162" s="4">
        <v>45042</v>
      </c>
      <c r="R1162" s="1" t="s">
        <v>80</v>
      </c>
      <c r="AO1162" s="7">
        <v>25131</v>
      </c>
      <c r="AP1162" s="5">
        <v>8.8</v>
      </c>
      <c r="AQ1162" s="5">
        <v>97</v>
      </c>
      <c r="AR1162" s="5">
        <v>57</v>
      </c>
      <c r="AS1162" s="5">
        <v>76.9</v>
      </c>
      <c r="AT1162" s="5">
        <v>572</v>
      </c>
      <c r="AU1162" s="5">
        <v>883</v>
      </c>
      <c r="AV1162" s="5">
        <v>44.7</v>
      </c>
      <c r="AW1162" s="5">
        <v>9.91</v>
      </c>
      <c r="AX1162" s="5">
        <v>95</v>
      </c>
      <c r="AY1162" s="5" t="s">
        <v>125</v>
      </c>
      <c r="AZ1162" s="5">
        <v>9.8</v>
      </c>
      <c r="BA1162" s="5">
        <v>3.51</v>
      </c>
      <c r="BB1162" s="12" t="s">
        <v>76</v>
      </c>
      <c r="BC1162" s="5">
        <v>5.41</v>
      </c>
      <c r="BD1162" s="5">
        <v>97</v>
      </c>
      <c r="BE1162" s="5">
        <v>0.89</v>
      </c>
      <c r="BF1162" s="5">
        <v>2.11</v>
      </c>
      <c r="BG1162" s="15">
        <v>36.5</v>
      </c>
      <c r="BH1162" s="5">
        <v>78</v>
      </c>
      <c r="BI1162" s="5">
        <v>78</v>
      </c>
      <c r="BJ1162" s="5">
        <v>18</v>
      </c>
      <c r="BK1162" s="5">
        <v>101</v>
      </c>
      <c r="BL1162" s="5">
        <v>77</v>
      </c>
      <c r="BM1162" s="5">
        <v>90</v>
      </c>
      <c r="BN1162" s="5">
        <v>183</v>
      </c>
      <c r="BO1162" s="5">
        <f t="shared" si="18"/>
        <v>26.8744961031981</v>
      </c>
      <c r="BP1162" s="5" t="s">
        <v>1450</v>
      </c>
      <c r="BQ1162" s="5">
        <v>9.6</v>
      </c>
      <c r="BR1162" s="5">
        <v>4309</v>
      </c>
    </row>
    <row r="1163" s="1" customFormat="1" spans="1:70">
      <c r="A1163" s="1">
        <v>3321964</v>
      </c>
      <c r="B1163" s="1" t="s">
        <v>2701</v>
      </c>
      <c r="D1163" s="4">
        <v>45020</v>
      </c>
      <c r="E1163" s="4">
        <v>45030</v>
      </c>
      <c r="F1163" s="7">
        <v>25132</v>
      </c>
      <c r="G1163" s="1">
        <v>35</v>
      </c>
      <c r="H1163" s="1">
        <v>10</v>
      </c>
      <c r="I1163" s="1">
        <v>42</v>
      </c>
      <c r="J1163" s="1">
        <v>9</v>
      </c>
      <c r="K1163" s="1">
        <v>56</v>
      </c>
      <c r="L1163" s="1">
        <v>29</v>
      </c>
      <c r="M1163" s="1">
        <v>1.19</v>
      </c>
      <c r="O1163" s="7">
        <v>25132</v>
      </c>
      <c r="P1163" s="4">
        <v>45020</v>
      </c>
      <c r="Q1163" s="4">
        <v>45030</v>
      </c>
      <c r="R1163" s="1" t="s">
        <v>73</v>
      </c>
      <c r="AO1163" s="7">
        <v>25132</v>
      </c>
      <c r="AP1163" s="5">
        <v>8.6</v>
      </c>
      <c r="AQ1163" s="5">
        <v>99</v>
      </c>
      <c r="AR1163" s="5">
        <v>41.1</v>
      </c>
      <c r="AS1163" s="5">
        <v>95.6</v>
      </c>
      <c r="AT1163" s="5">
        <v>901</v>
      </c>
      <c r="AU1163" s="5">
        <v>876</v>
      </c>
      <c r="AV1163" s="5">
        <v>34.5</v>
      </c>
      <c r="AW1163" s="5">
        <v>9.74</v>
      </c>
      <c r="AX1163" s="5">
        <v>91</v>
      </c>
      <c r="AY1163" s="5">
        <v>69.93</v>
      </c>
      <c r="AZ1163" s="5" t="s">
        <v>75</v>
      </c>
      <c r="BA1163" s="5">
        <v>2.38</v>
      </c>
      <c r="BB1163" s="12" t="s">
        <v>76</v>
      </c>
      <c r="BC1163" s="5">
        <v>6.14</v>
      </c>
      <c r="BD1163" s="5">
        <v>99</v>
      </c>
      <c r="BE1163" s="5">
        <v>0.82</v>
      </c>
      <c r="BF1163" s="5">
        <v>1.25</v>
      </c>
      <c r="BG1163" s="15">
        <v>36.5</v>
      </c>
      <c r="BH1163" s="5" t="s">
        <v>76</v>
      </c>
      <c r="BI1163" s="5">
        <v>110</v>
      </c>
      <c r="BJ1163" s="5">
        <v>35</v>
      </c>
      <c r="BK1163" s="5">
        <v>120</v>
      </c>
      <c r="BL1163" s="5">
        <v>70</v>
      </c>
      <c r="BM1163" s="5">
        <v>50</v>
      </c>
      <c r="BN1163" s="5">
        <v>155</v>
      </c>
      <c r="BO1163" s="5">
        <f t="shared" si="18"/>
        <v>20.8116545265349</v>
      </c>
      <c r="BP1163" s="5" t="s">
        <v>174</v>
      </c>
      <c r="BQ1163" s="5">
        <v>14</v>
      </c>
      <c r="BR1163" s="5">
        <v>9296</v>
      </c>
    </row>
    <row r="1164" s="1" customFormat="1" spans="1:70">
      <c r="A1164" s="1" t="s">
        <v>2702</v>
      </c>
      <c r="B1164" s="1" t="s">
        <v>2703</v>
      </c>
      <c r="D1164" s="4">
        <v>45016</v>
      </c>
      <c r="E1164" s="4">
        <v>45026</v>
      </c>
      <c r="F1164" s="7">
        <v>25143</v>
      </c>
      <c r="G1164" s="1">
        <v>42</v>
      </c>
      <c r="H1164" s="1">
        <v>9</v>
      </c>
      <c r="I1164" s="1">
        <v>49</v>
      </c>
      <c r="J1164" s="1">
        <v>9</v>
      </c>
      <c r="K1164" s="1">
        <v>74</v>
      </c>
      <c r="L1164" s="1">
        <v>43</v>
      </c>
      <c r="M1164" s="1">
        <v>0.76</v>
      </c>
      <c r="N1164" s="1">
        <v>10.3</v>
      </c>
      <c r="O1164" s="7">
        <v>25143</v>
      </c>
      <c r="P1164" s="4">
        <v>45016</v>
      </c>
      <c r="Q1164" s="4">
        <v>45026</v>
      </c>
      <c r="R1164" s="1" t="s">
        <v>80</v>
      </c>
      <c r="S1164" s="1">
        <v>54</v>
      </c>
      <c r="T1164" s="1" t="s">
        <v>2704</v>
      </c>
      <c r="V1164" s="1">
        <v>1</v>
      </c>
      <c r="X1164" s="1">
        <v>1</v>
      </c>
      <c r="AC1164" s="1">
        <v>1</v>
      </c>
      <c r="AG1164" s="1">
        <v>1</v>
      </c>
      <c r="AH1164" s="1">
        <v>1</v>
      </c>
      <c r="AO1164" s="7">
        <v>25143</v>
      </c>
      <c r="AP1164" s="5" t="s">
        <v>306</v>
      </c>
      <c r="AQ1164" s="5" t="s">
        <v>467</v>
      </c>
      <c r="AR1164" s="5" t="s">
        <v>2705</v>
      </c>
      <c r="AS1164" s="5" t="s">
        <v>2706</v>
      </c>
      <c r="AT1164" s="5" t="s">
        <v>182</v>
      </c>
      <c r="AU1164" s="5" t="s">
        <v>445</v>
      </c>
      <c r="AV1164" s="5" t="s">
        <v>1783</v>
      </c>
      <c r="AW1164" s="5" t="s">
        <v>1909</v>
      </c>
      <c r="AX1164" s="5" t="s">
        <v>103</v>
      </c>
      <c r="AY1164" s="5" t="s">
        <v>2707</v>
      </c>
      <c r="AZ1164" s="5" t="s">
        <v>75</v>
      </c>
      <c r="BA1164" s="5" t="s">
        <v>1049</v>
      </c>
      <c r="BB1164" s="12" t="s">
        <v>76</v>
      </c>
      <c r="BC1164" s="5" t="s">
        <v>2708</v>
      </c>
      <c r="BD1164" s="5" t="s">
        <v>467</v>
      </c>
      <c r="BE1164" s="5" t="s">
        <v>2709</v>
      </c>
      <c r="BF1164" s="5" t="s">
        <v>2641</v>
      </c>
      <c r="BG1164" s="15">
        <v>36.8</v>
      </c>
      <c r="BH1164" s="5" t="s">
        <v>772</v>
      </c>
      <c r="BI1164" s="5" t="s">
        <v>772</v>
      </c>
      <c r="BJ1164" s="5" t="s">
        <v>525</v>
      </c>
      <c r="BK1164" s="5" t="s">
        <v>499</v>
      </c>
      <c r="BL1164" s="5" t="s">
        <v>205</v>
      </c>
      <c r="BM1164" s="5" t="s">
        <v>425</v>
      </c>
      <c r="BN1164" s="5">
        <v>165</v>
      </c>
      <c r="BO1164" s="5">
        <f t="shared" si="18"/>
        <v>25.7116620752984</v>
      </c>
      <c r="BP1164" s="5" t="s">
        <v>196</v>
      </c>
      <c r="BQ1164" s="5" t="s">
        <v>76</v>
      </c>
      <c r="BR1164" s="5">
        <v>5964</v>
      </c>
    </row>
    <row r="1165" s="1" customFormat="1" spans="1:70">
      <c r="A1165" s="1">
        <v>3249308</v>
      </c>
      <c r="B1165" s="1" t="s">
        <v>2710</v>
      </c>
      <c r="D1165" s="4">
        <v>44900</v>
      </c>
      <c r="E1165" s="4">
        <v>44909</v>
      </c>
      <c r="F1165" s="7">
        <v>25147</v>
      </c>
      <c r="G1165" s="1">
        <v>36</v>
      </c>
      <c r="H1165" s="1">
        <v>10</v>
      </c>
      <c r="I1165" s="1">
        <v>49</v>
      </c>
      <c r="J1165" s="1">
        <v>9</v>
      </c>
      <c r="K1165" s="1">
        <v>53</v>
      </c>
      <c r="L1165" s="1">
        <v>28</v>
      </c>
      <c r="M1165" s="1">
        <v>0.61</v>
      </c>
      <c r="N1165" s="1">
        <v>12.4</v>
      </c>
      <c r="O1165" s="7">
        <v>25147</v>
      </c>
      <c r="P1165" s="4">
        <v>44900</v>
      </c>
      <c r="Q1165" s="4">
        <v>44909</v>
      </c>
      <c r="R1165" s="1" t="s">
        <v>80</v>
      </c>
      <c r="S1165" s="1">
        <v>54</v>
      </c>
      <c r="T1165" s="1">
        <v>13585388163</v>
      </c>
      <c r="V1165" s="1">
        <v>1</v>
      </c>
      <c r="W1165" s="1">
        <v>1</v>
      </c>
      <c r="Z1165" s="1">
        <v>1</v>
      </c>
      <c r="AG1165" s="1">
        <v>1</v>
      </c>
      <c r="AH1165" s="1">
        <v>1</v>
      </c>
      <c r="AK1165" s="1">
        <v>1</v>
      </c>
      <c r="AO1165" s="7">
        <v>25147</v>
      </c>
      <c r="AP1165" s="5">
        <v>10.6</v>
      </c>
      <c r="AQ1165" s="5">
        <v>152</v>
      </c>
      <c r="AR1165" s="5">
        <v>47.6</v>
      </c>
      <c r="AS1165" s="5" t="s">
        <v>76</v>
      </c>
      <c r="AT1165" s="5">
        <v>49</v>
      </c>
      <c r="AU1165" s="5">
        <v>58</v>
      </c>
      <c r="AV1165" s="5">
        <v>43.2</v>
      </c>
      <c r="AW1165" s="5">
        <v>3.38</v>
      </c>
      <c r="AX1165" s="5">
        <v>52</v>
      </c>
      <c r="AY1165" s="5" t="s">
        <v>125</v>
      </c>
      <c r="AZ1165" s="5">
        <v>5.7</v>
      </c>
      <c r="BA1165" s="5">
        <v>4.62</v>
      </c>
      <c r="BB1165" s="12" t="s">
        <v>76</v>
      </c>
      <c r="BC1165" s="5">
        <v>3.83</v>
      </c>
      <c r="BD1165" s="5">
        <v>152</v>
      </c>
      <c r="BE1165" s="5">
        <v>0.87</v>
      </c>
      <c r="BF1165" s="5">
        <v>3.35</v>
      </c>
      <c r="BG1165" s="15">
        <v>36.3</v>
      </c>
      <c r="BH1165" s="5">
        <v>70</v>
      </c>
      <c r="BI1165" s="5">
        <v>70</v>
      </c>
      <c r="BJ1165" s="5">
        <v>16</v>
      </c>
      <c r="BK1165" s="5">
        <v>150</v>
      </c>
      <c r="BL1165" s="5">
        <v>105</v>
      </c>
      <c r="BM1165" s="5">
        <v>80</v>
      </c>
      <c r="BN1165" s="5">
        <v>168</v>
      </c>
      <c r="BO1165" s="5">
        <f t="shared" si="18"/>
        <v>28.3446712018141</v>
      </c>
      <c r="BP1165" s="5" t="s">
        <v>121</v>
      </c>
      <c r="BQ1165" s="5" t="s">
        <v>76</v>
      </c>
      <c r="BR1165" s="5">
        <v>1299</v>
      </c>
    </row>
    <row r="1166" s="1" customFormat="1" spans="1:70">
      <c r="A1166" s="1">
        <v>3302708</v>
      </c>
      <c r="B1166" s="1" t="s">
        <v>2711</v>
      </c>
      <c r="D1166" s="4">
        <v>44994</v>
      </c>
      <c r="E1166" s="4">
        <v>45005</v>
      </c>
      <c r="F1166" s="7">
        <v>25154</v>
      </c>
      <c r="G1166" s="1">
        <v>52</v>
      </c>
      <c r="H1166" s="1">
        <v>10</v>
      </c>
      <c r="I1166" s="1">
        <v>69</v>
      </c>
      <c r="J1166" s="1">
        <v>10</v>
      </c>
      <c r="K1166" s="1">
        <v>27</v>
      </c>
      <c r="L1166" s="1">
        <v>13</v>
      </c>
      <c r="N1166" s="1">
        <v>16.1</v>
      </c>
      <c r="O1166" s="7">
        <v>25154</v>
      </c>
      <c r="P1166" s="4">
        <v>44994</v>
      </c>
      <c r="Q1166" s="4">
        <v>45005</v>
      </c>
      <c r="R1166" s="1" t="s">
        <v>80</v>
      </c>
      <c r="AO1166" s="7">
        <v>25154</v>
      </c>
      <c r="AP1166" s="5">
        <v>6</v>
      </c>
      <c r="AQ1166" s="5">
        <v>139</v>
      </c>
      <c r="AR1166" s="5">
        <v>44.7</v>
      </c>
      <c r="AS1166" s="5">
        <v>3.3</v>
      </c>
      <c r="AT1166" s="5">
        <v>20</v>
      </c>
      <c r="AU1166" s="5">
        <v>42</v>
      </c>
      <c r="AV1166" s="5">
        <v>37.2</v>
      </c>
      <c r="AW1166" s="5">
        <v>5.59</v>
      </c>
      <c r="AX1166" s="5">
        <v>88</v>
      </c>
      <c r="AY1166" s="5">
        <v>83.21</v>
      </c>
      <c r="AZ1166" s="5">
        <v>4.46</v>
      </c>
      <c r="BA1166" s="5">
        <v>3.31</v>
      </c>
      <c r="BB1166" s="12" t="s">
        <v>76</v>
      </c>
      <c r="BC1166" s="5">
        <v>5.11</v>
      </c>
      <c r="BD1166" s="5">
        <v>139</v>
      </c>
      <c r="BE1166" s="5">
        <v>0.57</v>
      </c>
      <c r="BF1166" s="5">
        <v>2.28</v>
      </c>
      <c r="BG1166" s="15">
        <v>36.5</v>
      </c>
      <c r="BH1166" s="5">
        <v>80</v>
      </c>
      <c r="BI1166" s="5">
        <v>95</v>
      </c>
      <c r="BJ1166" s="5">
        <v>16</v>
      </c>
      <c r="BK1166" s="5">
        <v>114</v>
      </c>
      <c r="BL1166" s="5">
        <v>92</v>
      </c>
      <c r="BM1166" s="5">
        <v>80</v>
      </c>
      <c r="BN1166" s="5">
        <v>172</v>
      </c>
      <c r="BO1166" s="5">
        <f t="shared" si="18"/>
        <v>27.0416441319632</v>
      </c>
      <c r="BP1166" s="5" t="s">
        <v>107</v>
      </c>
      <c r="BQ1166" s="5" t="s">
        <v>76</v>
      </c>
      <c r="BR1166" s="5">
        <v>4076</v>
      </c>
    </row>
    <row r="1167" s="1" customFormat="1" spans="1:70">
      <c r="A1167" s="1">
        <v>3515334</v>
      </c>
      <c r="B1167" s="1" t="s">
        <v>2711</v>
      </c>
      <c r="D1167" s="4">
        <v>45287</v>
      </c>
      <c r="E1167" s="4">
        <v>45294</v>
      </c>
      <c r="F1167" s="7">
        <v>25154</v>
      </c>
      <c r="G1167" s="1">
        <v>51</v>
      </c>
      <c r="H1167" s="1">
        <v>9</v>
      </c>
      <c r="I1167" s="1">
        <v>71</v>
      </c>
      <c r="J1167" s="1">
        <v>9</v>
      </c>
      <c r="K1167" s="1">
        <v>32</v>
      </c>
      <c r="L1167" s="1">
        <v>16</v>
      </c>
      <c r="N1167" s="1">
        <v>7.3</v>
      </c>
      <c r="O1167" s="7">
        <v>25154</v>
      </c>
      <c r="P1167" s="4">
        <v>45287</v>
      </c>
      <c r="Q1167" s="4">
        <v>45294</v>
      </c>
      <c r="R1167" s="1" t="s">
        <v>80</v>
      </c>
      <c r="AO1167" s="7">
        <v>25154</v>
      </c>
      <c r="AP1167" s="5">
        <v>6.3</v>
      </c>
      <c r="AQ1167" s="5">
        <v>148</v>
      </c>
      <c r="AR1167" s="5">
        <v>45.5</v>
      </c>
      <c r="AS1167" s="5" t="s">
        <v>76</v>
      </c>
      <c r="AT1167" s="5">
        <v>18</v>
      </c>
      <c r="AU1167" s="5">
        <v>16</v>
      </c>
      <c r="AV1167" s="5">
        <v>38.9</v>
      </c>
      <c r="AW1167" s="5">
        <v>6.3</v>
      </c>
      <c r="AX1167" s="5">
        <v>86</v>
      </c>
      <c r="AY1167" s="5">
        <v>85.13</v>
      </c>
      <c r="AZ1167" s="5">
        <v>4.56</v>
      </c>
      <c r="BA1167" s="5">
        <v>4.72</v>
      </c>
      <c r="BB1167" s="12" t="s">
        <v>76</v>
      </c>
      <c r="BC1167" s="5">
        <v>4.15</v>
      </c>
      <c r="BD1167" s="5">
        <v>148</v>
      </c>
      <c r="BE1167" s="5">
        <v>0.62</v>
      </c>
      <c r="BF1167" s="5">
        <v>3.06</v>
      </c>
      <c r="BG1167" s="15">
        <v>36.5</v>
      </c>
      <c r="BH1167" s="5">
        <v>66</v>
      </c>
      <c r="BI1167" s="5">
        <v>98</v>
      </c>
      <c r="BJ1167" s="5">
        <v>16</v>
      </c>
      <c r="BK1167" s="5">
        <v>115</v>
      </c>
      <c r="BL1167" s="5">
        <v>89</v>
      </c>
      <c r="BM1167" s="5">
        <v>83</v>
      </c>
      <c r="BN1167" s="5">
        <v>172</v>
      </c>
      <c r="BO1167" s="5">
        <f t="shared" si="18"/>
        <v>28.0557057869118</v>
      </c>
      <c r="BP1167" s="5" t="s">
        <v>107</v>
      </c>
      <c r="BQ1167" s="5" t="s">
        <v>76</v>
      </c>
      <c r="BR1167" s="5">
        <v>5221.02</v>
      </c>
    </row>
    <row r="1168" s="1" customFormat="1" spans="1:70">
      <c r="A1168" s="1">
        <v>3288110</v>
      </c>
      <c r="B1168" s="1" t="s">
        <v>2712</v>
      </c>
      <c r="D1168" s="4">
        <v>44974</v>
      </c>
      <c r="E1168" s="4">
        <v>44979</v>
      </c>
      <c r="F1168" s="7">
        <v>25154</v>
      </c>
      <c r="G1168" s="1">
        <v>46</v>
      </c>
      <c r="H1168" s="1">
        <v>12</v>
      </c>
      <c r="I1168" s="1">
        <v>59</v>
      </c>
      <c r="J1168" s="1">
        <v>11</v>
      </c>
      <c r="K1168" s="1">
        <v>62</v>
      </c>
      <c r="L1168" s="1">
        <v>33</v>
      </c>
      <c r="M1168" s="1">
        <v>0.74</v>
      </c>
      <c r="N1168" s="1">
        <v>10.2</v>
      </c>
      <c r="O1168" s="7">
        <v>25154</v>
      </c>
      <c r="P1168" s="4">
        <v>44974</v>
      </c>
      <c r="Q1168" s="4">
        <v>44979</v>
      </c>
      <c r="R1168" s="1" t="s">
        <v>80</v>
      </c>
      <c r="AO1168" s="7">
        <v>25154</v>
      </c>
      <c r="AP1168" s="5">
        <v>6.8</v>
      </c>
      <c r="AQ1168" s="5">
        <v>112</v>
      </c>
      <c r="AR1168" s="5">
        <v>36</v>
      </c>
      <c r="AS1168" s="5">
        <v>27.7</v>
      </c>
      <c r="AT1168" s="5">
        <v>28</v>
      </c>
      <c r="AU1168" s="5">
        <v>33</v>
      </c>
      <c r="AV1168" s="5">
        <v>38.4</v>
      </c>
      <c r="AW1168" s="5">
        <v>6.39</v>
      </c>
      <c r="AX1168" s="5">
        <v>123</v>
      </c>
      <c r="AY1168" s="5">
        <v>56.54</v>
      </c>
      <c r="AZ1168" s="5" t="s">
        <v>75</v>
      </c>
      <c r="BA1168" s="5" t="s">
        <v>76</v>
      </c>
      <c r="BB1168" s="12" t="s">
        <v>76</v>
      </c>
      <c r="BC1168" s="5">
        <v>3.86</v>
      </c>
      <c r="BD1168" s="5">
        <v>112</v>
      </c>
      <c r="BE1168" s="5" t="s">
        <v>76</v>
      </c>
      <c r="BF1168" s="5" t="s">
        <v>76</v>
      </c>
      <c r="BG1168" s="15">
        <v>36.7</v>
      </c>
      <c r="BH1168" s="5">
        <v>77</v>
      </c>
      <c r="BI1168" s="5" t="s">
        <v>76</v>
      </c>
      <c r="BJ1168" s="5">
        <v>18</v>
      </c>
      <c r="BK1168" s="5">
        <v>162</v>
      </c>
      <c r="BL1168" s="5">
        <v>77</v>
      </c>
      <c r="BM1168" s="5">
        <v>75</v>
      </c>
      <c r="BN1168" s="5">
        <v>168</v>
      </c>
      <c r="BO1168" s="5">
        <f t="shared" si="18"/>
        <v>26.5731292517007</v>
      </c>
      <c r="BP1168" s="5" t="s">
        <v>109</v>
      </c>
      <c r="BQ1168" s="5">
        <v>6.2</v>
      </c>
      <c r="BR1168" s="5">
        <v>992</v>
      </c>
    </row>
    <row r="1169" s="1" customFormat="1" spans="1:70">
      <c r="A1169" s="1">
        <v>3264555</v>
      </c>
      <c r="B1169" s="1" t="s">
        <v>2713</v>
      </c>
      <c r="D1169" s="4">
        <v>44936</v>
      </c>
      <c r="E1169" s="4">
        <v>44945</v>
      </c>
      <c r="F1169" s="7">
        <v>25158</v>
      </c>
      <c r="G1169" s="1">
        <v>40</v>
      </c>
      <c r="H1169" s="1">
        <v>10</v>
      </c>
      <c r="I1169" s="1">
        <v>52</v>
      </c>
      <c r="J1169" s="1">
        <v>9</v>
      </c>
      <c r="K1169" s="1">
        <v>39</v>
      </c>
      <c r="L1169" s="1">
        <v>19</v>
      </c>
      <c r="M1169" s="1">
        <v>1.4</v>
      </c>
      <c r="N1169" s="1">
        <v>11.5</v>
      </c>
      <c r="O1169" s="7">
        <v>25158</v>
      </c>
      <c r="P1169" s="4">
        <v>44936</v>
      </c>
      <c r="Q1169" s="4">
        <v>44945</v>
      </c>
      <c r="R1169" s="1" t="s">
        <v>80</v>
      </c>
      <c r="AO1169" s="7">
        <v>25158</v>
      </c>
      <c r="AP1169" s="5">
        <v>21.8</v>
      </c>
      <c r="AQ1169" s="5">
        <v>155</v>
      </c>
      <c r="AR1169" s="5">
        <v>49.7</v>
      </c>
      <c r="AS1169" s="5">
        <v>7.8</v>
      </c>
      <c r="AT1169" s="5">
        <v>55</v>
      </c>
      <c r="AU1169" s="5">
        <v>62</v>
      </c>
      <c r="AV1169" s="5">
        <v>40</v>
      </c>
      <c r="AW1169" s="5">
        <v>9.53</v>
      </c>
      <c r="AX1169" s="5">
        <v>73</v>
      </c>
      <c r="AY1169" s="5" t="s">
        <v>125</v>
      </c>
      <c r="AZ1169" s="5" t="s">
        <v>75</v>
      </c>
      <c r="BA1169" s="5">
        <v>2.41</v>
      </c>
      <c r="BB1169" s="12" t="s">
        <v>76</v>
      </c>
      <c r="BC1169" s="5">
        <v>5</v>
      </c>
      <c r="BD1169" s="5">
        <v>155</v>
      </c>
      <c r="BE1169" s="5">
        <v>0.6</v>
      </c>
      <c r="BF1169" s="5">
        <v>1.45</v>
      </c>
      <c r="BG1169" s="15">
        <v>36.5</v>
      </c>
      <c r="BH1169" s="5" t="s">
        <v>76</v>
      </c>
      <c r="BI1169" s="5">
        <v>58</v>
      </c>
      <c r="BJ1169" s="5">
        <v>20</v>
      </c>
      <c r="BK1169" s="5">
        <v>98</v>
      </c>
      <c r="BL1169" s="5">
        <v>62</v>
      </c>
      <c r="BM1169" s="5">
        <v>85</v>
      </c>
      <c r="BN1169" s="5">
        <v>170</v>
      </c>
      <c r="BO1169" s="5">
        <f t="shared" si="18"/>
        <v>29.4117647058824</v>
      </c>
      <c r="BP1169" s="5" t="s">
        <v>323</v>
      </c>
      <c r="BQ1169" s="5">
        <v>5.7</v>
      </c>
      <c r="BR1169" s="5">
        <v>967</v>
      </c>
    </row>
    <row r="1170" s="1" customFormat="1" spans="1:70">
      <c r="A1170" s="1">
        <v>3254386</v>
      </c>
      <c r="B1170" s="1" t="s">
        <v>2714</v>
      </c>
      <c r="D1170" s="4">
        <v>44912</v>
      </c>
      <c r="E1170" s="4">
        <v>44919</v>
      </c>
      <c r="F1170" s="7">
        <v>25179</v>
      </c>
      <c r="G1170" s="1">
        <v>32</v>
      </c>
      <c r="H1170" s="1">
        <v>9</v>
      </c>
      <c r="I1170" s="1">
        <v>45</v>
      </c>
      <c r="J1170" s="1">
        <v>9</v>
      </c>
      <c r="K1170" s="1">
        <v>67</v>
      </c>
      <c r="L1170" s="1">
        <v>38</v>
      </c>
      <c r="M1170" s="1">
        <v>1.7</v>
      </c>
      <c r="N1170" s="1">
        <v>20.7</v>
      </c>
      <c r="O1170" s="7">
        <v>25179</v>
      </c>
      <c r="P1170" s="4">
        <v>44912</v>
      </c>
      <c r="Q1170" s="4">
        <v>44919</v>
      </c>
      <c r="R1170" s="1" t="s">
        <v>73</v>
      </c>
      <c r="AO1170" s="7">
        <v>25179</v>
      </c>
      <c r="AP1170" s="5">
        <v>0.8</v>
      </c>
      <c r="AQ1170" s="5" t="s">
        <v>76</v>
      </c>
      <c r="AR1170" s="5" t="s">
        <v>76</v>
      </c>
      <c r="AS1170" s="5" t="s">
        <v>76</v>
      </c>
      <c r="AT1170" s="5">
        <v>428</v>
      </c>
      <c r="AU1170" s="5" t="s">
        <v>76</v>
      </c>
      <c r="AV1170" s="5" t="s">
        <v>76</v>
      </c>
      <c r="AW1170" s="5">
        <v>3.25</v>
      </c>
      <c r="AX1170" s="5">
        <v>49</v>
      </c>
      <c r="AY1170" s="5" t="s">
        <v>76</v>
      </c>
      <c r="AZ1170" s="5" t="s">
        <v>75</v>
      </c>
      <c r="BA1170" s="5">
        <v>4.59</v>
      </c>
      <c r="BB1170" s="12" t="s">
        <v>76</v>
      </c>
      <c r="BC1170" s="5">
        <v>4.14</v>
      </c>
      <c r="BD1170" s="5" t="s">
        <v>76</v>
      </c>
      <c r="BE1170" s="5">
        <v>1.8</v>
      </c>
      <c r="BF1170" s="5">
        <v>2.57</v>
      </c>
      <c r="BG1170" s="15">
        <v>37.4</v>
      </c>
      <c r="BH1170" s="5">
        <v>74</v>
      </c>
      <c r="BI1170" s="5">
        <v>74</v>
      </c>
      <c r="BJ1170" s="5">
        <v>17</v>
      </c>
      <c r="BK1170" s="5">
        <v>125</v>
      </c>
      <c r="BL1170" s="5">
        <v>76</v>
      </c>
      <c r="BM1170" s="5">
        <v>50</v>
      </c>
      <c r="BN1170" s="5">
        <v>158</v>
      </c>
      <c r="BO1170" s="5">
        <f t="shared" si="18"/>
        <v>20.0288415318058</v>
      </c>
      <c r="BP1170" s="5" t="s">
        <v>78</v>
      </c>
      <c r="BQ1170" s="5">
        <v>5.6</v>
      </c>
      <c r="BR1170" s="5">
        <v>973</v>
      </c>
    </row>
    <row r="1171" s="1" customFormat="1" spans="1:70">
      <c r="A1171" s="1">
        <v>3255533</v>
      </c>
      <c r="B1171" s="1" t="s">
        <v>2715</v>
      </c>
      <c r="D1171" s="4">
        <v>44919</v>
      </c>
      <c r="E1171" s="4">
        <v>44932</v>
      </c>
      <c r="F1171" s="7">
        <v>25190</v>
      </c>
      <c r="G1171" s="1">
        <v>37</v>
      </c>
      <c r="H1171" s="1">
        <v>10</v>
      </c>
      <c r="I1171" s="1">
        <v>46</v>
      </c>
      <c r="J1171" s="1">
        <v>10</v>
      </c>
      <c r="K1171" s="1">
        <v>64</v>
      </c>
      <c r="L1171" s="1">
        <v>34</v>
      </c>
      <c r="M1171" s="1">
        <v>1.11</v>
      </c>
      <c r="N1171" s="1">
        <v>10.9</v>
      </c>
      <c r="O1171" s="7">
        <v>25190</v>
      </c>
      <c r="P1171" s="4">
        <v>44919</v>
      </c>
      <c r="Q1171" s="4">
        <v>44932</v>
      </c>
      <c r="R1171" s="1" t="s">
        <v>73</v>
      </c>
      <c r="AO1171" s="7">
        <v>25190</v>
      </c>
      <c r="AP1171" s="5">
        <v>8.3</v>
      </c>
      <c r="AQ1171" s="5">
        <v>91</v>
      </c>
      <c r="AR1171" s="5">
        <v>28.4</v>
      </c>
      <c r="AS1171" s="5">
        <v>8.4</v>
      </c>
      <c r="AT1171" s="5">
        <v>24</v>
      </c>
      <c r="AU1171" s="5">
        <v>9</v>
      </c>
      <c r="AV1171" s="5">
        <v>36.3</v>
      </c>
      <c r="AW1171" s="5">
        <v>9.2</v>
      </c>
      <c r="AX1171" s="5">
        <v>176</v>
      </c>
      <c r="AY1171" s="5" t="s">
        <v>76</v>
      </c>
      <c r="AZ1171" s="5">
        <v>9.72</v>
      </c>
      <c r="BA1171" s="5">
        <v>5.43</v>
      </c>
      <c r="BB1171" s="12" t="s">
        <v>76</v>
      </c>
      <c r="BC1171" s="5">
        <v>4.54</v>
      </c>
      <c r="BD1171" s="5">
        <v>91</v>
      </c>
      <c r="BE1171" s="5" t="s">
        <v>76</v>
      </c>
      <c r="BF1171" s="5" t="s">
        <v>76</v>
      </c>
      <c r="BG1171" s="15">
        <v>36.8</v>
      </c>
      <c r="BH1171" s="5" t="s">
        <v>76</v>
      </c>
      <c r="BI1171" s="5">
        <v>89</v>
      </c>
      <c r="BJ1171" s="5">
        <v>25</v>
      </c>
      <c r="BK1171" s="5">
        <v>156</v>
      </c>
      <c r="BL1171" s="5">
        <v>77</v>
      </c>
      <c r="BM1171" s="5">
        <v>75</v>
      </c>
      <c r="BN1171" s="5">
        <v>158</v>
      </c>
      <c r="BO1171" s="5">
        <f t="shared" si="18"/>
        <v>30.0432622977087</v>
      </c>
      <c r="BP1171" s="5" t="s">
        <v>149</v>
      </c>
      <c r="BQ1171" s="5">
        <v>9.1</v>
      </c>
      <c r="BR1171" s="5">
        <v>982.9</v>
      </c>
    </row>
    <row r="1172" s="1" customFormat="1" spans="1:70">
      <c r="A1172" s="1">
        <v>3503846</v>
      </c>
      <c r="B1172" s="1" t="s">
        <v>2716</v>
      </c>
      <c r="D1172" s="4">
        <v>45272</v>
      </c>
      <c r="E1172" s="4">
        <v>45287</v>
      </c>
      <c r="F1172" s="7">
        <v>25210</v>
      </c>
      <c r="G1172" s="1">
        <v>36</v>
      </c>
      <c r="H1172" s="1">
        <v>10</v>
      </c>
      <c r="I1172" s="1">
        <v>50</v>
      </c>
      <c r="J1172" s="1">
        <v>10</v>
      </c>
      <c r="K1172" s="1">
        <v>60</v>
      </c>
      <c r="L1172" s="1">
        <v>31</v>
      </c>
      <c r="M1172" s="1">
        <v>1.14</v>
      </c>
      <c r="N1172" s="1">
        <v>10.3</v>
      </c>
      <c r="O1172" s="7">
        <v>25210</v>
      </c>
      <c r="P1172" s="4">
        <v>45272</v>
      </c>
      <c r="Q1172" s="4">
        <v>45287</v>
      </c>
      <c r="R1172" s="1" t="s">
        <v>80</v>
      </c>
      <c r="AO1172" s="7">
        <v>25210</v>
      </c>
      <c r="AP1172" s="5">
        <v>4.8</v>
      </c>
      <c r="AQ1172" s="5">
        <v>72</v>
      </c>
      <c r="AR1172" s="5">
        <v>35.7</v>
      </c>
      <c r="AS1172" s="5">
        <v>112.2</v>
      </c>
      <c r="AT1172" s="5">
        <v>15</v>
      </c>
      <c r="AU1172" s="5" t="s">
        <v>171</v>
      </c>
      <c r="AV1172" s="5">
        <v>34.8</v>
      </c>
      <c r="AW1172" s="5">
        <v>4.68</v>
      </c>
      <c r="AX1172" s="5">
        <v>69</v>
      </c>
      <c r="AY1172" s="5">
        <v>110.17</v>
      </c>
      <c r="AZ1172" s="5" t="s">
        <v>75</v>
      </c>
      <c r="BA1172" s="5" t="s">
        <v>76</v>
      </c>
      <c r="BB1172" s="12" t="s">
        <v>76</v>
      </c>
      <c r="BC1172" s="5">
        <v>4.08</v>
      </c>
      <c r="BD1172" s="5">
        <v>72</v>
      </c>
      <c r="BE1172" s="5" t="s">
        <v>76</v>
      </c>
      <c r="BF1172" s="5" t="s">
        <v>76</v>
      </c>
      <c r="BG1172" s="15">
        <v>36.6</v>
      </c>
      <c r="BH1172" s="5">
        <v>90</v>
      </c>
      <c r="BI1172" s="5">
        <v>90</v>
      </c>
      <c r="BJ1172" s="5">
        <v>14</v>
      </c>
      <c r="BK1172" s="5">
        <v>98</v>
      </c>
      <c r="BL1172" s="5">
        <v>60</v>
      </c>
      <c r="BM1172" s="5">
        <v>72</v>
      </c>
      <c r="BN1172" s="5">
        <v>162</v>
      </c>
      <c r="BO1172" s="5">
        <f t="shared" si="18"/>
        <v>27.4348422496571</v>
      </c>
      <c r="BP1172" s="5" t="s">
        <v>639</v>
      </c>
      <c r="BQ1172" s="5" t="s">
        <v>76</v>
      </c>
      <c r="BR1172" s="5">
        <v>1641</v>
      </c>
    </row>
    <row r="1173" s="1" customFormat="1" spans="1:70">
      <c r="A1173" s="1">
        <v>3510378</v>
      </c>
      <c r="B1173" s="1" t="s">
        <v>2717</v>
      </c>
      <c r="D1173" s="4">
        <v>45280</v>
      </c>
      <c r="E1173" s="4">
        <v>45287</v>
      </c>
      <c r="F1173" s="7">
        <v>25218</v>
      </c>
      <c r="G1173" s="1">
        <v>46</v>
      </c>
      <c r="H1173" s="1">
        <v>11</v>
      </c>
      <c r="I1173" s="1">
        <v>52</v>
      </c>
      <c r="J1173" s="1">
        <v>11</v>
      </c>
      <c r="K1173" s="1">
        <v>58</v>
      </c>
      <c r="L1173" s="1">
        <v>31</v>
      </c>
      <c r="M1173" s="1">
        <v>1.51</v>
      </c>
      <c r="N1173" s="1">
        <v>18.6</v>
      </c>
      <c r="O1173" s="7">
        <v>25218</v>
      </c>
      <c r="P1173" s="4">
        <v>45280</v>
      </c>
      <c r="Q1173" s="4">
        <v>45287</v>
      </c>
      <c r="R1173" s="1" t="s">
        <v>80</v>
      </c>
      <c r="AO1173" s="7">
        <v>25218</v>
      </c>
      <c r="AP1173" s="5">
        <v>5.3</v>
      </c>
      <c r="AQ1173" s="5">
        <v>86</v>
      </c>
      <c r="AR1173" s="5">
        <v>27</v>
      </c>
      <c r="AS1173" s="5" t="s">
        <v>374</v>
      </c>
      <c r="AT1173" s="5">
        <v>20</v>
      </c>
      <c r="AU1173" s="5">
        <v>21</v>
      </c>
      <c r="AV1173" s="5">
        <v>27.3</v>
      </c>
      <c r="AW1173" s="5">
        <v>18.14</v>
      </c>
      <c r="AX1173" s="5">
        <v>321</v>
      </c>
      <c r="AY1173" s="5">
        <v>20.05</v>
      </c>
      <c r="AZ1173" s="5">
        <v>5.52</v>
      </c>
      <c r="BA1173" s="5">
        <v>4.02</v>
      </c>
      <c r="BB1173" s="12" t="s">
        <v>76</v>
      </c>
      <c r="BC1173" s="5">
        <v>3.59</v>
      </c>
      <c r="BD1173" s="5">
        <v>86</v>
      </c>
      <c r="BE1173" s="5" t="s">
        <v>76</v>
      </c>
      <c r="BF1173" s="5" t="s">
        <v>76</v>
      </c>
      <c r="BG1173" s="15">
        <v>36.5</v>
      </c>
      <c r="BH1173" s="5">
        <v>80</v>
      </c>
      <c r="BI1173" s="5">
        <v>80</v>
      </c>
      <c r="BJ1173" s="5">
        <v>16</v>
      </c>
      <c r="BK1173" s="5">
        <v>147</v>
      </c>
      <c r="BL1173" s="5">
        <v>85</v>
      </c>
      <c r="BM1173" s="5">
        <v>75</v>
      </c>
      <c r="BN1173" s="5">
        <v>173</v>
      </c>
      <c r="BO1173" s="5">
        <f t="shared" si="18"/>
        <v>25.0593070266297</v>
      </c>
      <c r="BP1173" s="5" t="s">
        <v>300</v>
      </c>
      <c r="BQ1173" s="5">
        <v>7</v>
      </c>
      <c r="BR1173" s="5">
        <v>20565</v>
      </c>
    </row>
    <row r="1174" s="1" customFormat="1" spans="1:70">
      <c r="A1174" s="1">
        <v>3510611</v>
      </c>
      <c r="B1174" s="1" t="s">
        <v>2718</v>
      </c>
      <c r="D1174" s="4">
        <v>45281</v>
      </c>
      <c r="E1174" s="4">
        <v>45289</v>
      </c>
      <c r="F1174" s="7">
        <v>25253</v>
      </c>
      <c r="G1174" s="1">
        <v>45</v>
      </c>
      <c r="H1174" s="1">
        <v>9</v>
      </c>
      <c r="I1174" s="1">
        <v>62</v>
      </c>
      <c r="J1174" s="1">
        <v>9</v>
      </c>
      <c r="K1174" s="1">
        <v>31</v>
      </c>
      <c r="L1174" s="1">
        <v>15</v>
      </c>
      <c r="M1174" s="1">
        <v>0.58</v>
      </c>
      <c r="N1174" s="1">
        <v>13.2</v>
      </c>
      <c r="O1174" s="7">
        <v>25253</v>
      </c>
      <c r="P1174" s="4">
        <v>45281</v>
      </c>
      <c r="Q1174" s="4">
        <v>45289</v>
      </c>
      <c r="R1174" s="1" t="s">
        <v>80</v>
      </c>
      <c r="AO1174" s="7">
        <v>25253</v>
      </c>
      <c r="AP1174" s="5">
        <v>6.4</v>
      </c>
      <c r="AQ1174" s="5">
        <v>126</v>
      </c>
      <c r="AR1174" s="5">
        <v>39.4</v>
      </c>
      <c r="AS1174" s="5" t="s">
        <v>76</v>
      </c>
      <c r="AT1174" s="5">
        <v>18</v>
      </c>
      <c r="AU1174" s="5">
        <v>8</v>
      </c>
      <c r="AV1174" s="5">
        <v>25.9</v>
      </c>
      <c r="AW1174" s="5">
        <v>14.07</v>
      </c>
      <c r="AX1174" s="5">
        <v>157</v>
      </c>
      <c r="AY1174" s="5">
        <v>42.66</v>
      </c>
      <c r="AZ1174" s="5">
        <v>7.99</v>
      </c>
      <c r="BA1174" s="5">
        <v>7.13</v>
      </c>
      <c r="BB1174" s="12" t="s">
        <v>76</v>
      </c>
      <c r="BC1174" s="5">
        <v>4.84</v>
      </c>
      <c r="BD1174" s="5">
        <v>126</v>
      </c>
      <c r="BE1174" s="5">
        <v>0.95</v>
      </c>
      <c r="BF1174" s="5">
        <v>3.46</v>
      </c>
      <c r="BG1174" s="15">
        <v>36.2</v>
      </c>
      <c r="BH1174" s="5">
        <v>66</v>
      </c>
      <c r="BI1174" s="5">
        <v>66</v>
      </c>
      <c r="BJ1174" s="5">
        <v>18</v>
      </c>
      <c r="BK1174" s="5">
        <v>142</v>
      </c>
      <c r="BL1174" s="5">
        <v>72</v>
      </c>
      <c r="BM1174" s="5">
        <v>54</v>
      </c>
      <c r="BN1174" s="5">
        <v>174</v>
      </c>
      <c r="BO1174" s="5">
        <f t="shared" si="18"/>
        <v>17.8359096313912</v>
      </c>
      <c r="BP1174" s="5" t="s">
        <v>121</v>
      </c>
      <c r="BQ1174" s="5">
        <v>7</v>
      </c>
      <c r="BR1174" s="5">
        <v>6264</v>
      </c>
    </row>
    <row r="1175" s="1" customFormat="1" spans="1:70">
      <c r="A1175" s="1">
        <v>3282525</v>
      </c>
      <c r="B1175" s="1" t="s">
        <v>2719</v>
      </c>
      <c r="D1175" s="4">
        <v>44966</v>
      </c>
      <c r="E1175" s="4">
        <v>44991</v>
      </c>
      <c r="F1175" s="7">
        <v>25320</v>
      </c>
      <c r="G1175" s="1">
        <v>37</v>
      </c>
      <c r="H1175" s="1">
        <v>10</v>
      </c>
      <c r="I1175" s="1">
        <v>47</v>
      </c>
      <c r="J1175" s="1">
        <v>10</v>
      </c>
      <c r="K1175" s="1">
        <v>63</v>
      </c>
      <c r="L1175" s="1">
        <v>34</v>
      </c>
      <c r="M1175" s="1">
        <v>0.67</v>
      </c>
      <c r="N1175" s="1">
        <v>9.7</v>
      </c>
      <c r="O1175" s="7">
        <v>25320</v>
      </c>
      <c r="P1175" s="4">
        <v>44966</v>
      </c>
      <c r="Q1175" s="4">
        <v>44991</v>
      </c>
      <c r="R1175" s="1" t="s">
        <v>80</v>
      </c>
      <c r="AO1175" s="7">
        <v>25320</v>
      </c>
      <c r="AP1175" s="5">
        <v>9.6</v>
      </c>
      <c r="AQ1175" s="5">
        <v>147</v>
      </c>
      <c r="AR1175" s="5">
        <v>46.6</v>
      </c>
      <c r="AS1175" s="5">
        <v>69.4</v>
      </c>
      <c r="AT1175" s="5">
        <v>57</v>
      </c>
      <c r="AU1175" s="5">
        <v>99</v>
      </c>
      <c r="AV1175" s="5">
        <v>46.6</v>
      </c>
      <c r="AW1175" s="5">
        <v>9.87</v>
      </c>
      <c r="AX1175" s="5">
        <v>71</v>
      </c>
      <c r="AY1175" s="5" t="s">
        <v>125</v>
      </c>
      <c r="AZ1175" s="5" t="s">
        <v>75</v>
      </c>
      <c r="BA1175" s="5" t="s">
        <v>76</v>
      </c>
      <c r="BB1175" s="12" t="s">
        <v>76</v>
      </c>
      <c r="BC1175" s="5">
        <v>4.84</v>
      </c>
      <c r="BD1175" s="5">
        <v>147</v>
      </c>
      <c r="BE1175" s="5" t="s">
        <v>76</v>
      </c>
      <c r="BF1175" s="5" t="s">
        <v>76</v>
      </c>
      <c r="BG1175" s="15">
        <v>36.5</v>
      </c>
      <c r="BH1175" s="5">
        <v>75</v>
      </c>
      <c r="BI1175" s="5">
        <v>75</v>
      </c>
      <c r="BJ1175" s="5">
        <v>18</v>
      </c>
      <c r="BK1175" s="5">
        <v>150</v>
      </c>
      <c r="BL1175" s="5">
        <v>80</v>
      </c>
      <c r="BM1175" s="5">
        <v>76</v>
      </c>
      <c r="BN1175" s="5">
        <v>165</v>
      </c>
      <c r="BO1175" s="5">
        <f t="shared" si="18"/>
        <v>27.9155188246097</v>
      </c>
      <c r="BP1175" s="5" t="s">
        <v>1450</v>
      </c>
      <c r="BQ1175" s="5">
        <v>6</v>
      </c>
      <c r="BR1175" s="5">
        <v>911</v>
      </c>
    </row>
    <row r="1176" s="1" customFormat="1" spans="1:70">
      <c r="A1176" s="1">
        <v>3269483</v>
      </c>
      <c r="B1176" s="1" t="s">
        <v>2720</v>
      </c>
      <c r="D1176" s="4">
        <v>44949</v>
      </c>
      <c r="E1176" s="4">
        <v>44960</v>
      </c>
      <c r="F1176" s="7">
        <v>25372</v>
      </c>
      <c r="G1176" s="1">
        <v>43</v>
      </c>
      <c r="H1176" s="1">
        <v>10</v>
      </c>
      <c r="I1176" s="1">
        <v>57</v>
      </c>
      <c r="J1176" s="1">
        <v>9</v>
      </c>
      <c r="K1176" s="1">
        <v>35</v>
      </c>
      <c r="L1176" s="1">
        <v>17</v>
      </c>
      <c r="M1176" s="1">
        <v>2.11</v>
      </c>
      <c r="N1176" s="1">
        <v>39.3</v>
      </c>
      <c r="O1176" s="7">
        <v>25372</v>
      </c>
      <c r="P1176" s="4">
        <v>44949</v>
      </c>
      <c r="Q1176" s="4">
        <v>44960</v>
      </c>
      <c r="R1176" s="1" t="s">
        <v>80</v>
      </c>
      <c r="AO1176" s="7">
        <v>25372</v>
      </c>
      <c r="AP1176" s="5">
        <v>8</v>
      </c>
      <c r="AQ1176" s="5">
        <v>130</v>
      </c>
      <c r="AR1176" s="5">
        <v>41.2</v>
      </c>
      <c r="AS1176" s="5">
        <v>23.5</v>
      </c>
      <c r="AT1176" s="5">
        <v>21</v>
      </c>
      <c r="AU1176" s="5">
        <v>9</v>
      </c>
      <c r="AV1176" s="5">
        <v>32</v>
      </c>
      <c r="AW1176" s="5">
        <v>9.04</v>
      </c>
      <c r="AX1176" s="5">
        <v>137</v>
      </c>
      <c r="AY1176" s="5">
        <v>52.31</v>
      </c>
      <c r="AZ1176" s="5" t="s">
        <v>804</v>
      </c>
      <c r="BA1176" s="5">
        <v>4.74</v>
      </c>
      <c r="BB1176" s="12" t="s">
        <v>76</v>
      </c>
      <c r="BC1176" s="5">
        <v>4.38</v>
      </c>
      <c r="BD1176" s="5">
        <v>130</v>
      </c>
      <c r="BE1176" s="5">
        <v>0.75</v>
      </c>
      <c r="BF1176" s="5">
        <v>3.06</v>
      </c>
      <c r="BG1176" s="15">
        <v>36.6</v>
      </c>
      <c r="BH1176" s="5" t="s">
        <v>76</v>
      </c>
      <c r="BI1176" s="5">
        <v>94</v>
      </c>
      <c r="BJ1176" s="5">
        <v>18</v>
      </c>
      <c r="BK1176" s="5">
        <v>131</v>
      </c>
      <c r="BL1176" s="5">
        <v>94</v>
      </c>
      <c r="BM1176" s="5">
        <v>85</v>
      </c>
      <c r="BN1176" s="5">
        <v>174</v>
      </c>
      <c r="BO1176" s="5">
        <f t="shared" si="18"/>
        <v>28.075042938301</v>
      </c>
      <c r="BP1176" s="5" t="s">
        <v>107</v>
      </c>
      <c r="BQ1176" s="5">
        <v>10.7</v>
      </c>
      <c r="BR1176" s="5">
        <v>8841</v>
      </c>
    </row>
    <row r="1177" s="1" customFormat="1" spans="1:70">
      <c r="A1177" s="1" t="s">
        <v>2721</v>
      </c>
      <c r="B1177" s="1" t="s">
        <v>2722</v>
      </c>
      <c r="D1177" s="4">
        <v>45032</v>
      </c>
      <c r="E1177" s="4">
        <v>45045</v>
      </c>
      <c r="F1177" s="7">
        <v>25372</v>
      </c>
      <c r="G1177" s="1">
        <v>33</v>
      </c>
      <c r="H1177" s="1">
        <v>10</v>
      </c>
      <c r="I1177" s="1">
        <v>49</v>
      </c>
      <c r="J1177" s="1">
        <v>10</v>
      </c>
      <c r="K1177" s="1">
        <v>60</v>
      </c>
      <c r="L1177" s="1">
        <v>32</v>
      </c>
      <c r="M1177" s="1">
        <v>0.74</v>
      </c>
      <c r="N1177" s="1">
        <v>11.2</v>
      </c>
      <c r="O1177" s="7">
        <v>25372</v>
      </c>
      <c r="P1177" s="4">
        <v>45032</v>
      </c>
      <c r="Q1177" s="4">
        <v>45045</v>
      </c>
      <c r="R1177" s="1" t="s">
        <v>73</v>
      </c>
      <c r="AO1177" s="7">
        <v>25372</v>
      </c>
      <c r="AP1177" s="5" t="s">
        <v>2723</v>
      </c>
      <c r="AQ1177" s="5" t="s">
        <v>336</v>
      </c>
      <c r="AR1177" s="5" t="s">
        <v>2724</v>
      </c>
      <c r="AS1177" s="5" t="s">
        <v>81</v>
      </c>
      <c r="AT1177" s="5" t="s">
        <v>182</v>
      </c>
      <c r="AU1177" s="5" t="s">
        <v>171</v>
      </c>
      <c r="AV1177" s="5" t="s">
        <v>2725</v>
      </c>
      <c r="AW1177" s="5" t="s">
        <v>2726</v>
      </c>
      <c r="AX1177" s="5" t="s">
        <v>2727</v>
      </c>
      <c r="AY1177" s="5" t="s">
        <v>2728</v>
      </c>
      <c r="AZ1177" s="5" t="s">
        <v>75</v>
      </c>
      <c r="BA1177" s="5" t="s">
        <v>647</v>
      </c>
      <c r="BB1177" s="12" t="s">
        <v>76</v>
      </c>
      <c r="BC1177" s="5" t="s">
        <v>4</v>
      </c>
      <c r="BD1177" s="5" t="s">
        <v>336</v>
      </c>
      <c r="BE1177" s="5" t="s">
        <v>76</v>
      </c>
      <c r="BF1177" s="5" t="s">
        <v>76</v>
      </c>
      <c r="BG1177" s="15">
        <v>36.6</v>
      </c>
      <c r="BH1177" s="5" t="s">
        <v>222</v>
      </c>
      <c r="BI1177" s="5" t="s">
        <v>222</v>
      </c>
      <c r="BJ1177" s="5" t="s">
        <v>101</v>
      </c>
      <c r="BK1177" s="5" t="s">
        <v>740</v>
      </c>
      <c r="BL1177" s="5" t="s">
        <v>336</v>
      </c>
      <c r="BM1177" s="5" t="s">
        <v>2729</v>
      </c>
      <c r="BN1177" s="5">
        <v>155</v>
      </c>
      <c r="BO1177" s="5">
        <f t="shared" si="18"/>
        <v>23.1009365244537</v>
      </c>
      <c r="BP1177" s="5" t="s">
        <v>353</v>
      </c>
      <c r="BQ1177" s="5" t="s">
        <v>76</v>
      </c>
      <c r="BR1177" s="5">
        <v>2490</v>
      </c>
    </row>
    <row r="1178" s="1" customFormat="1" spans="1:70">
      <c r="A1178" s="1">
        <v>3488955</v>
      </c>
      <c r="B1178" s="1" t="s">
        <v>2730</v>
      </c>
      <c r="D1178" s="4">
        <v>45252</v>
      </c>
      <c r="E1178" s="4">
        <v>45267</v>
      </c>
      <c r="F1178" s="7">
        <v>25380</v>
      </c>
      <c r="G1178" s="1">
        <v>36</v>
      </c>
      <c r="H1178" s="1">
        <v>11</v>
      </c>
      <c r="I1178" s="1">
        <v>50</v>
      </c>
      <c r="J1178" s="1">
        <v>10</v>
      </c>
      <c r="K1178" s="1">
        <v>60</v>
      </c>
      <c r="L1178" s="1">
        <v>31</v>
      </c>
      <c r="M1178" s="1">
        <v>0.73</v>
      </c>
      <c r="N1178" s="1">
        <v>7.7</v>
      </c>
      <c r="O1178" s="7">
        <v>25380</v>
      </c>
      <c r="P1178" s="4">
        <v>45252</v>
      </c>
      <c r="Q1178" s="4">
        <v>45267</v>
      </c>
      <c r="R1178" s="1" t="s">
        <v>80</v>
      </c>
      <c r="AO1178" s="7">
        <v>25380</v>
      </c>
      <c r="AP1178" s="5">
        <v>8.6</v>
      </c>
      <c r="AQ1178" s="5">
        <v>93</v>
      </c>
      <c r="AR1178" s="5">
        <v>51</v>
      </c>
      <c r="AS1178" s="5">
        <v>41.4</v>
      </c>
      <c r="AT1178" s="5">
        <v>48</v>
      </c>
      <c r="AU1178" s="5">
        <v>88</v>
      </c>
      <c r="AV1178" s="5">
        <v>46.2</v>
      </c>
      <c r="AW1178" s="5">
        <v>8.45</v>
      </c>
      <c r="AX1178" s="5">
        <v>95</v>
      </c>
      <c r="AY1178" s="5" t="s">
        <v>125</v>
      </c>
      <c r="AZ1178" s="5" t="s">
        <v>75</v>
      </c>
      <c r="BA1178" s="5" t="s">
        <v>76</v>
      </c>
      <c r="BB1178" s="12" t="s">
        <v>76</v>
      </c>
      <c r="BC1178" s="5">
        <v>4.66</v>
      </c>
      <c r="BD1178" s="5">
        <v>93</v>
      </c>
      <c r="BE1178" s="5" t="s">
        <v>76</v>
      </c>
      <c r="BF1178" s="5" t="s">
        <v>76</v>
      </c>
      <c r="BG1178" s="15">
        <v>36.2</v>
      </c>
      <c r="BH1178" s="5">
        <v>88</v>
      </c>
      <c r="BI1178" s="5">
        <v>88</v>
      </c>
      <c r="BJ1178" s="5">
        <v>16</v>
      </c>
      <c r="BK1178" s="5">
        <v>125</v>
      </c>
      <c r="BL1178" s="5">
        <v>90</v>
      </c>
      <c r="BM1178" s="5">
        <v>70</v>
      </c>
      <c r="BN1178" s="5">
        <v>169</v>
      </c>
      <c r="BO1178" s="5">
        <f t="shared" si="18"/>
        <v>24.5089457652043</v>
      </c>
      <c r="BP1178" s="5" t="s">
        <v>1450</v>
      </c>
      <c r="BQ1178" s="5">
        <v>5.8</v>
      </c>
      <c r="BR1178" s="5">
        <v>931</v>
      </c>
    </row>
    <row r="1179" s="1" customFormat="1" spans="1:70">
      <c r="A1179" s="1">
        <v>3279963</v>
      </c>
      <c r="B1179" s="1" t="s">
        <v>2731</v>
      </c>
      <c r="D1179" s="4">
        <v>44963</v>
      </c>
      <c r="E1179" s="4">
        <v>44987</v>
      </c>
      <c r="F1179" s="7">
        <v>25406</v>
      </c>
      <c r="G1179" s="1">
        <v>32</v>
      </c>
      <c r="H1179" s="1">
        <v>11</v>
      </c>
      <c r="I1179" s="1">
        <v>38</v>
      </c>
      <c r="J1179" s="1">
        <v>11</v>
      </c>
      <c r="K1179" s="1">
        <v>66</v>
      </c>
      <c r="L1179" s="1">
        <v>36</v>
      </c>
      <c r="M1179" s="1">
        <v>0.67</v>
      </c>
      <c r="N1179" s="1">
        <v>7.9</v>
      </c>
      <c r="O1179" s="7">
        <v>25406</v>
      </c>
      <c r="P1179" s="4">
        <v>44963</v>
      </c>
      <c r="Q1179" s="4">
        <v>44987</v>
      </c>
      <c r="R1179" s="1" t="s">
        <v>73</v>
      </c>
      <c r="AO1179" s="7">
        <v>25406</v>
      </c>
      <c r="AP1179" s="5">
        <v>8.5</v>
      </c>
      <c r="AQ1179" s="5">
        <v>95</v>
      </c>
      <c r="AR1179" s="5">
        <v>31</v>
      </c>
      <c r="AS1179" s="5">
        <v>9.1</v>
      </c>
      <c r="AT1179" s="5">
        <v>36</v>
      </c>
      <c r="AU1179" s="5">
        <v>7</v>
      </c>
      <c r="AV1179" s="5">
        <v>23.3</v>
      </c>
      <c r="AW1179" s="5">
        <v>6.53</v>
      </c>
      <c r="AX1179" s="5">
        <v>58</v>
      </c>
      <c r="AY1179" s="5" t="s">
        <v>125</v>
      </c>
      <c r="AZ1179" s="5" t="s">
        <v>75</v>
      </c>
      <c r="BA1179" s="5">
        <v>5.97</v>
      </c>
      <c r="BB1179" s="12" t="s">
        <v>76</v>
      </c>
      <c r="BC1179" s="5" t="s">
        <v>4</v>
      </c>
      <c r="BD1179" s="5">
        <v>95</v>
      </c>
      <c r="BE1179" s="5" t="s">
        <v>76</v>
      </c>
      <c r="BF1179" s="5" t="s">
        <v>76</v>
      </c>
      <c r="BG1179" s="15">
        <v>36.8</v>
      </c>
      <c r="BH1179" s="5">
        <v>78</v>
      </c>
      <c r="BI1179" s="5" t="s">
        <v>76</v>
      </c>
      <c r="BJ1179" s="5">
        <v>16</v>
      </c>
      <c r="BK1179" s="5">
        <v>112</v>
      </c>
      <c r="BL1179" s="5">
        <v>67</v>
      </c>
      <c r="BM1179" s="5">
        <v>55</v>
      </c>
      <c r="BN1179" s="5">
        <v>160</v>
      </c>
      <c r="BO1179" s="5">
        <f t="shared" si="18"/>
        <v>21.484375</v>
      </c>
      <c r="BP1179" s="5" t="s">
        <v>415</v>
      </c>
      <c r="BQ1179" s="5" t="s">
        <v>76</v>
      </c>
      <c r="BR1179" s="5">
        <v>2237</v>
      </c>
    </row>
    <row r="1180" s="1" customFormat="1" spans="1:70">
      <c r="A1180" s="1">
        <v>3281490</v>
      </c>
      <c r="B1180" s="1" t="s">
        <v>2732</v>
      </c>
      <c r="D1180" s="4">
        <v>44977</v>
      </c>
      <c r="E1180" s="4">
        <v>44987</v>
      </c>
      <c r="F1180" s="7">
        <v>25479</v>
      </c>
      <c r="G1180" s="1">
        <v>58</v>
      </c>
      <c r="H1180" s="1">
        <v>9</v>
      </c>
      <c r="I1180" s="1">
        <v>52</v>
      </c>
      <c r="J1180" s="1">
        <v>9</v>
      </c>
      <c r="K1180" s="1">
        <v>57</v>
      </c>
      <c r="L1180" s="1">
        <v>31</v>
      </c>
      <c r="N1180" s="1">
        <v>7.8</v>
      </c>
      <c r="O1180" s="7">
        <v>25479</v>
      </c>
      <c r="P1180" s="4">
        <v>44977</v>
      </c>
      <c r="Q1180" s="4">
        <v>44987</v>
      </c>
      <c r="R1180" s="1" t="s">
        <v>73</v>
      </c>
      <c r="AO1180" s="7">
        <v>25479</v>
      </c>
      <c r="AP1180" s="5">
        <v>9.3</v>
      </c>
      <c r="AQ1180" s="5">
        <v>104</v>
      </c>
      <c r="AR1180" s="5">
        <v>41</v>
      </c>
      <c r="AS1180" s="5">
        <v>52.8</v>
      </c>
      <c r="AT1180" s="5">
        <v>75</v>
      </c>
      <c r="AU1180" s="5">
        <v>8</v>
      </c>
      <c r="AV1180" s="5">
        <v>39.1</v>
      </c>
      <c r="AW1180" s="5">
        <v>5.92</v>
      </c>
      <c r="AX1180" s="5">
        <v>71</v>
      </c>
      <c r="AY1180" s="5">
        <v>79.4</v>
      </c>
      <c r="AZ1180" s="5">
        <v>6.39</v>
      </c>
      <c r="BA1180" s="5">
        <v>3.2</v>
      </c>
      <c r="BB1180" s="12" t="s">
        <v>76</v>
      </c>
      <c r="BC1180" s="5">
        <v>4.45</v>
      </c>
      <c r="BD1180" s="5">
        <v>104</v>
      </c>
      <c r="BE1180" s="5">
        <v>0.89</v>
      </c>
      <c r="BF1180" s="5">
        <v>1.63</v>
      </c>
      <c r="BG1180" s="15">
        <v>36.3</v>
      </c>
      <c r="BH1180" s="5">
        <v>112</v>
      </c>
      <c r="BI1180" s="5">
        <v>112</v>
      </c>
      <c r="BJ1180" s="5">
        <v>20</v>
      </c>
      <c r="BK1180" s="5">
        <v>115</v>
      </c>
      <c r="BL1180" s="5">
        <v>78</v>
      </c>
      <c r="BM1180" s="5">
        <v>70</v>
      </c>
      <c r="BN1180" s="5">
        <v>168</v>
      </c>
      <c r="BO1180" s="5">
        <f t="shared" si="18"/>
        <v>24.8015873015873</v>
      </c>
      <c r="BP1180" s="5" t="s">
        <v>161</v>
      </c>
      <c r="BQ1180" s="5">
        <v>6.1</v>
      </c>
      <c r="BR1180" s="5">
        <v>1987</v>
      </c>
    </row>
    <row r="1181" s="1" customFormat="1" spans="1:70">
      <c r="A1181" s="1">
        <v>3315542</v>
      </c>
      <c r="B1181" s="1" t="s">
        <v>2733</v>
      </c>
      <c r="D1181" s="4">
        <v>45012</v>
      </c>
      <c r="E1181" s="4">
        <v>45015</v>
      </c>
      <c r="F1181" s="7">
        <v>25481</v>
      </c>
      <c r="G1181" s="1">
        <v>50</v>
      </c>
      <c r="H1181" s="1">
        <v>10</v>
      </c>
      <c r="I1181" s="1">
        <v>52</v>
      </c>
      <c r="J1181" s="1">
        <v>10</v>
      </c>
      <c r="K1181" s="1">
        <v>66</v>
      </c>
      <c r="L1181" s="1">
        <v>36</v>
      </c>
      <c r="N1181" s="1">
        <v>11.5</v>
      </c>
      <c r="O1181" s="7">
        <v>25481</v>
      </c>
      <c r="P1181" s="4">
        <v>45012</v>
      </c>
      <c r="Q1181" s="4">
        <v>45015</v>
      </c>
      <c r="R1181" s="1" t="s">
        <v>80</v>
      </c>
      <c r="AO1181" s="7">
        <v>25481</v>
      </c>
      <c r="AP1181" s="5">
        <v>6.4</v>
      </c>
      <c r="AQ1181" s="5">
        <v>96</v>
      </c>
      <c r="AR1181" s="5">
        <v>32.6</v>
      </c>
      <c r="AS1181" s="5">
        <v>2.5</v>
      </c>
      <c r="AT1181" s="5">
        <v>25</v>
      </c>
      <c r="AU1181" s="5">
        <v>20</v>
      </c>
      <c r="AV1181" s="5">
        <v>46.5</v>
      </c>
      <c r="AW1181" s="5">
        <v>13.95</v>
      </c>
      <c r="AX1181" s="5">
        <v>154</v>
      </c>
      <c r="AY1181" s="5">
        <v>43.79</v>
      </c>
      <c r="AZ1181" s="5" t="s">
        <v>75</v>
      </c>
      <c r="BA1181" s="5">
        <v>4.31</v>
      </c>
      <c r="BB1181" s="12" t="s">
        <v>76</v>
      </c>
      <c r="BC1181" s="5" t="s">
        <v>4</v>
      </c>
      <c r="BD1181" s="5">
        <v>96</v>
      </c>
      <c r="BE1181" s="5">
        <v>0.93</v>
      </c>
      <c r="BF1181" s="5">
        <v>2.25</v>
      </c>
      <c r="BG1181" s="15">
        <v>36.5</v>
      </c>
      <c r="BH1181" s="5">
        <v>87</v>
      </c>
      <c r="BI1181" s="5">
        <v>87</v>
      </c>
      <c r="BJ1181" s="5">
        <v>20</v>
      </c>
      <c r="BK1181" s="5">
        <v>114</v>
      </c>
      <c r="BL1181" s="5">
        <v>70</v>
      </c>
      <c r="BM1181" s="5">
        <v>88</v>
      </c>
      <c r="BN1181" s="5">
        <v>170</v>
      </c>
      <c r="BO1181" s="5">
        <f t="shared" si="18"/>
        <v>30.4498269896194</v>
      </c>
      <c r="BP1181" s="5" t="s">
        <v>415</v>
      </c>
      <c r="BQ1181" s="5">
        <v>7.1</v>
      </c>
      <c r="BR1181" s="5">
        <v>921</v>
      </c>
    </row>
    <row r="1182" s="1" customFormat="1" spans="1:70">
      <c r="A1182" s="1">
        <v>3260733</v>
      </c>
      <c r="B1182" s="1" t="s">
        <v>2734</v>
      </c>
      <c r="D1182" s="4">
        <v>44929</v>
      </c>
      <c r="E1182" s="4">
        <v>44937</v>
      </c>
      <c r="F1182" s="7">
        <v>25482</v>
      </c>
      <c r="G1182" s="1">
        <v>33</v>
      </c>
      <c r="H1182" s="1">
        <v>9</v>
      </c>
      <c r="I1182" s="1">
        <v>42</v>
      </c>
      <c r="J1182" s="1">
        <v>8</v>
      </c>
      <c r="K1182" s="1">
        <v>56</v>
      </c>
      <c r="L1182" s="1">
        <v>29</v>
      </c>
      <c r="M1182" s="1">
        <v>1.38</v>
      </c>
      <c r="N1182" s="1">
        <v>8.2</v>
      </c>
      <c r="O1182" s="7">
        <v>25482</v>
      </c>
      <c r="P1182" s="4">
        <v>44929</v>
      </c>
      <c r="Q1182" s="4">
        <v>44937</v>
      </c>
      <c r="R1182" s="1" t="s">
        <v>73</v>
      </c>
      <c r="AO1182" s="7">
        <v>25482</v>
      </c>
      <c r="AP1182" s="5">
        <v>6.7</v>
      </c>
      <c r="AQ1182" s="5">
        <v>125</v>
      </c>
      <c r="AR1182" s="5">
        <v>41.9</v>
      </c>
      <c r="AS1182" s="5">
        <v>44.8</v>
      </c>
      <c r="AT1182" s="5">
        <v>23</v>
      </c>
      <c r="AU1182" s="5">
        <v>8</v>
      </c>
      <c r="AV1182" s="5">
        <v>34.7</v>
      </c>
      <c r="AW1182" s="5">
        <v>3.08</v>
      </c>
      <c r="AX1182" s="5">
        <v>33</v>
      </c>
      <c r="AY1182" s="5" t="s">
        <v>125</v>
      </c>
      <c r="AZ1182" s="5">
        <v>8.4</v>
      </c>
      <c r="BA1182" s="5" t="s">
        <v>76</v>
      </c>
      <c r="BB1182" s="12" t="s">
        <v>76</v>
      </c>
      <c r="BC1182" s="5">
        <v>4.24</v>
      </c>
      <c r="BD1182" s="5">
        <v>125</v>
      </c>
      <c r="BE1182" s="5" t="s">
        <v>76</v>
      </c>
      <c r="BF1182" s="5" t="s">
        <v>76</v>
      </c>
      <c r="BG1182" s="15">
        <v>36.5</v>
      </c>
      <c r="BH1182" s="5">
        <v>80</v>
      </c>
      <c r="BI1182" s="5" t="s">
        <v>76</v>
      </c>
      <c r="BJ1182" s="5">
        <v>20</v>
      </c>
      <c r="BK1182" s="5">
        <v>102</v>
      </c>
      <c r="BL1182" s="5">
        <v>78</v>
      </c>
      <c r="BM1182" s="5">
        <v>40</v>
      </c>
      <c r="BN1182" s="5">
        <v>160</v>
      </c>
      <c r="BO1182" s="5">
        <f t="shared" si="18"/>
        <v>15.625</v>
      </c>
      <c r="BP1182" s="5" t="s">
        <v>168</v>
      </c>
      <c r="BQ1182" s="5" t="s">
        <v>76</v>
      </c>
      <c r="BR1182" s="5">
        <v>1591</v>
      </c>
    </row>
    <row r="1183" s="1" customFormat="1" spans="1:70">
      <c r="A1183" s="1">
        <v>3503891</v>
      </c>
      <c r="B1183" s="1" t="s">
        <v>2735</v>
      </c>
      <c r="D1183" s="4">
        <v>45273</v>
      </c>
      <c r="E1183" s="4">
        <v>45275</v>
      </c>
      <c r="F1183" s="7">
        <v>25492</v>
      </c>
      <c r="G1183" s="1">
        <v>34</v>
      </c>
      <c r="H1183" s="1">
        <v>8</v>
      </c>
      <c r="I1183" s="1">
        <v>49</v>
      </c>
      <c r="J1183" s="1">
        <v>7</v>
      </c>
      <c r="K1183" s="1">
        <v>39</v>
      </c>
      <c r="L1183" s="1">
        <v>19</v>
      </c>
      <c r="M1183" s="1">
        <v>2.14</v>
      </c>
      <c r="N1183" s="1">
        <v>8.6</v>
      </c>
      <c r="O1183" s="7">
        <v>25492</v>
      </c>
      <c r="P1183" s="4">
        <v>45273</v>
      </c>
      <c r="Q1183" s="4">
        <v>45275</v>
      </c>
      <c r="R1183" s="1" t="s">
        <v>73</v>
      </c>
      <c r="AO1183" s="7">
        <v>25492</v>
      </c>
      <c r="AP1183" s="5">
        <v>7743.8</v>
      </c>
      <c r="AQ1183" s="5">
        <v>98</v>
      </c>
      <c r="AR1183" s="5">
        <v>39.4</v>
      </c>
      <c r="AS1183" s="5">
        <v>279.4</v>
      </c>
      <c r="AT1183" s="5">
        <v>25</v>
      </c>
      <c r="AU1183" s="5">
        <v>44</v>
      </c>
      <c r="AV1183" s="5">
        <v>32</v>
      </c>
      <c r="AW1183" s="5">
        <v>11.11</v>
      </c>
      <c r="AX1183" s="5">
        <v>80</v>
      </c>
      <c r="AY1183" s="5">
        <v>94.24</v>
      </c>
      <c r="AZ1183" s="5">
        <v>8.9</v>
      </c>
      <c r="BA1183" s="5" t="s">
        <v>76</v>
      </c>
      <c r="BB1183" s="12" t="s">
        <v>76</v>
      </c>
      <c r="BC1183" s="5">
        <v>5.02</v>
      </c>
      <c r="BD1183" s="5">
        <v>98</v>
      </c>
      <c r="BE1183" s="5" t="s">
        <v>76</v>
      </c>
      <c r="BF1183" s="5" t="s">
        <v>76</v>
      </c>
      <c r="BG1183" s="15">
        <v>36.6</v>
      </c>
      <c r="BH1183" s="5">
        <v>68</v>
      </c>
      <c r="BI1183" s="5">
        <v>68</v>
      </c>
      <c r="BJ1183" s="5">
        <v>16</v>
      </c>
      <c r="BK1183" s="5">
        <v>104</v>
      </c>
      <c r="BL1183" s="5">
        <v>62</v>
      </c>
      <c r="BM1183" s="5">
        <v>43</v>
      </c>
      <c r="BN1183" s="5">
        <v>155</v>
      </c>
      <c r="BO1183" s="5">
        <f t="shared" si="18"/>
        <v>17.89802289282</v>
      </c>
      <c r="BP1183" s="5" t="s">
        <v>85</v>
      </c>
      <c r="BQ1183" s="5" t="s">
        <v>76</v>
      </c>
      <c r="BR1183" s="5">
        <v>25096</v>
      </c>
    </row>
    <row r="1184" s="1" customFormat="1" spans="1:70">
      <c r="A1184" s="1">
        <v>3270915</v>
      </c>
      <c r="B1184" s="1" t="s">
        <v>2736</v>
      </c>
      <c r="D1184" s="4">
        <v>44952</v>
      </c>
      <c r="E1184" s="4">
        <v>44959</v>
      </c>
      <c r="F1184" s="7">
        <v>25576</v>
      </c>
      <c r="G1184" s="1">
        <v>35</v>
      </c>
      <c r="H1184" s="1">
        <v>11</v>
      </c>
      <c r="I1184" s="1">
        <v>46</v>
      </c>
      <c r="J1184" s="1">
        <v>11</v>
      </c>
      <c r="K1184" s="1">
        <v>64</v>
      </c>
      <c r="L1184" s="1">
        <v>35</v>
      </c>
      <c r="M1184" s="1">
        <v>0.91</v>
      </c>
      <c r="N1184" s="1">
        <v>14.9</v>
      </c>
      <c r="O1184" s="7">
        <v>25576</v>
      </c>
      <c r="P1184" s="4">
        <v>44952</v>
      </c>
      <c r="Q1184" s="4">
        <v>44959</v>
      </c>
      <c r="R1184" s="1" t="s">
        <v>80</v>
      </c>
      <c r="AO1184" s="7">
        <v>25576</v>
      </c>
      <c r="AP1184" s="5">
        <v>1.3</v>
      </c>
      <c r="AQ1184" s="5" t="s">
        <v>76</v>
      </c>
      <c r="AR1184" s="5" t="s">
        <v>76</v>
      </c>
      <c r="AS1184" s="5" t="s">
        <v>76</v>
      </c>
      <c r="AT1184" s="5">
        <v>17</v>
      </c>
      <c r="AU1184" s="5">
        <v>10</v>
      </c>
      <c r="AV1184" s="5">
        <v>18.4</v>
      </c>
      <c r="AW1184" s="5">
        <v>13.87</v>
      </c>
      <c r="AX1184" s="5">
        <v>384</v>
      </c>
      <c r="AY1184" s="5">
        <v>15.78</v>
      </c>
      <c r="AZ1184" s="5" t="s">
        <v>375</v>
      </c>
      <c r="BA1184" s="5" t="s">
        <v>76</v>
      </c>
      <c r="BB1184" s="12" t="s">
        <v>76</v>
      </c>
      <c r="BC1184" s="5" t="s">
        <v>4</v>
      </c>
      <c r="BD1184" s="5" t="s">
        <v>76</v>
      </c>
      <c r="BE1184" s="5" t="s">
        <v>76</v>
      </c>
      <c r="BF1184" s="5" t="s">
        <v>76</v>
      </c>
      <c r="BG1184" s="15">
        <v>36.5</v>
      </c>
      <c r="BH1184" s="5">
        <v>103</v>
      </c>
      <c r="BI1184" s="5" t="s">
        <v>76</v>
      </c>
      <c r="BJ1184" s="5">
        <v>15</v>
      </c>
      <c r="BK1184" s="5">
        <v>190</v>
      </c>
      <c r="BL1184" s="5">
        <v>121</v>
      </c>
      <c r="BM1184" s="5">
        <v>90</v>
      </c>
      <c r="BN1184" s="5">
        <v>175</v>
      </c>
      <c r="BO1184" s="5">
        <f t="shared" si="18"/>
        <v>29.3877551020408</v>
      </c>
      <c r="BP1184" s="5" t="s">
        <v>415</v>
      </c>
      <c r="BQ1184" s="5" t="s">
        <v>76</v>
      </c>
      <c r="BR1184" s="5">
        <v>2432</v>
      </c>
    </row>
    <row r="1185" s="1" customFormat="1" spans="1:70">
      <c r="A1185" s="1">
        <v>3303264</v>
      </c>
      <c r="B1185" s="1" t="s">
        <v>2737</v>
      </c>
      <c r="D1185" s="4">
        <v>44994</v>
      </c>
      <c r="E1185" s="4">
        <v>45011</v>
      </c>
      <c r="F1185" s="7">
        <v>25585</v>
      </c>
      <c r="G1185" s="1">
        <v>44</v>
      </c>
      <c r="H1185" s="1">
        <v>9</v>
      </c>
      <c r="I1185" s="1">
        <v>65</v>
      </c>
      <c r="J1185" s="1">
        <v>9</v>
      </c>
      <c r="K1185" s="1">
        <v>20</v>
      </c>
      <c r="L1185" s="1">
        <v>9</v>
      </c>
      <c r="M1185" s="1">
        <v>1.58</v>
      </c>
      <c r="N1185" s="1">
        <v>11.5</v>
      </c>
      <c r="O1185" s="7">
        <v>25585</v>
      </c>
      <c r="P1185" s="4">
        <v>44994</v>
      </c>
      <c r="Q1185" s="4">
        <v>45011</v>
      </c>
      <c r="R1185" s="1" t="s">
        <v>73</v>
      </c>
      <c r="AO1185" s="7">
        <v>25585</v>
      </c>
      <c r="AP1185" s="5">
        <v>7.9</v>
      </c>
      <c r="AQ1185" s="5">
        <v>96</v>
      </c>
      <c r="AR1185" s="5">
        <v>42.1</v>
      </c>
      <c r="AS1185" s="5">
        <v>89.8</v>
      </c>
      <c r="AT1185" s="5">
        <v>79</v>
      </c>
      <c r="AU1185" s="5">
        <v>87</v>
      </c>
      <c r="AV1185" s="5">
        <v>32.7</v>
      </c>
      <c r="AW1185" s="5">
        <v>8.32</v>
      </c>
      <c r="AX1185" s="5">
        <v>76</v>
      </c>
      <c r="AY1185" s="5">
        <v>84.89</v>
      </c>
      <c r="AZ1185" s="5">
        <v>8.7</v>
      </c>
      <c r="BA1185" s="5" t="s">
        <v>76</v>
      </c>
      <c r="BB1185" s="12" t="s">
        <v>76</v>
      </c>
      <c r="BC1185" s="5">
        <v>4.16</v>
      </c>
      <c r="BD1185" s="5">
        <v>96</v>
      </c>
      <c r="BE1185" s="5" t="s">
        <v>76</v>
      </c>
      <c r="BF1185" s="5" t="s">
        <v>76</v>
      </c>
      <c r="BG1185" s="15">
        <v>37</v>
      </c>
      <c r="BH1185" s="5">
        <v>65</v>
      </c>
      <c r="BI1185" s="5">
        <v>65</v>
      </c>
      <c r="BJ1185" s="5">
        <v>30</v>
      </c>
      <c r="BK1185" s="5">
        <v>78</v>
      </c>
      <c r="BL1185" s="5">
        <v>54</v>
      </c>
      <c r="BM1185" s="5">
        <v>60</v>
      </c>
      <c r="BN1185" s="5">
        <v>162</v>
      </c>
      <c r="BO1185" s="5">
        <f t="shared" si="18"/>
        <v>22.8623685413809</v>
      </c>
      <c r="BP1185" s="5" t="s">
        <v>174</v>
      </c>
      <c r="BQ1185" s="5">
        <v>6.3</v>
      </c>
      <c r="BR1185" s="5">
        <v>4706</v>
      </c>
    </row>
    <row r="1186" s="1" customFormat="1" spans="1:70">
      <c r="A1186" s="1" t="s">
        <v>2738</v>
      </c>
      <c r="B1186" s="1" t="s">
        <v>2739</v>
      </c>
      <c r="D1186" s="4">
        <v>44980</v>
      </c>
      <c r="E1186" s="4">
        <v>45015</v>
      </c>
      <c r="F1186" s="7">
        <v>25610</v>
      </c>
      <c r="G1186" s="1">
        <v>42</v>
      </c>
      <c r="H1186" s="1">
        <v>10</v>
      </c>
      <c r="I1186" s="1">
        <v>60</v>
      </c>
      <c r="J1186" s="1">
        <v>9</v>
      </c>
      <c r="K1186" s="1">
        <v>56</v>
      </c>
      <c r="L1186" s="1">
        <v>29</v>
      </c>
      <c r="M1186" s="1">
        <v>1.26</v>
      </c>
      <c r="N1186" s="10">
        <v>13</v>
      </c>
      <c r="O1186" s="7">
        <v>25610</v>
      </c>
      <c r="P1186" s="4">
        <v>44980</v>
      </c>
      <c r="Q1186" s="4">
        <v>45015</v>
      </c>
      <c r="R1186" s="1" t="s">
        <v>80</v>
      </c>
      <c r="AO1186" s="7">
        <v>25610</v>
      </c>
      <c r="AP1186" s="5" t="s">
        <v>2740</v>
      </c>
      <c r="AQ1186" s="5" t="s">
        <v>598</v>
      </c>
      <c r="AR1186" s="5" t="s">
        <v>2741</v>
      </c>
      <c r="AS1186" s="5" t="s">
        <v>2742</v>
      </c>
      <c r="AT1186" s="5" t="s">
        <v>1000</v>
      </c>
      <c r="AU1186" s="5" t="s">
        <v>1000</v>
      </c>
      <c r="AV1186" s="5" t="s">
        <v>1631</v>
      </c>
      <c r="AW1186" s="5" t="s">
        <v>424</v>
      </c>
      <c r="AX1186" s="5" t="s">
        <v>347</v>
      </c>
      <c r="AY1186" s="5" t="s">
        <v>125</v>
      </c>
      <c r="AZ1186" s="5" t="s">
        <v>75</v>
      </c>
      <c r="BA1186" s="5" t="s">
        <v>76</v>
      </c>
      <c r="BB1186" s="12" t="s">
        <v>76</v>
      </c>
      <c r="BC1186" s="5" t="s">
        <v>1635</v>
      </c>
      <c r="BD1186" s="5" t="s">
        <v>598</v>
      </c>
      <c r="BE1186" s="5" t="s">
        <v>76</v>
      </c>
      <c r="BF1186" s="5" t="s">
        <v>76</v>
      </c>
      <c r="BG1186" s="15">
        <v>36.8</v>
      </c>
      <c r="BH1186" s="5" t="s">
        <v>140</v>
      </c>
      <c r="BI1186" s="5" t="s">
        <v>140</v>
      </c>
      <c r="BJ1186" s="5" t="s">
        <v>246</v>
      </c>
      <c r="BK1186" s="5" t="s">
        <v>1267</v>
      </c>
      <c r="BL1186" s="5" t="s">
        <v>336</v>
      </c>
      <c r="BM1186" s="5" t="s">
        <v>207</v>
      </c>
      <c r="BN1186" s="5">
        <v>164</v>
      </c>
      <c r="BO1186" s="5">
        <f t="shared" si="18"/>
        <v>25.2825698988697</v>
      </c>
      <c r="BP1186" s="5" t="s">
        <v>542</v>
      </c>
      <c r="BQ1186" s="5" t="s">
        <v>76</v>
      </c>
      <c r="BR1186" s="5">
        <v>2411</v>
      </c>
    </row>
    <row r="1187" s="1" customFormat="1" spans="1:70">
      <c r="A1187" s="1">
        <v>3511561</v>
      </c>
      <c r="B1187" s="1" t="s">
        <v>2743</v>
      </c>
      <c r="D1187" s="4">
        <v>45282</v>
      </c>
      <c r="E1187" s="4">
        <v>45294</v>
      </c>
      <c r="F1187" s="7">
        <v>25614</v>
      </c>
      <c r="G1187" s="1">
        <v>28</v>
      </c>
      <c r="H1187" s="1">
        <v>9</v>
      </c>
      <c r="I1187" s="1">
        <v>37</v>
      </c>
      <c r="J1187" s="1">
        <v>9</v>
      </c>
      <c r="K1187" s="1">
        <v>65</v>
      </c>
      <c r="L1187" s="1">
        <v>35</v>
      </c>
      <c r="M1187" s="1">
        <v>0.66</v>
      </c>
      <c r="N1187" s="1">
        <v>5.5</v>
      </c>
      <c r="O1187" s="7">
        <v>25614</v>
      </c>
      <c r="P1187" s="4">
        <v>45282</v>
      </c>
      <c r="Q1187" s="4">
        <v>45294</v>
      </c>
      <c r="R1187" s="1" t="s">
        <v>80</v>
      </c>
      <c r="AO1187" s="7">
        <v>25614</v>
      </c>
      <c r="AP1187" s="5">
        <v>9.5</v>
      </c>
      <c r="AQ1187" s="5">
        <v>157</v>
      </c>
      <c r="AR1187" s="5">
        <v>52.6</v>
      </c>
      <c r="AS1187" s="5" t="s">
        <v>76</v>
      </c>
      <c r="AT1187" s="5">
        <v>77</v>
      </c>
      <c r="AU1187" s="5">
        <v>95</v>
      </c>
      <c r="AV1187" s="5">
        <v>44.1</v>
      </c>
      <c r="AW1187" s="5">
        <v>27.99</v>
      </c>
      <c r="AX1187" s="5">
        <v>78</v>
      </c>
      <c r="AY1187" s="5" t="s">
        <v>125</v>
      </c>
      <c r="AZ1187" s="5">
        <v>8.2</v>
      </c>
      <c r="BA1187" s="5" t="s">
        <v>76</v>
      </c>
      <c r="BB1187" s="12" t="s">
        <v>76</v>
      </c>
      <c r="BC1187" s="5">
        <v>4.92</v>
      </c>
      <c r="BD1187" s="5">
        <v>157</v>
      </c>
      <c r="BE1187" s="5" t="s">
        <v>76</v>
      </c>
      <c r="BF1187" s="5" t="s">
        <v>76</v>
      </c>
      <c r="BG1187" s="5" t="s">
        <v>76</v>
      </c>
      <c r="BH1187" s="5" t="s">
        <v>76</v>
      </c>
      <c r="BI1187" s="5" t="s">
        <v>76</v>
      </c>
      <c r="BJ1187" s="5" t="s">
        <v>76</v>
      </c>
      <c r="BK1187" s="5" t="s">
        <v>76</v>
      </c>
      <c r="BL1187" s="5" t="s">
        <v>76</v>
      </c>
      <c r="BM1187" s="5" t="s">
        <v>76</v>
      </c>
      <c r="BN1187" s="5" t="s">
        <v>76</v>
      </c>
      <c r="BO1187" s="5" t="e">
        <f t="shared" si="18"/>
        <v>#VALUE!</v>
      </c>
      <c r="BP1187" s="5" t="s">
        <v>85</v>
      </c>
      <c r="BQ1187" s="5" t="s">
        <v>76</v>
      </c>
      <c r="BR1187" s="5">
        <v>964</v>
      </c>
    </row>
    <row r="1188" s="1" customFormat="1" spans="1:70">
      <c r="A1188" s="1">
        <v>3314569</v>
      </c>
      <c r="B1188" s="1" t="s">
        <v>2744</v>
      </c>
      <c r="D1188" s="4">
        <v>45011</v>
      </c>
      <c r="E1188" s="4">
        <v>45019</v>
      </c>
      <c r="F1188" s="7">
        <v>25627</v>
      </c>
      <c r="G1188" s="1">
        <v>55</v>
      </c>
      <c r="H1188" s="1">
        <v>9</v>
      </c>
      <c r="I1188" s="1">
        <v>68</v>
      </c>
      <c r="J1188" s="1">
        <v>9</v>
      </c>
      <c r="K1188" s="1">
        <v>33</v>
      </c>
      <c r="L1188" s="1">
        <v>16</v>
      </c>
      <c r="M1188" s="1">
        <v>1.74</v>
      </c>
      <c r="N1188" s="1">
        <v>13.4</v>
      </c>
      <c r="O1188" s="7">
        <v>25627</v>
      </c>
      <c r="P1188" s="4">
        <v>45011</v>
      </c>
      <c r="Q1188" s="4">
        <v>45019</v>
      </c>
      <c r="R1188" s="1" t="s">
        <v>80</v>
      </c>
      <c r="AO1188" s="7">
        <v>25627</v>
      </c>
      <c r="AP1188" s="5">
        <v>4.7</v>
      </c>
      <c r="AQ1188" s="5">
        <v>167</v>
      </c>
      <c r="AR1188" s="5">
        <v>52.4</v>
      </c>
      <c r="AS1188" s="5" t="s">
        <v>76</v>
      </c>
      <c r="AT1188" s="5">
        <v>56</v>
      </c>
      <c r="AU1188" s="5">
        <v>196</v>
      </c>
      <c r="AV1188" s="5">
        <v>33.3</v>
      </c>
      <c r="AW1188" s="5">
        <v>7.6</v>
      </c>
      <c r="AX1188" s="5">
        <v>77</v>
      </c>
      <c r="AY1188" s="5">
        <v>107</v>
      </c>
      <c r="AZ1188" s="5" t="s">
        <v>75</v>
      </c>
      <c r="BA1188" s="5">
        <v>3.66</v>
      </c>
      <c r="BB1188" s="12" t="s">
        <v>76</v>
      </c>
      <c r="BC1188" s="5">
        <v>4.44</v>
      </c>
      <c r="BD1188" s="5">
        <v>167</v>
      </c>
      <c r="BE1188" s="5">
        <v>0.4</v>
      </c>
      <c r="BF1188" s="5">
        <v>2.59</v>
      </c>
      <c r="BG1188" s="15">
        <v>36.5</v>
      </c>
      <c r="BH1188" s="5">
        <v>80</v>
      </c>
      <c r="BI1188" s="5">
        <v>80</v>
      </c>
      <c r="BJ1188" s="5">
        <v>19</v>
      </c>
      <c r="BK1188" s="5">
        <v>119</v>
      </c>
      <c r="BL1188" s="5">
        <v>98</v>
      </c>
      <c r="BM1188" s="5">
        <v>70</v>
      </c>
      <c r="BN1188" s="5">
        <v>165</v>
      </c>
      <c r="BO1188" s="5">
        <f t="shared" si="18"/>
        <v>25.7116620752984</v>
      </c>
      <c r="BP1188" s="5" t="s">
        <v>156</v>
      </c>
      <c r="BQ1188" s="5">
        <v>6.2</v>
      </c>
      <c r="BR1188" s="5">
        <v>1889</v>
      </c>
    </row>
    <row r="1189" s="1" customFormat="1" spans="1:70">
      <c r="A1189" s="1">
        <v>3274883</v>
      </c>
      <c r="B1189" s="1" t="s">
        <v>2745</v>
      </c>
      <c r="D1189" s="4">
        <v>44956</v>
      </c>
      <c r="E1189" s="4">
        <v>44964</v>
      </c>
      <c r="F1189" s="7">
        <v>25668</v>
      </c>
      <c r="G1189" s="1">
        <v>42</v>
      </c>
      <c r="H1189" s="1">
        <v>9</v>
      </c>
      <c r="I1189" s="1">
        <v>52</v>
      </c>
      <c r="J1189" s="1">
        <v>9</v>
      </c>
      <c r="K1189" s="1">
        <v>51</v>
      </c>
      <c r="L1189" s="1">
        <v>26</v>
      </c>
      <c r="M1189" s="1">
        <v>1.19</v>
      </c>
      <c r="N1189" s="1">
        <v>14.3</v>
      </c>
      <c r="O1189" s="7">
        <v>25668</v>
      </c>
      <c r="P1189" s="4">
        <v>44956</v>
      </c>
      <c r="Q1189" s="4">
        <v>44964</v>
      </c>
      <c r="R1189" s="1" t="s">
        <v>80</v>
      </c>
      <c r="AO1189" s="7">
        <v>25668</v>
      </c>
      <c r="AP1189" s="5">
        <v>9.8</v>
      </c>
      <c r="AQ1189" s="5">
        <v>142</v>
      </c>
      <c r="AR1189" s="5">
        <v>44.8</v>
      </c>
      <c r="AS1189" s="5" t="s">
        <v>81</v>
      </c>
      <c r="AT1189" s="5">
        <v>82</v>
      </c>
      <c r="AU1189" s="5">
        <v>92</v>
      </c>
      <c r="AV1189" s="5">
        <v>38.4</v>
      </c>
      <c r="AW1189" s="5">
        <v>5.36</v>
      </c>
      <c r="AX1189" s="5">
        <v>86</v>
      </c>
      <c r="AY1189" s="5">
        <v>86.1</v>
      </c>
      <c r="AZ1189" s="5" t="s">
        <v>75</v>
      </c>
      <c r="BA1189" s="5">
        <v>3.74</v>
      </c>
      <c r="BB1189" s="12" t="s">
        <v>76</v>
      </c>
      <c r="BC1189" s="5">
        <v>4.18</v>
      </c>
      <c r="BD1189" s="5">
        <v>142</v>
      </c>
      <c r="BE1189" s="5">
        <v>0.72</v>
      </c>
      <c r="BF1189" s="5">
        <v>2.53</v>
      </c>
      <c r="BG1189" s="15">
        <v>36.6</v>
      </c>
      <c r="BH1189" s="5">
        <v>63</v>
      </c>
      <c r="BI1189" s="5">
        <v>63</v>
      </c>
      <c r="BJ1189" s="5">
        <v>20</v>
      </c>
      <c r="BK1189" s="5">
        <v>148</v>
      </c>
      <c r="BL1189" s="5">
        <v>78</v>
      </c>
      <c r="BM1189" s="5">
        <v>76</v>
      </c>
      <c r="BN1189" s="5">
        <v>170</v>
      </c>
      <c r="BO1189" s="5">
        <f t="shared" si="18"/>
        <v>26.2975778546713</v>
      </c>
      <c r="BP1189" s="5" t="s">
        <v>323</v>
      </c>
      <c r="BQ1189" s="5">
        <v>5.6</v>
      </c>
      <c r="BR1189" s="5">
        <v>994</v>
      </c>
    </row>
    <row r="1190" s="1" customFormat="1" spans="1:70">
      <c r="A1190" s="1" t="s">
        <v>2746</v>
      </c>
      <c r="B1190" s="1" t="s">
        <v>2747</v>
      </c>
      <c r="D1190" s="4">
        <v>45013</v>
      </c>
      <c r="E1190" s="4">
        <v>45026</v>
      </c>
      <c r="F1190" s="7">
        <v>25727</v>
      </c>
      <c r="G1190" s="1">
        <v>39</v>
      </c>
      <c r="H1190" s="1">
        <v>10</v>
      </c>
      <c r="I1190" s="1">
        <v>50</v>
      </c>
      <c r="J1190" s="1">
        <v>10</v>
      </c>
      <c r="K1190" s="1">
        <v>67</v>
      </c>
      <c r="L1190" s="1">
        <v>37</v>
      </c>
      <c r="M1190" s="1">
        <v>1.13</v>
      </c>
      <c r="N1190" s="1">
        <v>11.9</v>
      </c>
      <c r="O1190" s="7">
        <v>25727</v>
      </c>
      <c r="P1190" s="4">
        <v>45013</v>
      </c>
      <c r="Q1190" s="4">
        <v>45026</v>
      </c>
      <c r="R1190" s="1" t="s">
        <v>73</v>
      </c>
      <c r="AO1190" s="7">
        <v>25727</v>
      </c>
      <c r="AP1190" s="5" t="s">
        <v>2748</v>
      </c>
      <c r="AQ1190" s="5" t="s">
        <v>139</v>
      </c>
      <c r="AR1190" s="5" t="s">
        <v>2749</v>
      </c>
      <c r="AS1190" s="5" t="s">
        <v>941</v>
      </c>
      <c r="AT1190" s="5" t="s">
        <v>93</v>
      </c>
      <c r="AU1190" s="5" t="s">
        <v>93</v>
      </c>
      <c r="AV1190" s="5" t="s">
        <v>477</v>
      </c>
      <c r="AW1190" s="5" t="s">
        <v>2750</v>
      </c>
      <c r="AX1190" s="5" t="s">
        <v>532</v>
      </c>
      <c r="AY1190" s="5" t="s">
        <v>2751</v>
      </c>
      <c r="AZ1190" s="5" t="s">
        <v>2752</v>
      </c>
      <c r="BA1190" s="5" t="s">
        <v>76</v>
      </c>
      <c r="BB1190" s="12" t="s">
        <v>76</v>
      </c>
      <c r="BC1190" s="5" t="s">
        <v>4</v>
      </c>
      <c r="BD1190" s="5" t="s">
        <v>139</v>
      </c>
      <c r="BE1190" s="5" t="s">
        <v>76</v>
      </c>
      <c r="BF1190" s="5" t="s">
        <v>76</v>
      </c>
      <c r="BG1190" s="15">
        <v>37.3</v>
      </c>
      <c r="BH1190" s="5" t="s">
        <v>336</v>
      </c>
      <c r="BI1190" s="5" t="s">
        <v>336</v>
      </c>
      <c r="BJ1190" s="5" t="s">
        <v>193</v>
      </c>
      <c r="BK1190" s="5" t="s">
        <v>194</v>
      </c>
      <c r="BL1190" s="5" t="s">
        <v>419</v>
      </c>
      <c r="BM1190" s="5" t="s">
        <v>195</v>
      </c>
      <c r="BN1190" s="5">
        <v>153</v>
      </c>
      <c r="BO1190" s="5">
        <f t="shared" si="18"/>
        <v>21.359306249733</v>
      </c>
      <c r="BP1190" s="5" t="s">
        <v>542</v>
      </c>
      <c r="BQ1190" s="5" t="s">
        <v>76</v>
      </c>
      <c r="BR1190" s="5">
        <v>9691</v>
      </c>
    </row>
    <row r="1191" s="1" customFormat="1" spans="1:70">
      <c r="A1191" s="1">
        <v>3297011</v>
      </c>
      <c r="B1191" s="1" t="s">
        <v>2753</v>
      </c>
      <c r="D1191" s="4">
        <v>44986</v>
      </c>
      <c r="E1191" s="4">
        <v>44993</v>
      </c>
      <c r="F1191" s="7">
        <v>25728</v>
      </c>
      <c r="G1191" s="1">
        <v>39</v>
      </c>
      <c r="H1191" s="1">
        <v>10</v>
      </c>
      <c r="I1191" s="1">
        <v>52</v>
      </c>
      <c r="J1191" s="1">
        <v>7</v>
      </c>
      <c r="K1191" s="1">
        <v>45</v>
      </c>
      <c r="L1191" s="1">
        <v>22</v>
      </c>
      <c r="M1191" s="1">
        <v>0.46</v>
      </c>
      <c r="N1191" s="1">
        <v>4.4</v>
      </c>
      <c r="O1191" s="7">
        <v>25728</v>
      </c>
      <c r="P1191" s="4">
        <v>44986</v>
      </c>
      <c r="Q1191" s="4">
        <v>44993</v>
      </c>
      <c r="R1191" s="1" t="s">
        <v>80</v>
      </c>
      <c r="AO1191" s="7">
        <v>25728</v>
      </c>
      <c r="AP1191" s="5">
        <v>6.7</v>
      </c>
      <c r="AQ1191" s="5">
        <v>127</v>
      </c>
      <c r="AR1191" s="5">
        <v>40.4</v>
      </c>
      <c r="AS1191" s="5" t="s">
        <v>76</v>
      </c>
      <c r="AT1191" s="5">
        <v>10</v>
      </c>
      <c r="AU1191" s="5">
        <v>10</v>
      </c>
      <c r="AV1191" s="5">
        <v>44.4</v>
      </c>
      <c r="AW1191" s="5">
        <v>5.94</v>
      </c>
      <c r="AX1191" s="5">
        <v>59</v>
      </c>
      <c r="AY1191" s="5" t="s">
        <v>125</v>
      </c>
      <c r="AZ1191" s="5" t="s">
        <v>76</v>
      </c>
      <c r="BA1191" s="5" t="s">
        <v>76</v>
      </c>
      <c r="BB1191" s="12" t="s">
        <v>76</v>
      </c>
      <c r="BC1191" s="5">
        <v>4.72</v>
      </c>
      <c r="BD1191" s="5">
        <v>127</v>
      </c>
      <c r="BE1191" s="5" t="s">
        <v>76</v>
      </c>
      <c r="BF1191" s="5" t="s">
        <v>76</v>
      </c>
      <c r="BG1191" s="15">
        <v>36.1</v>
      </c>
      <c r="BH1191" s="5">
        <v>101</v>
      </c>
      <c r="BI1191" s="5" t="s">
        <v>76</v>
      </c>
      <c r="BJ1191" s="5">
        <v>20</v>
      </c>
      <c r="BK1191" s="5">
        <v>133</v>
      </c>
      <c r="BL1191" s="5">
        <v>83</v>
      </c>
      <c r="BM1191" s="5">
        <v>80</v>
      </c>
      <c r="BN1191" s="5">
        <v>168</v>
      </c>
      <c r="BO1191" s="5">
        <f t="shared" si="18"/>
        <v>28.3446712018141</v>
      </c>
      <c r="BP1191" s="5" t="s">
        <v>121</v>
      </c>
      <c r="BQ1191" s="5" t="s">
        <v>76</v>
      </c>
      <c r="BR1191" s="5">
        <v>1113</v>
      </c>
    </row>
    <row r="1192" s="1" customFormat="1" spans="1:70">
      <c r="A1192" s="1">
        <v>3287579</v>
      </c>
      <c r="B1192" s="1" t="s">
        <v>2754</v>
      </c>
      <c r="D1192" s="4">
        <v>44973</v>
      </c>
      <c r="E1192" s="4">
        <v>44997</v>
      </c>
      <c r="F1192" s="7">
        <v>25757</v>
      </c>
      <c r="G1192" s="1">
        <v>30</v>
      </c>
      <c r="H1192" s="1">
        <v>10</v>
      </c>
      <c r="I1192" s="1">
        <v>45</v>
      </c>
      <c r="J1192" s="1">
        <v>10</v>
      </c>
      <c r="K1192" s="1">
        <v>57</v>
      </c>
      <c r="L1192" s="1">
        <v>30</v>
      </c>
      <c r="M1192" s="1">
        <v>1.39</v>
      </c>
      <c r="N1192" s="1">
        <v>10.5</v>
      </c>
      <c r="O1192" s="7">
        <v>25757</v>
      </c>
      <c r="P1192" s="4">
        <v>44973</v>
      </c>
      <c r="Q1192" s="4">
        <v>44997</v>
      </c>
      <c r="R1192" s="1" t="s">
        <v>73</v>
      </c>
      <c r="S1192" s="1">
        <v>52</v>
      </c>
      <c r="T1192" s="1" t="s">
        <v>2755</v>
      </c>
      <c r="X1192" s="1">
        <v>1</v>
      </c>
      <c r="Z1192" s="1">
        <v>1</v>
      </c>
      <c r="AG1192" s="1">
        <v>1</v>
      </c>
      <c r="AH1192" s="1">
        <v>1</v>
      </c>
      <c r="AI1192" s="1">
        <v>1</v>
      </c>
      <c r="AM1192" s="1">
        <v>1</v>
      </c>
      <c r="AO1192" s="7">
        <v>25757</v>
      </c>
      <c r="AP1192" s="5">
        <v>9.4</v>
      </c>
      <c r="AQ1192" s="5">
        <v>95</v>
      </c>
      <c r="AR1192" s="5">
        <v>40.9</v>
      </c>
      <c r="AS1192" s="5" t="s">
        <v>81</v>
      </c>
      <c r="AT1192" s="5">
        <v>93</v>
      </c>
      <c r="AU1192" s="5">
        <v>95</v>
      </c>
      <c r="AV1192" s="5">
        <v>47.6</v>
      </c>
      <c r="AW1192" s="5">
        <v>8.21</v>
      </c>
      <c r="AX1192" s="5">
        <v>51</v>
      </c>
      <c r="AY1192" s="5" t="s">
        <v>125</v>
      </c>
      <c r="AZ1192" s="5">
        <v>9.8</v>
      </c>
      <c r="BA1192" s="5">
        <v>3.12</v>
      </c>
      <c r="BB1192" s="12" t="s">
        <v>76</v>
      </c>
      <c r="BC1192" s="5">
        <v>4.43</v>
      </c>
      <c r="BD1192" s="5">
        <v>95</v>
      </c>
      <c r="BE1192" s="5">
        <v>1.04</v>
      </c>
      <c r="BF1192" s="5">
        <v>1.47</v>
      </c>
      <c r="BG1192" s="15">
        <v>36.4</v>
      </c>
      <c r="BH1192" s="5">
        <v>62</v>
      </c>
      <c r="BI1192" s="5">
        <v>62</v>
      </c>
      <c r="BJ1192" s="5">
        <v>17</v>
      </c>
      <c r="BK1192" s="5">
        <v>133</v>
      </c>
      <c r="BL1192" s="5">
        <v>82</v>
      </c>
      <c r="BM1192" s="5">
        <v>60</v>
      </c>
      <c r="BN1192" s="5">
        <v>157</v>
      </c>
      <c r="BO1192" s="5">
        <f t="shared" si="18"/>
        <v>24.3417582863402</v>
      </c>
      <c r="BP1192" s="5" t="s">
        <v>1450</v>
      </c>
      <c r="BQ1192" s="5">
        <v>8.1</v>
      </c>
      <c r="BR1192" s="5">
        <v>991</v>
      </c>
    </row>
    <row r="1193" s="1" customFormat="1" spans="1:70">
      <c r="A1193" s="1" t="s">
        <v>2756</v>
      </c>
      <c r="B1193" s="1" t="s">
        <v>2757</v>
      </c>
      <c r="D1193" s="4">
        <v>44905</v>
      </c>
      <c r="E1193" s="4">
        <v>44910</v>
      </c>
      <c r="F1193" s="7">
        <v>25803</v>
      </c>
      <c r="G1193" s="1">
        <v>33</v>
      </c>
      <c r="H1193" s="1">
        <v>10</v>
      </c>
      <c r="I1193" s="1">
        <v>45</v>
      </c>
      <c r="J1193" s="1">
        <v>10</v>
      </c>
      <c r="K1193" s="1">
        <v>63</v>
      </c>
      <c r="L1193" s="1">
        <v>34</v>
      </c>
      <c r="M1193" s="1">
        <v>0.85</v>
      </c>
      <c r="N1193" s="1">
        <v>10</v>
      </c>
      <c r="O1193" s="7">
        <v>25803</v>
      </c>
      <c r="P1193" s="4">
        <v>44905</v>
      </c>
      <c r="Q1193" s="4">
        <v>44910</v>
      </c>
      <c r="R1193" s="1" t="s">
        <v>73</v>
      </c>
      <c r="AO1193" s="7">
        <v>25803</v>
      </c>
      <c r="AP1193" s="5" t="s">
        <v>946</v>
      </c>
      <c r="AQ1193" s="5" t="s">
        <v>233</v>
      </c>
      <c r="AR1193" s="5" t="s">
        <v>1258</v>
      </c>
      <c r="AS1193" s="5" t="s">
        <v>76</v>
      </c>
      <c r="AT1193" s="5" t="s">
        <v>347</v>
      </c>
      <c r="AU1193" s="5" t="s">
        <v>892</v>
      </c>
      <c r="AV1193" s="5" t="s">
        <v>1862</v>
      </c>
      <c r="AW1193" s="5" t="s">
        <v>2758</v>
      </c>
      <c r="AX1193" s="5" t="s">
        <v>548</v>
      </c>
      <c r="AY1193" s="5" t="s">
        <v>2759</v>
      </c>
      <c r="AZ1193" s="5" t="s">
        <v>75</v>
      </c>
      <c r="BA1193" s="5" t="s">
        <v>660</v>
      </c>
      <c r="BB1193" s="12" t="s">
        <v>76</v>
      </c>
      <c r="BC1193" s="5" t="s">
        <v>189</v>
      </c>
      <c r="BD1193" s="5" t="s">
        <v>233</v>
      </c>
      <c r="BE1193" s="5" t="s">
        <v>1088</v>
      </c>
      <c r="BF1193" s="5" t="s">
        <v>2760</v>
      </c>
      <c r="BG1193" s="15">
        <v>37.8</v>
      </c>
      <c r="BH1193" s="5" t="s">
        <v>972</v>
      </c>
      <c r="BI1193" s="5" t="s">
        <v>972</v>
      </c>
      <c r="BJ1193" s="5" t="s">
        <v>293</v>
      </c>
      <c r="BK1193" s="5" t="s">
        <v>467</v>
      </c>
      <c r="BL1193" s="5" t="s">
        <v>140</v>
      </c>
      <c r="BM1193" s="5" t="s">
        <v>77</v>
      </c>
      <c r="BN1193" s="5" t="s">
        <v>77</v>
      </c>
      <c r="BO1193" s="5" t="e">
        <f t="shared" si="18"/>
        <v>#VALUE!</v>
      </c>
      <c r="BP1193" s="5" t="s">
        <v>501</v>
      </c>
      <c r="BQ1193" s="5" t="s">
        <v>76</v>
      </c>
      <c r="BR1193" s="5">
        <v>2346</v>
      </c>
    </row>
    <row r="1194" s="1" customFormat="1" spans="1:70">
      <c r="A1194" s="1">
        <v>3257202</v>
      </c>
      <c r="B1194" s="1" t="s">
        <v>2761</v>
      </c>
      <c r="D1194" s="4">
        <v>44923</v>
      </c>
      <c r="E1194" s="4">
        <v>44935</v>
      </c>
      <c r="F1194" s="7">
        <v>25814</v>
      </c>
      <c r="G1194" s="1">
        <v>48</v>
      </c>
      <c r="H1194" s="1">
        <v>10</v>
      </c>
      <c r="I1194" s="1">
        <v>61</v>
      </c>
      <c r="J1194" s="1">
        <v>9</v>
      </c>
      <c r="K1194" s="1">
        <v>39</v>
      </c>
      <c r="L1194" s="1">
        <v>19</v>
      </c>
      <c r="N1194" s="1">
        <v>9.4</v>
      </c>
      <c r="O1194" s="7">
        <v>25814</v>
      </c>
      <c r="P1194" s="4">
        <v>44923</v>
      </c>
      <c r="Q1194" s="4">
        <v>44935</v>
      </c>
      <c r="R1194" s="1" t="s">
        <v>80</v>
      </c>
      <c r="AO1194" s="7">
        <v>25814</v>
      </c>
      <c r="AP1194" s="5">
        <v>5.9</v>
      </c>
      <c r="AQ1194" s="5">
        <v>160</v>
      </c>
      <c r="AR1194" s="5">
        <v>50.9</v>
      </c>
      <c r="AS1194" s="5">
        <v>1</v>
      </c>
      <c r="AT1194" s="5">
        <v>20</v>
      </c>
      <c r="AU1194" s="5">
        <v>35</v>
      </c>
      <c r="AV1194" s="5">
        <v>45.2</v>
      </c>
      <c r="AW1194" s="5">
        <v>11.74</v>
      </c>
      <c r="AX1194" s="5">
        <v>96</v>
      </c>
      <c r="AY1194" s="5">
        <v>75.84</v>
      </c>
      <c r="AZ1194" s="5">
        <v>17.3</v>
      </c>
      <c r="BA1194" s="5">
        <v>6.89</v>
      </c>
      <c r="BB1194" s="12" t="s">
        <v>76</v>
      </c>
      <c r="BC1194" s="5">
        <v>4.38</v>
      </c>
      <c r="BD1194" s="5">
        <v>160</v>
      </c>
      <c r="BE1194" s="5">
        <v>0.86</v>
      </c>
      <c r="BF1194" s="5">
        <v>4.73</v>
      </c>
      <c r="BG1194" s="15">
        <v>36.5</v>
      </c>
      <c r="BH1194" s="5">
        <v>80</v>
      </c>
      <c r="BI1194" s="5">
        <v>148</v>
      </c>
      <c r="BJ1194" s="5">
        <v>21</v>
      </c>
      <c r="BK1194" s="5">
        <v>135</v>
      </c>
      <c r="BL1194" s="5">
        <v>85</v>
      </c>
      <c r="BM1194" s="5">
        <v>80</v>
      </c>
      <c r="BN1194" s="5">
        <v>170</v>
      </c>
      <c r="BO1194" s="5">
        <f t="shared" si="18"/>
        <v>27.681660899654</v>
      </c>
      <c r="BP1194" s="5" t="s">
        <v>121</v>
      </c>
      <c r="BQ1194" s="5" t="s">
        <v>76</v>
      </c>
      <c r="BR1194" s="5">
        <v>1738</v>
      </c>
    </row>
    <row r="1195" s="1" customFormat="1" spans="1:70">
      <c r="A1195" s="1">
        <v>3254629</v>
      </c>
      <c r="B1195" s="1" t="s">
        <v>2762</v>
      </c>
      <c r="D1195" s="4">
        <v>44921</v>
      </c>
      <c r="E1195" s="4">
        <v>44927</v>
      </c>
      <c r="F1195" s="7">
        <v>25814</v>
      </c>
      <c r="G1195" s="1">
        <v>45</v>
      </c>
      <c r="H1195" s="1">
        <v>11</v>
      </c>
      <c r="I1195" s="1">
        <v>57</v>
      </c>
      <c r="J1195" s="1">
        <v>9</v>
      </c>
      <c r="K1195" s="1">
        <v>50</v>
      </c>
      <c r="L1195" s="1">
        <v>25</v>
      </c>
      <c r="M1195" s="1">
        <v>1.29</v>
      </c>
      <c r="N1195" s="1">
        <v>14.6</v>
      </c>
      <c r="O1195" s="7">
        <v>25814</v>
      </c>
      <c r="P1195" s="4">
        <v>44921</v>
      </c>
      <c r="Q1195" s="4">
        <v>44927</v>
      </c>
      <c r="R1195" s="1" t="s">
        <v>80</v>
      </c>
      <c r="S1195" s="1">
        <v>52</v>
      </c>
      <c r="T1195" s="1" t="s">
        <v>2763</v>
      </c>
      <c r="V1195" s="1" t="s">
        <v>155</v>
      </c>
      <c r="Z1195" s="1" t="s">
        <v>155</v>
      </c>
      <c r="AA1195" s="1" t="s">
        <v>155</v>
      </c>
      <c r="AF1195" s="1">
        <v>1</v>
      </c>
      <c r="AG1195" s="1">
        <v>1</v>
      </c>
      <c r="AH1195" s="1">
        <v>1</v>
      </c>
      <c r="AN1195" s="1">
        <v>1</v>
      </c>
      <c r="AO1195" s="7">
        <v>25814</v>
      </c>
      <c r="AP1195" s="5">
        <v>4.6</v>
      </c>
      <c r="AQ1195" s="5">
        <v>145</v>
      </c>
      <c r="AR1195" s="5">
        <v>44.6</v>
      </c>
      <c r="AS1195" s="5">
        <v>1.2</v>
      </c>
      <c r="AT1195" s="5">
        <v>23</v>
      </c>
      <c r="AU1195" s="5">
        <v>33</v>
      </c>
      <c r="AV1195" s="5">
        <v>41.6</v>
      </c>
      <c r="AW1195" s="5">
        <v>9.23</v>
      </c>
      <c r="AX1195" s="5">
        <v>209</v>
      </c>
      <c r="AY1195" s="5">
        <v>31.42</v>
      </c>
      <c r="AZ1195" s="5" t="s">
        <v>75</v>
      </c>
      <c r="BA1195" s="5">
        <v>3.89</v>
      </c>
      <c r="BB1195" s="12" t="s">
        <v>76</v>
      </c>
      <c r="BC1195" s="5">
        <v>4.85</v>
      </c>
      <c r="BD1195" s="5">
        <v>145</v>
      </c>
      <c r="BE1195" s="5">
        <v>1.04</v>
      </c>
      <c r="BF1195" s="5">
        <v>2</v>
      </c>
      <c r="BG1195" s="15">
        <v>36.7</v>
      </c>
      <c r="BH1195" s="5">
        <v>70</v>
      </c>
      <c r="BI1195" s="5" t="s">
        <v>76</v>
      </c>
      <c r="BJ1195" s="5">
        <v>17</v>
      </c>
      <c r="BK1195" s="5">
        <v>150</v>
      </c>
      <c r="BL1195" s="5">
        <v>113</v>
      </c>
      <c r="BM1195" s="5">
        <v>90</v>
      </c>
      <c r="BN1195" s="5">
        <v>170</v>
      </c>
      <c r="BO1195" s="5">
        <f t="shared" si="18"/>
        <v>31.1418685121107</v>
      </c>
      <c r="BP1195" s="5" t="s">
        <v>78</v>
      </c>
      <c r="BQ1195" s="5">
        <v>5.7</v>
      </c>
      <c r="BR1195" s="5">
        <v>1389</v>
      </c>
    </row>
    <row r="1196" s="1" customFormat="1" spans="1:70">
      <c r="A1196" s="1">
        <v>3512577</v>
      </c>
      <c r="B1196" s="1" t="s">
        <v>2764</v>
      </c>
      <c r="D1196" s="4">
        <v>45285</v>
      </c>
      <c r="E1196" s="4">
        <v>45288</v>
      </c>
      <c r="F1196" s="7">
        <v>25912</v>
      </c>
      <c r="G1196" s="1">
        <v>47</v>
      </c>
      <c r="H1196" s="1">
        <v>8</v>
      </c>
      <c r="I1196" s="1">
        <v>51</v>
      </c>
      <c r="J1196" s="1">
        <v>8</v>
      </c>
      <c r="K1196" s="1">
        <v>64</v>
      </c>
      <c r="L1196" s="1">
        <v>35</v>
      </c>
      <c r="N1196" s="1">
        <v>10.7</v>
      </c>
      <c r="O1196" s="7">
        <v>25912</v>
      </c>
      <c r="P1196" s="4">
        <v>45285</v>
      </c>
      <c r="Q1196" s="4">
        <v>45288</v>
      </c>
      <c r="R1196" s="1" t="s">
        <v>80</v>
      </c>
      <c r="AO1196" s="7">
        <v>25912</v>
      </c>
      <c r="AP1196" s="5">
        <v>8</v>
      </c>
      <c r="AQ1196" s="5">
        <v>128</v>
      </c>
      <c r="AR1196" s="5">
        <v>39.6</v>
      </c>
      <c r="AS1196" s="5">
        <v>2.1</v>
      </c>
      <c r="AT1196" s="5">
        <v>15</v>
      </c>
      <c r="AU1196" s="5">
        <v>8</v>
      </c>
      <c r="AV1196" s="5">
        <v>35.9</v>
      </c>
      <c r="AW1196" s="5">
        <v>4.7</v>
      </c>
      <c r="AX1196" s="5">
        <v>70</v>
      </c>
      <c r="AY1196" s="5">
        <v>108.77</v>
      </c>
      <c r="AZ1196" s="5" t="s">
        <v>75</v>
      </c>
      <c r="BA1196" s="5">
        <v>3.24</v>
      </c>
      <c r="BB1196" s="12" t="s">
        <v>76</v>
      </c>
      <c r="BC1196" s="5">
        <v>3.84</v>
      </c>
      <c r="BD1196" s="5">
        <v>128</v>
      </c>
      <c r="BE1196" s="5">
        <v>0.94</v>
      </c>
      <c r="BF1196" s="5">
        <v>1.58</v>
      </c>
      <c r="BG1196" s="15">
        <v>36.3</v>
      </c>
      <c r="BH1196" s="5">
        <v>82</v>
      </c>
      <c r="BI1196" s="5">
        <v>95</v>
      </c>
      <c r="BJ1196" s="5">
        <v>20</v>
      </c>
      <c r="BK1196" s="5">
        <v>140</v>
      </c>
      <c r="BL1196" s="5">
        <v>105</v>
      </c>
      <c r="BM1196" s="5">
        <v>80</v>
      </c>
      <c r="BN1196" s="5">
        <v>180</v>
      </c>
      <c r="BO1196" s="5">
        <f t="shared" si="18"/>
        <v>24.6913580246914</v>
      </c>
      <c r="BP1196" s="5" t="s">
        <v>156</v>
      </c>
      <c r="BQ1196" s="5">
        <v>5.3</v>
      </c>
      <c r="BR1196" s="5">
        <v>3944</v>
      </c>
    </row>
    <row r="1197" s="1" customFormat="1" spans="1:70">
      <c r="A1197" s="1">
        <v>3298555</v>
      </c>
      <c r="B1197" s="1" t="s">
        <v>2765</v>
      </c>
      <c r="D1197" s="4">
        <v>44988</v>
      </c>
      <c r="E1197" s="4">
        <v>45004</v>
      </c>
      <c r="F1197" s="7">
        <v>25913</v>
      </c>
      <c r="G1197" s="1">
        <v>31</v>
      </c>
      <c r="H1197" s="1">
        <v>9</v>
      </c>
      <c r="I1197" s="1">
        <v>37</v>
      </c>
      <c r="J1197" s="1">
        <v>9</v>
      </c>
      <c r="K1197" s="1">
        <v>57</v>
      </c>
      <c r="L1197" s="1">
        <v>30</v>
      </c>
      <c r="M1197" s="1">
        <v>0.68</v>
      </c>
      <c r="N1197" s="1">
        <v>9.9</v>
      </c>
      <c r="O1197" s="7">
        <v>25913</v>
      </c>
      <c r="P1197" s="4">
        <v>44988</v>
      </c>
      <c r="Q1197" s="4">
        <v>45004</v>
      </c>
      <c r="R1197" s="1" t="s">
        <v>80</v>
      </c>
      <c r="AO1197" s="7">
        <v>25913</v>
      </c>
      <c r="AP1197" s="5">
        <v>7.3</v>
      </c>
      <c r="AQ1197" s="5">
        <v>92</v>
      </c>
      <c r="AR1197" s="5">
        <v>59.9</v>
      </c>
      <c r="AS1197" s="5">
        <v>9.6</v>
      </c>
      <c r="AT1197" s="5">
        <v>97</v>
      </c>
      <c r="AU1197" s="5">
        <v>82</v>
      </c>
      <c r="AV1197" s="5">
        <v>42.7</v>
      </c>
      <c r="AW1197" s="5">
        <v>9.85</v>
      </c>
      <c r="AX1197" s="5">
        <v>90</v>
      </c>
      <c r="AY1197" s="5" t="s">
        <v>125</v>
      </c>
      <c r="AZ1197" s="5">
        <v>9.8</v>
      </c>
      <c r="BA1197" s="5" t="s">
        <v>76</v>
      </c>
      <c r="BB1197" s="12" t="s">
        <v>76</v>
      </c>
      <c r="BC1197" s="5">
        <v>4.35</v>
      </c>
      <c r="BD1197" s="5">
        <v>92</v>
      </c>
      <c r="BE1197" s="5" t="s">
        <v>76</v>
      </c>
      <c r="BF1197" s="5" t="s">
        <v>76</v>
      </c>
      <c r="BG1197" s="15">
        <v>37.8</v>
      </c>
      <c r="BH1197" s="5" t="s">
        <v>76</v>
      </c>
      <c r="BI1197" s="5">
        <v>117</v>
      </c>
      <c r="BJ1197" s="5">
        <v>15</v>
      </c>
      <c r="BK1197" s="5">
        <v>128</v>
      </c>
      <c r="BL1197" s="5">
        <v>88</v>
      </c>
      <c r="BM1197" s="5">
        <v>72</v>
      </c>
      <c r="BN1197" s="5">
        <v>165</v>
      </c>
      <c r="BO1197" s="5">
        <f t="shared" si="18"/>
        <v>26.4462809917355</v>
      </c>
      <c r="BP1197" s="5" t="s">
        <v>618</v>
      </c>
      <c r="BQ1197" s="5" t="s">
        <v>76</v>
      </c>
      <c r="BR1197" s="5">
        <v>8200</v>
      </c>
    </row>
    <row r="1198" s="1" customFormat="1" spans="1:70">
      <c r="A1198" s="1">
        <v>3312037</v>
      </c>
      <c r="B1198" s="1" t="s">
        <v>2766</v>
      </c>
      <c r="C1198" s="1">
        <v>1</v>
      </c>
      <c r="D1198" s="4">
        <v>45006</v>
      </c>
      <c r="E1198" s="4">
        <v>45011</v>
      </c>
      <c r="F1198" s="7">
        <v>26033</v>
      </c>
      <c r="G1198" s="1">
        <v>29</v>
      </c>
      <c r="H1198" s="1">
        <v>8</v>
      </c>
      <c r="I1198" s="1">
        <v>42</v>
      </c>
      <c r="J1198" s="1">
        <v>8</v>
      </c>
      <c r="K1198" s="1">
        <v>61</v>
      </c>
      <c r="L1198" s="1">
        <v>33</v>
      </c>
      <c r="M1198" s="1">
        <v>1.95</v>
      </c>
      <c r="O1198" s="7">
        <v>26033</v>
      </c>
      <c r="P1198" s="4">
        <v>45006</v>
      </c>
      <c r="Q1198" s="4">
        <v>45011</v>
      </c>
      <c r="R1198" s="1" t="s">
        <v>73</v>
      </c>
      <c r="AO1198" s="7">
        <v>26033</v>
      </c>
      <c r="AP1198" s="5">
        <v>8.3</v>
      </c>
      <c r="AQ1198" s="5">
        <v>98</v>
      </c>
      <c r="AR1198" s="5">
        <v>55.5</v>
      </c>
      <c r="AS1198" s="5" t="s">
        <v>76</v>
      </c>
      <c r="AT1198" s="5">
        <v>8135</v>
      </c>
      <c r="AU1198" s="5">
        <v>55</v>
      </c>
      <c r="AV1198" s="5">
        <v>33.8</v>
      </c>
      <c r="AW1198" s="5">
        <v>8.08</v>
      </c>
      <c r="AX1198" s="5">
        <v>63</v>
      </c>
      <c r="AY1198" s="5" t="s">
        <v>76</v>
      </c>
      <c r="AZ1198" s="5" t="s">
        <v>75</v>
      </c>
      <c r="BA1198" s="5" t="s">
        <v>76</v>
      </c>
      <c r="BB1198" s="12" t="s">
        <v>76</v>
      </c>
      <c r="BC1198" s="5">
        <v>4.78</v>
      </c>
      <c r="BD1198" s="5">
        <v>98</v>
      </c>
      <c r="BE1198" s="5" t="s">
        <v>76</v>
      </c>
      <c r="BF1198" s="5" t="s">
        <v>76</v>
      </c>
      <c r="BG1198" s="15">
        <v>36.6</v>
      </c>
      <c r="BH1198" s="5" t="s">
        <v>76</v>
      </c>
      <c r="BI1198" s="5">
        <v>66</v>
      </c>
      <c r="BJ1198" s="5">
        <v>20</v>
      </c>
      <c r="BK1198" s="5">
        <v>119</v>
      </c>
      <c r="BL1198" s="5">
        <v>64</v>
      </c>
      <c r="BM1198" s="5">
        <v>44</v>
      </c>
      <c r="BN1198" s="5">
        <v>150</v>
      </c>
      <c r="BO1198" s="5">
        <f t="shared" si="18"/>
        <v>19.5555555555556</v>
      </c>
      <c r="BP1198" s="5" t="s">
        <v>618</v>
      </c>
      <c r="BQ1198" s="5" t="s">
        <v>76</v>
      </c>
      <c r="BR1198" s="5" t="s">
        <v>118</v>
      </c>
    </row>
    <row r="1199" s="1" customFormat="1" spans="1:70">
      <c r="A1199" s="1">
        <v>3278963</v>
      </c>
      <c r="B1199" s="1" t="s">
        <v>2767</v>
      </c>
      <c r="D1199" s="4">
        <v>44963</v>
      </c>
      <c r="E1199" s="4">
        <v>44967</v>
      </c>
      <c r="F1199" s="7">
        <v>26049</v>
      </c>
      <c r="G1199" s="1">
        <v>46</v>
      </c>
      <c r="H1199" s="1">
        <v>13</v>
      </c>
      <c r="I1199" s="1">
        <v>56</v>
      </c>
      <c r="J1199" s="1">
        <v>12</v>
      </c>
      <c r="K1199" s="1">
        <v>37</v>
      </c>
      <c r="L1199" s="1">
        <v>18</v>
      </c>
      <c r="N1199" s="1">
        <v>21</v>
      </c>
      <c r="O1199" s="7">
        <v>26049</v>
      </c>
      <c r="P1199" s="4">
        <v>44963</v>
      </c>
      <c r="Q1199" s="4">
        <v>44967</v>
      </c>
      <c r="R1199" s="1" t="s">
        <v>80</v>
      </c>
      <c r="AO1199" s="7">
        <v>26049</v>
      </c>
      <c r="AP1199" s="5">
        <v>6.1</v>
      </c>
      <c r="AQ1199" s="5">
        <v>154</v>
      </c>
      <c r="AR1199" s="5">
        <v>50.4</v>
      </c>
      <c r="AS1199" s="5" t="s">
        <v>76</v>
      </c>
      <c r="AT1199" s="5">
        <v>21</v>
      </c>
      <c r="AU1199" s="5">
        <v>29</v>
      </c>
      <c r="AV1199" s="5">
        <v>39.3</v>
      </c>
      <c r="AW1199" s="5">
        <v>10.25</v>
      </c>
      <c r="AX1199" s="5">
        <v>114</v>
      </c>
      <c r="AY1199" s="5">
        <v>62.44</v>
      </c>
      <c r="AZ1199" s="5" t="s">
        <v>75</v>
      </c>
      <c r="BA1199" s="5">
        <v>6.28</v>
      </c>
      <c r="BB1199" s="12" t="s">
        <v>76</v>
      </c>
      <c r="BC1199" s="5">
        <v>4.22</v>
      </c>
      <c r="BD1199" s="5">
        <v>154</v>
      </c>
      <c r="BE1199" s="5">
        <v>0.72</v>
      </c>
      <c r="BF1199" s="5">
        <v>4.54</v>
      </c>
      <c r="BG1199" s="15">
        <v>36.5</v>
      </c>
      <c r="BH1199" s="5">
        <v>70</v>
      </c>
      <c r="BI1199" s="5">
        <v>70</v>
      </c>
      <c r="BJ1199" s="5">
        <v>17</v>
      </c>
      <c r="BK1199" s="5">
        <v>127</v>
      </c>
      <c r="BL1199" s="5">
        <v>71</v>
      </c>
      <c r="BM1199" s="5">
        <v>70</v>
      </c>
      <c r="BN1199" s="5">
        <v>170</v>
      </c>
      <c r="BO1199" s="5">
        <f t="shared" si="18"/>
        <v>24.2214532871972</v>
      </c>
      <c r="BP1199" s="5" t="s">
        <v>121</v>
      </c>
      <c r="BQ1199" s="5" t="s">
        <v>76</v>
      </c>
      <c r="BR1199" s="5">
        <v>1700</v>
      </c>
    </row>
    <row r="1200" s="1" customFormat="1" spans="1:70">
      <c r="A1200" s="1">
        <v>3279828</v>
      </c>
      <c r="B1200" s="1" t="s">
        <v>2768</v>
      </c>
      <c r="D1200" s="4">
        <v>44963</v>
      </c>
      <c r="E1200" s="4">
        <v>44971</v>
      </c>
      <c r="F1200" s="7">
        <v>26124</v>
      </c>
      <c r="G1200" s="1">
        <v>56</v>
      </c>
      <c r="H1200" s="1">
        <v>11</v>
      </c>
      <c r="I1200" s="1">
        <v>60</v>
      </c>
      <c r="J1200" s="1">
        <v>11</v>
      </c>
      <c r="K1200" s="1">
        <v>28</v>
      </c>
      <c r="L1200" s="1">
        <v>13</v>
      </c>
      <c r="O1200" s="7">
        <v>26124</v>
      </c>
      <c r="P1200" s="4">
        <v>44963</v>
      </c>
      <c r="Q1200" s="4">
        <v>44971</v>
      </c>
      <c r="R1200" s="1" t="s">
        <v>80</v>
      </c>
      <c r="AO1200" s="7">
        <v>26124</v>
      </c>
      <c r="AP1200" s="5">
        <v>5.9</v>
      </c>
      <c r="AQ1200" s="5">
        <v>137</v>
      </c>
      <c r="AR1200" s="5">
        <v>41.6</v>
      </c>
      <c r="AS1200" s="5">
        <v>1.5</v>
      </c>
      <c r="AT1200" s="5">
        <v>39</v>
      </c>
      <c r="AU1200" s="5">
        <v>38</v>
      </c>
      <c r="AV1200" s="5">
        <v>42.6</v>
      </c>
      <c r="AW1200" s="5">
        <v>7.2</v>
      </c>
      <c r="AX1200" s="5">
        <v>99</v>
      </c>
      <c r="AY1200" s="5">
        <v>78.98</v>
      </c>
      <c r="AZ1200" s="5" t="s">
        <v>75</v>
      </c>
      <c r="BA1200" s="5">
        <v>4.12</v>
      </c>
      <c r="BB1200" s="12" t="s">
        <v>76</v>
      </c>
      <c r="BC1200" s="5">
        <v>5.5</v>
      </c>
      <c r="BD1200" s="5">
        <v>137</v>
      </c>
      <c r="BE1200" s="5">
        <v>0.94</v>
      </c>
      <c r="BF1200" s="5">
        <v>2.83</v>
      </c>
      <c r="BG1200" s="15">
        <v>36.2</v>
      </c>
      <c r="BH1200" s="5">
        <v>132</v>
      </c>
      <c r="BI1200" s="5" t="s">
        <v>76</v>
      </c>
      <c r="BJ1200" s="5">
        <v>18</v>
      </c>
      <c r="BK1200" s="5">
        <v>127</v>
      </c>
      <c r="BL1200" s="5">
        <v>84</v>
      </c>
      <c r="BM1200" s="5">
        <v>70</v>
      </c>
      <c r="BN1200" s="5">
        <v>168</v>
      </c>
      <c r="BO1200" s="5">
        <f t="shared" si="18"/>
        <v>24.8015873015873</v>
      </c>
      <c r="BP1200" s="5" t="s">
        <v>156</v>
      </c>
      <c r="BQ1200" s="5" t="s">
        <v>76</v>
      </c>
      <c r="BR1200" s="5">
        <v>5791</v>
      </c>
    </row>
    <row r="1201" s="1" customFormat="1" spans="1:70">
      <c r="A1201" s="1" t="s">
        <v>2769</v>
      </c>
      <c r="B1201" s="1" t="s">
        <v>2770</v>
      </c>
      <c r="C1201" s="1">
        <v>1</v>
      </c>
      <c r="D1201" s="4">
        <v>44957</v>
      </c>
      <c r="E1201" s="4">
        <v>44980</v>
      </c>
      <c r="F1201" s="7">
        <v>26151</v>
      </c>
      <c r="G1201" s="1">
        <v>35</v>
      </c>
      <c r="H1201" s="1">
        <v>12</v>
      </c>
      <c r="I1201" s="1">
        <v>44</v>
      </c>
      <c r="J1201" s="1">
        <v>12</v>
      </c>
      <c r="K1201" s="1">
        <v>66</v>
      </c>
      <c r="L1201" s="1">
        <v>36</v>
      </c>
      <c r="M1201" s="1">
        <v>1.12</v>
      </c>
      <c r="N1201" s="1">
        <v>19.6</v>
      </c>
      <c r="O1201" s="7">
        <v>26151</v>
      </c>
      <c r="P1201" s="4">
        <v>44957</v>
      </c>
      <c r="Q1201" s="4">
        <v>44980</v>
      </c>
      <c r="R1201" s="1" t="s">
        <v>73</v>
      </c>
      <c r="AO1201" s="7">
        <v>26151</v>
      </c>
      <c r="AP1201" s="5" t="s">
        <v>2771</v>
      </c>
      <c r="AQ1201" s="5" t="s">
        <v>212</v>
      </c>
      <c r="AR1201" s="5" t="s">
        <v>2493</v>
      </c>
      <c r="AS1201" s="5" t="s">
        <v>81</v>
      </c>
      <c r="AT1201" s="5" t="s">
        <v>171</v>
      </c>
      <c r="AU1201" s="5" t="s">
        <v>171</v>
      </c>
      <c r="AV1201" s="5" t="s">
        <v>2493</v>
      </c>
      <c r="AW1201" s="5" t="s">
        <v>2772</v>
      </c>
      <c r="AX1201" s="5" t="s">
        <v>613</v>
      </c>
      <c r="AY1201" s="5" t="s">
        <v>2773</v>
      </c>
      <c r="AZ1201" s="5" t="s">
        <v>75</v>
      </c>
      <c r="BA1201" s="5" t="s">
        <v>76</v>
      </c>
      <c r="BB1201" s="12" t="s">
        <v>76</v>
      </c>
      <c r="BC1201" s="5" t="s">
        <v>1635</v>
      </c>
      <c r="BD1201" s="5" t="s">
        <v>212</v>
      </c>
      <c r="BE1201" s="5" t="s">
        <v>76</v>
      </c>
      <c r="BF1201" s="5" t="s">
        <v>76</v>
      </c>
      <c r="BG1201" s="15">
        <v>36.6</v>
      </c>
      <c r="BH1201" s="5" t="s">
        <v>825</v>
      </c>
      <c r="BI1201" s="5" t="s">
        <v>825</v>
      </c>
      <c r="BJ1201" s="5" t="s">
        <v>319</v>
      </c>
      <c r="BK1201" s="5" t="s">
        <v>1113</v>
      </c>
      <c r="BL1201" s="5" t="s">
        <v>318</v>
      </c>
      <c r="BM1201" s="5" t="s">
        <v>131</v>
      </c>
      <c r="BN1201" s="5">
        <v>156</v>
      </c>
      <c r="BO1201" s="5">
        <f t="shared" si="18"/>
        <v>21.3675213675214</v>
      </c>
      <c r="BP1201" s="5" t="s">
        <v>1167</v>
      </c>
      <c r="BQ1201" s="5" t="s">
        <v>76</v>
      </c>
      <c r="BR1201" s="5">
        <v>9675</v>
      </c>
    </row>
    <row r="1202" s="1" customFormat="1" spans="1:70">
      <c r="A1202" s="1" t="s">
        <v>2774</v>
      </c>
      <c r="B1202" s="1" t="s">
        <v>1308</v>
      </c>
      <c r="D1202" s="4">
        <v>44942</v>
      </c>
      <c r="E1202" s="4">
        <v>44992</v>
      </c>
      <c r="F1202" s="7">
        <v>26235</v>
      </c>
      <c r="G1202" s="1">
        <v>33</v>
      </c>
      <c r="H1202" s="1">
        <v>9</v>
      </c>
      <c r="I1202" s="1">
        <v>53</v>
      </c>
      <c r="J1202" s="1">
        <v>9</v>
      </c>
      <c r="K1202" s="1">
        <v>57</v>
      </c>
      <c r="L1202" s="1">
        <v>30</v>
      </c>
      <c r="M1202" s="1">
        <v>0.57</v>
      </c>
      <c r="N1202" s="1">
        <v>5.3</v>
      </c>
      <c r="O1202" s="7">
        <v>26235</v>
      </c>
      <c r="P1202" s="4">
        <v>44942</v>
      </c>
      <c r="Q1202" s="4">
        <v>44992</v>
      </c>
      <c r="R1202" s="1" t="s">
        <v>80</v>
      </c>
      <c r="AO1202" s="7">
        <v>26235</v>
      </c>
      <c r="AP1202" s="5" t="s">
        <v>2775</v>
      </c>
      <c r="AQ1202" s="5" t="s">
        <v>89</v>
      </c>
      <c r="AR1202" s="5" t="s">
        <v>2776</v>
      </c>
      <c r="AS1202" s="5" t="s">
        <v>381</v>
      </c>
      <c r="AT1202" s="5" t="s">
        <v>290</v>
      </c>
      <c r="AU1202" s="5" t="s">
        <v>201</v>
      </c>
      <c r="AV1202" s="5" t="s">
        <v>552</v>
      </c>
      <c r="AW1202" s="5" t="s">
        <v>2777</v>
      </c>
      <c r="AX1202" s="5" t="s">
        <v>1455</v>
      </c>
      <c r="AY1202" s="5" t="s">
        <v>125</v>
      </c>
      <c r="AZ1202" s="5" t="s">
        <v>75</v>
      </c>
      <c r="BA1202" s="5" t="s">
        <v>76</v>
      </c>
      <c r="BB1202" s="12" t="s">
        <v>76</v>
      </c>
      <c r="BC1202" s="5" t="s">
        <v>2091</v>
      </c>
      <c r="BD1202" s="5" t="s">
        <v>89</v>
      </c>
      <c r="BE1202" s="5" t="s">
        <v>76</v>
      </c>
      <c r="BF1202" s="5" t="s">
        <v>76</v>
      </c>
      <c r="BG1202" s="15">
        <v>39</v>
      </c>
      <c r="BH1202" s="5" t="s">
        <v>76</v>
      </c>
      <c r="BI1202" s="5" t="s">
        <v>284</v>
      </c>
      <c r="BJ1202" s="5" t="s">
        <v>1475</v>
      </c>
      <c r="BK1202" s="5" t="s">
        <v>709</v>
      </c>
      <c r="BL1202" s="5" t="s">
        <v>232</v>
      </c>
      <c r="BM1202" s="5" t="s">
        <v>77</v>
      </c>
      <c r="BN1202" s="5" t="s">
        <v>77</v>
      </c>
      <c r="BO1202" s="5" t="e">
        <f t="shared" si="18"/>
        <v>#VALUE!</v>
      </c>
      <c r="BP1202" s="5" t="s">
        <v>1415</v>
      </c>
      <c r="BQ1202" s="5" t="s">
        <v>76</v>
      </c>
      <c r="BR1202" s="5">
        <v>9843</v>
      </c>
    </row>
    <row r="1203" s="1" customFormat="1" spans="1:70">
      <c r="A1203" s="1" t="s">
        <v>2778</v>
      </c>
      <c r="B1203" s="1" t="s">
        <v>2779</v>
      </c>
      <c r="C1203" s="1">
        <v>1</v>
      </c>
      <c r="D1203" s="4">
        <v>44974</v>
      </c>
      <c r="E1203" s="4">
        <v>45030</v>
      </c>
      <c r="F1203" s="7">
        <v>26247</v>
      </c>
      <c r="G1203" s="1">
        <v>42</v>
      </c>
      <c r="H1203" s="1">
        <v>9</v>
      </c>
      <c r="I1203" s="1">
        <v>48</v>
      </c>
      <c r="J1203" s="1">
        <v>9</v>
      </c>
      <c r="K1203" s="1">
        <v>59</v>
      </c>
      <c r="L1203" s="1">
        <v>31</v>
      </c>
      <c r="M1203" s="1">
        <v>1.17</v>
      </c>
      <c r="N1203" s="1">
        <v>15.8</v>
      </c>
      <c r="O1203" s="7">
        <v>26247</v>
      </c>
      <c r="P1203" s="4">
        <v>44974</v>
      </c>
      <c r="Q1203" s="4">
        <v>45030</v>
      </c>
      <c r="R1203" s="1" t="s">
        <v>73</v>
      </c>
      <c r="AO1203" s="7">
        <v>26247</v>
      </c>
      <c r="AP1203" s="5" t="s">
        <v>522</v>
      </c>
      <c r="AQ1203" s="5" t="s">
        <v>613</v>
      </c>
      <c r="AR1203" s="5" t="s">
        <v>756</v>
      </c>
      <c r="AS1203" s="5" t="s">
        <v>2780</v>
      </c>
      <c r="AT1203" s="5" t="s">
        <v>129</v>
      </c>
      <c r="AU1203" s="5" t="s">
        <v>1000</v>
      </c>
      <c r="AV1203" s="5" t="s">
        <v>2781</v>
      </c>
      <c r="AW1203" s="5" t="s">
        <v>2782</v>
      </c>
      <c r="AX1203" s="5" t="s">
        <v>1455</v>
      </c>
      <c r="AY1203" s="5" t="s">
        <v>125</v>
      </c>
      <c r="AZ1203" s="5" t="s">
        <v>75</v>
      </c>
      <c r="BA1203" s="5" t="s">
        <v>76</v>
      </c>
      <c r="BB1203" s="12" t="s">
        <v>76</v>
      </c>
      <c r="BC1203" s="5" t="s">
        <v>4</v>
      </c>
      <c r="BD1203" s="5" t="s">
        <v>613</v>
      </c>
      <c r="BE1203" s="5" t="s">
        <v>76</v>
      </c>
      <c r="BF1203" s="5" t="s">
        <v>76</v>
      </c>
      <c r="BG1203" s="15">
        <v>36.6</v>
      </c>
      <c r="BH1203" s="5" t="s">
        <v>232</v>
      </c>
      <c r="BI1203" s="5" t="s">
        <v>232</v>
      </c>
      <c r="BJ1203" s="5" t="s">
        <v>246</v>
      </c>
      <c r="BK1203" s="5" t="s">
        <v>972</v>
      </c>
      <c r="BL1203" s="5" t="s">
        <v>140</v>
      </c>
      <c r="BM1203" s="5" t="s">
        <v>2783</v>
      </c>
      <c r="BN1203" s="5">
        <v>156</v>
      </c>
      <c r="BO1203" s="5">
        <f t="shared" si="18"/>
        <v>23.5042735042735</v>
      </c>
      <c r="BP1203" s="5" t="s">
        <v>2784</v>
      </c>
      <c r="BQ1203" s="5" t="s">
        <v>76</v>
      </c>
      <c r="BR1203" s="5">
        <v>9578</v>
      </c>
    </row>
    <row r="1204" s="1" customFormat="1" spans="1:70">
      <c r="A1204" s="1">
        <v>3256673</v>
      </c>
      <c r="B1204" s="1" t="s">
        <v>2785</v>
      </c>
      <c r="D1204" s="4">
        <v>44922</v>
      </c>
      <c r="E1204" s="4">
        <v>44943</v>
      </c>
      <c r="F1204" s="7">
        <v>26299</v>
      </c>
      <c r="G1204" s="1">
        <v>37</v>
      </c>
      <c r="H1204" s="1">
        <v>10</v>
      </c>
      <c r="I1204" s="1">
        <v>49</v>
      </c>
      <c r="J1204" s="1">
        <v>10</v>
      </c>
      <c r="K1204" s="1">
        <v>58</v>
      </c>
      <c r="L1204" s="1">
        <v>31</v>
      </c>
      <c r="M1204" s="1">
        <v>0.68</v>
      </c>
      <c r="N1204" s="1">
        <v>11.5</v>
      </c>
      <c r="O1204" s="7">
        <v>26299</v>
      </c>
      <c r="P1204" s="4">
        <v>44922</v>
      </c>
      <c r="Q1204" s="4">
        <v>44943</v>
      </c>
      <c r="R1204" s="1" t="s">
        <v>80</v>
      </c>
      <c r="S1204" s="1">
        <v>50</v>
      </c>
      <c r="T1204" s="1">
        <v>15055367287</v>
      </c>
      <c r="V1204" s="1">
        <v>1</v>
      </c>
      <c r="X1204" s="1">
        <v>1</v>
      </c>
      <c r="AA1204" s="1">
        <v>1</v>
      </c>
      <c r="AH1204" s="1">
        <v>1</v>
      </c>
      <c r="AM1204" s="1">
        <v>1</v>
      </c>
      <c r="AN1204" s="1">
        <v>1</v>
      </c>
      <c r="AO1204" s="7">
        <v>26299</v>
      </c>
      <c r="AP1204" s="5">
        <v>8.2</v>
      </c>
      <c r="AQ1204" s="5">
        <v>97</v>
      </c>
      <c r="AR1204" s="5">
        <v>30.1</v>
      </c>
      <c r="AS1204" s="5">
        <v>9.7</v>
      </c>
      <c r="AT1204" s="5">
        <v>57</v>
      </c>
      <c r="AU1204" s="5">
        <v>59</v>
      </c>
      <c r="AV1204" s="5">
        <v>38.3</v>
      </c>
      <c r="AW1204" s="5">
        <v>26.18</v>
      </c>
      <c r="AX1204" s="5">
        <v>399</v>
      </c>
      <c r="AY1204" s="5">
        <v>35.49</v>
      </c>
      <c r="AZ1204" s="5" t="s">
        <v>75</v>
      </c>
      <c r="BA1204" s="5">
        <v>2.43</v>
      </c>
      <c r="BB1204" s="12" t="s">
        <v>76</v>
      </c>
      <c r="BC1204" s="5">
        <v>5.09</v>
      </c>
      <c r="BD1204" s="5">
        <v>97</v>
      </c>
      <c r="BE1204" s="5">
        <v>0.64</v>
      </c>
      <c r="BF1204" s="5">
        <v>1.13</v>
      </c>
      <c r="BG1204" s="15">
        <v>36.5</v>
      </c>
      <c r="BH1204" s="5">
        <v>104</v>
      </c>
      <c r="BI1204" s="5">
        <v>104</v>
      </c>
      <c r="BJ1204" s="5">
        <v>18</v>
      </c>
      <c r="BK1204" s="5">
        <v>130</v>
      </c>
      <c r="BL1204" s="5">
        <v>82</v>
      </c>
      <c r="BM1204" s="5">
        <v>90</v>
      </c>
      <c r="BN1204" s="5">
        <v>175</v>
      </c>
      <c r="BO1204" s="5">
        <f t="shared" si="18"/>
        <v>29.3877551020408</v>
      </c>
      <c r="BP1204" s="5" t="s">
        <v>258</v>
      </c>
      <c r="BQ1204" s="5">
        <v>5.9</v>
      </c>
      <c r="BR1204" s="5">
        <v>911</v>
      </c>
    </row>
    <row r="1205" s="1" customFormat="1" spans="1:70">
      <c r="A1205" s="1">
        <v>3489775</v>
      </c>
      <c r="B1205" s="1" t="s">
        <v>2786</v>
      </c>
      <c r="C1205" s="1">
        <v>1</v>
      </c>
      <c r="D1205" s="4">
        <v>45253</v>
      </c>
      <c r="E1205" s="4">
        <v>45264</v>
      </c>
      <c r="F1205" s="7">
        <v>26302</v>
      </c>
      <c r="G1205" s="1">
        <v>38</v>
      </c>
      <c r="H1205" s="1">
        <v>9</v>
      </c>
      <c r="I1205" s="1">
        <v>47</v>
      </c>
      <c r="J1205" s="1">
        <v>9</v>
      </c>
      <c r="K1205" s="1">
        <v>63</v>
      </c>
      <c r="L1205" s="1">
        <v>34</v>
      </c>
      <c r="M1205" s="1">
        <v>0.81</v>
      </c>
      <c r="O1205" s="7">
        <v>26302</v>
      </c>
      <c r="P1205" s="4">
        <v>45253</v>
      </c>
      <c r="Q1205" s="4">
        <v>45264</v>
      </c>
      <c r="R1205" s="1" t="s">
        <v>80</v>
      </c>
      <c r="AO1205" s="7">
        <v>26302</v>
      </c>
      <c r="AP1205" s="5">
        <v>9.1</v>
      </c>
      <c r="AQ1205" s="5">
        <v>97</v>
      </c>
      <c r="AR1205" s="5">
        <v>54.1</v>
      </c>
      <c r="AS1205" s="5">
        <v>66.8</v>
      </c>
      <c r="AT1205" s="5">
        <v>91</v>
      </c>
      <c r="AU1205" s="5">
        <v>85</v>
      </c>
      <c r="AV1205" s="5">
        <v>34.9</v>
      </c>
      <c r="AW1205" s="5">
        <v>99.2</v>
      </c>
      <c r="AX1205" s="5">
        <v>817</v>
      </c>
      <c r="AY1205" s="5" t="s">
        <v>76</v>
      </c>
      <c r="AZ1205" s="5">
        <v>9</v>
      </c>
      <c r="BA1205" s="5" t="s">
        <v>76</v>
      </c>
      <c r="BB1205" s="12" t="s">
        <v>76</v>
      </c>
      <c r="BC1205" s="5">
        <v>6.35</v>
      </c>
      <c r="BD1205" s="5">
        <v>97</v>
      </c>
      <c r="BE1205" s="5" t="s">
        <v>76</v>
      </c>
      <c r="BF1205" s="5" t="s">
        <v>76</v>
      </c>
      <c r="BG1205" s="15">
        <v>40</v>
      </c>
      <c r="BH1205" s="5">
        <v>148</v>
      </c>
      <c r="BI1205" s="5">
        <v>148</v>
      </c>
      <c r="BJ1205" s="5">
        <v>15</v>
      </c>
      <c r="BK1205" s="5">
        <v>82</v>
      </c>
      <c r="BL1205" s="5">
        <v>43</v>
      </c>
      <c r="BM1205" s="5">
        <v>70</v>
      </c>
      <c r="BN1205" s="5">
        <v>170</v>
      </c>
      <c r="BO1205" s="5">
        <f t="shared" si="18"/>
        <v>24.2214532871972</v>
      </c>
      <c r="BP1205" s="5" t="s">
        <v>394</v>
      </c>
      <c r="BQ1205" s="5" t="s">
        <v>76</v>
      </c>
      <c r="BR1205" s="5">
        <v>961.2</v>
      </c>
    </row>
    <row r="1206" s="1" customFormat="1" spans="1:70">
      <c r="A1206" s="1" t="s">
        <v>2787</v>
      </c>
      <c r="B1206" s="1" t="s">
        <v>2788</v>
      </c>
      <c r="C1206" s="1">
        <v>1</v>
      </c>
      <c r="D1206" s="4">
        <v>45006</v>
      </c>
      <c r="E1206" s="4">
        <v>45028</v>
      </c>
      <c r="F1206" s="7">
        <v>26316</v>
      </c>
      <c r="G1206" s="1">
        <v>42</v>
      </c>
      <c r="H1206" s="1">
        <v>10</v>
      </c>
      <c r="I1206" s="1">
        <v>54</v>
      </c>
      <c r="J1206" s="1">
        <v>9</v>
      </c>
      <c r="K1206" s="1">
        <v>65</v>
      </c>
      <c r="L1206" s="1">
        <v>36</v>
      </c>
      <c r="M1206" s="1">
        <v>0.35</v>
      </c>
      <c r="N1206" s="1">
        <v>11</v>
      </c>
      <c r="O1206" s="7">
        <v>26316</v>
      </c>
      <c r="P1206" s="4">
        <v>45006</v>
      </c>
      <c r="Q1206" s="4">
        <v>45028</v>
      </c>
      <c r="R1206" s="1" t="s">
        <v>80</v>
      </c>
      <c r="S1206" s="1">
        <v>51</v>
      </c>
      <c r="T1206" s="1" t="s">
        <v>2789</v>
      </c>
      <c r="V1206" s="1">
        <v>1</v>
      </c>
      <c r="X1206" s="1">
        <v>1</v>
      </c>
      <c r="AK1206" s="1">
        <v>1</v>
      </c>
      <c r="AL1206" s="1">
        <v>1</v>
      </c>
      <c r="AM1206" s="1">
        <v>1</v>
      </c>
      <c r="AO1206" s="7">
        <v>26316</v>
      </c>
      <c r="AP1206" s="5" t="s">
        <v>2790</v>
      </c>
      <c r="AQ1206" s="5" t="s">
        <v>89</v>
      </c>
      <c r="AR1206" s="5" t="s">
        <v>1083</v>
      </c>
      <c r="AS1206" s="5" t="s">
        <v>76</v>
      </c>
      <c r="AT1206" s="5" t="s">
        <v>101</v>
      </c>
      <c r="AU1206" s="5" t="s">
        <v>101</v>
      </c>
      <c r="AV1206" s="5" t="s">
        <v>181</v>
      </c>
      <c r="AW1206" s="5" t="s">
        <v>596</v>
      </c>
      <c r="AX1206" s="5" t="s">
        <v>195</v>
      </c>
      <c r="AY1206" s="5" t="s">
        <v>125</v>
      </c>
      <c r="AZ1206" s="5" t="s">
        <v>1987</v>
      </c>
      <c r="BA1206" s="5" t="s">
        <v>2040</v>
      </c>
      <c r="BB1206" s="12" t="s">
        <v>76</v>
      </c>
      <c r="BC1206" s="5" t="s">
        <v>428</v>
      </c>
      <c r="BD1206" s="5" t="s">
        <v>89</v>
      </c>
      <c r="BE1206" s="5" t="s">
        <v>2791</v>
      </c>
      <c r="BF1206" s="5" t="s">
        <v>2792</v>
      </c>
      <c r="BG1206" s="15">
        <v>36.3</v>
      </c>
      <c r="BH1206" s="5" t="s">
        <v>129</v>
      </c>
      <c r="BI1206" s="5" t="s">
        <v>129</v>
      </c>
      <c r="BJ1206" s="5" t="s">
        <v>246</v>
      </c>
      <c r="BK1206" s="5" t="s">
        <v>450</v>
      </c>
      <c r="BL1206" s="5" t="s">
        <v>499</v>
      </c>
      <c r="BM1206" s="5" t="s">
        <v>468</v>
      </c>
      <c r="BN1206" s="5">
        <v>163</v>
      </c>
      <c r="BO1206" s="5">
        <f t="shared" si="18"/>
        <v>24.4646016033724</v>
      </c>
      <c r="BP1206" s="5" t="s">
        <v>799</v>
      </c>
      <c r="BQ1206" s="5" t="s">
        <v>1987</v>
      </c>
      <c r="BR1206" s="5">
        <v>7300</v>
      </c>
    </row>
    <row r="1207" s="1" customFormat="1" spans="1:70">
      <c r="A1207" s="1">
        <v>3269149</v>
      </c>
      <c r="B1207" s="1" t="s">
        <v>2793</v>
      </c>
      <c r="D1207" s="4">
        <v>44947</v>
      </c>
      <c r="E1207" s="4">
        <v>44956</v>
      </c>
      <c r="F1207" s="7">
        <v>26323</v>
      </c>
      <c r="G1207" s="1">
        <v>33</v>
      </c>
      <c r="H1207" s="1">
        <v>10</v>
      </c>
      <c r="I1207" s="1">
        <v>45</v>
      </c>
      <c r="J1207" s="1">
        <v>9</v>
      </c>
      <c r="K1207" s="1">
        <v>52</v>
      </c>
      <c r="L1207" s="1">
        <v>27</v>
      </c>
      <c r="M1207" s="1">
        <v>0.77</v>
      </c>
      <c r="N1207" s="1">
        <v>14.1</v>
      </c>
      <c r="O1207" s="7">
        <v>26323</v>
      </c>
      <c r="P1207" s="4">
        <v>44947</v>
      </c>
      <c r="Q1207" s="4">
        <v>44956</v>
      </c>
      <c r="R1207" s="1" t="s">
        <v>80</v>
      </c>
      <c r="AO1207" s="7">
        <v>26323</v>
      </c>
      <c r="AP1207" s="5">
        <v>6.8</v>
      </c>
      <c r="AQ1207" s="5">
        <v>119</v>
      </c>
      <c r="AR1207" s="5">
        <v>35.3</v>
      </c>
      <c r="AS1207" s="5" t="s">
        <v>881</v>
      </c>
      <c r="AT1207" s="5">
        <v>99</v>
      </c>
      <c r="AU1207" s="5">
        <v>90</v>
      </c>
      <c r="AV1207" s="5">
        <v>40.3</v>
      </c>
      <c r="AW1207" s="5">
        <v>7.81</v>
      </c>
      <c r="AX1207" s="5">
        <v>83</v>
      </c>
      <c r="AY1207" s="5" t="s">
        <v>125</v>
      </c>
      <c r="AZ1207" s="5" t="s">
        <v>75</v>
      </c>
      <c r="BA1207" s="5">
        <v>6.38</v>
      </c>
      <c r="BB1207" s="12" t="s">
        <v>76</v>
      </c>
      <c r="BC1207" s="5">
        <v>4.51</v>
      </c>
      <c r="BD1207" s="5">
        <v>119</v>
      </c>
      <c r="BE1207" s="5">
        <v>0.87</v>
      </c>
      <c r="BF1207" s="5">
        <v>3.92</v>
      </c>
      <c r="BG1207" s="15">
        <v>36.5</v>
      </c>
      <c r="BH1207" s="5">
        <v>98</v>
      </c>
      <c r="BI1207" s="5">
        <v>98</v>
      </c>
      <c r="BJ1207" s="5">
        <v>16</v>
      </c>
      <c r="BK1207" s="5">
        <v>139</v>
      </c>
      <c r="BL1207" s="5">
        <v>98</v>
      </c>
      <c r="BM1207" s="5">
        <v>65</v>
      </c>
      <c r="BN1207" s="5">
        <v>160</v>
      </c>
      <c r="BO1207" s="5">
        <f t="shared" si="18"/>
        <v>25.390625</v>
      </c>
      <c r="BP1207" s="5" t="s">
        <v>323</v>
      </c>
      <c r="BQ1207" s="5">
        <v>5.9</v>
      </c>
      <c r="BR1207" s="5">
        <v>478</v>
      </c>
    </row>
    <row r="1208" s="1" customFormat="1" spans="1:70">
      <c r="A1208" s="1">
        <v>3250781</v>
      </c>
      <c r="B1208" s="1" t="s">
        <v>2794</v>
      </c>
      <c r="D1208" s="4">
        <v>44902</v>
      </c>
      <c r="E1208" s="4">
        <v>44917</v>
      </c>
      <c r="F1208" s="7">
        <v>26336</v>
      </c>
      <c r="G1208" s="1">
        <v>29</v>
      </c>
      <c r="H1208" s="1">
        <v>8</v>
      </c>
      <c r="I1208" s="1">
        <v>42</v>
      </c>
      <c r="J1208" s="1">
        <v>8</v>
      </c>
      <c r="K1208" s="1">
        <v>62</v>
      </c>
      <c r="L1208" s="1">
        <v>32</v>
      </c>
      <c r="M1208" s="1">
        <v>1.14</v>
      </c>
      <c r="N1208" s="1">
        <v>10.7</v>
      </c>
      <c r="O1208" s="7">
        <v>26336</v>
      </c>
      <c r="P1208" s="4">
        <v>44902</v>
      </c>
      <c r="Q1208" s="4">
        <v>44917</v>
      </c>
      <c r="R1208" s="1" t="s">
        <v>73</v>
      </c>
      <c r="AO1208" s="7">
        <v>26336</v>
      </c>
      <c r="AP1208" s="5">
        <v>5.8</v>
      </c>
      <c r="AQ1208" s="5">
        <v>122</v>
      </c>
      <c r="AR1208" s="5">
        <v>40.2</v>
      </c>
      <c r="AS1208" s="5">
        <v>6.5</v>
      </c>
      <c r="AT1208" s="5">
        <v>18</v>
      </c>
      <c r="AU1208" s="5">
        <v>14</v>
      </c>
      <c r="AV1208" s="5">
        <v>36.6</v>
      </c>
      <c r="AW1208" s="5">
        <v>6.9</v>
      </c>
      <c r="AX1208" s="5">
        <v>60</v>
      </c>
      <c r="AY1208" s="5" t="s">
        <v>125</v>
      </c>
      <c r="AZ1208" s="5" t="s">
        <v>75</v>
      </c>
      <c r="BA1208" s="5" t="s">
        <v>76</v>
      </c>
      <c r="BB1208" s="12" t="s">
        <v>76</v>
      </c>
      <c r="BC1208" s="5">
        <v>3.23</v>
      </c>
      <c r="BD1208" s="5">
        <v>122</v>
      </c>
      <c r="BE1208" s="5" t="s">
        <v>76</v>
      </c>
      <c r="BF1208" s="5" t="s">
        <v>76</v>
      </c>
      <c r="BG1208" s="15">
        <v>36.2</v>
      </c>
      <c r="BH1208" s="5">
        <v>79</v>
      </c>
      <c r="BI1208" s="5" t="s">
        <v>76</v>
      </c>
      <c r="BJ1208" s="5">
        <v>16</v>
      </c>
      <c r="BK1208" s="5">
        <v>145</v>
      </c>
      <c r="BL1208" s="5">
        <v>83</v>
      </c>
      <c r="BM1208" s="5">
        <v>50</v>
      </c>
      <c r="BN1208" s="5">
        <v>158</v>
      </c>
      <c r="BO1208" s="5">
        <f t="shared" si="18"/>
        <v>20.0288415318058</v>
      </c>
      <c r="BP1208" s="5" t="s">
        <v>109</v>
      </c>
      <c r="BQ1208" s="5" t="s">
        <v>76</v>
      </c>
      <c r="BR1208" s="5">
        <v>761</v>
      </c>
    </row>
    <row r="1209" s="1" customFormat="1" spans="1:70">
      <c r="A1209" s="1">
        <v>3268069</v>
      </c>
      <c r="B1209" s="1" t="s">
        <v>2795</v>
      </c>
      <c r="D1209" s="4">
        <v>44943</v>
      </c>
      <c r="E1209" s="4">
        <v>44962</v>
      </c>
      <c r="F1209" s="7">
        <v>26375</v>
      </c>
      <c r="G1209" s="1">
        <v>32</v>
      </c>
      <c r="H1209" s="1">
        <v>9</v>
      </c>
      <c r="I1209" s="1">
        <v>48</v>
      </c>
      <c r="J1209" s="1">
        <v>9</v>
      </c>
      <c r="K1209" s="1">
        <v>56</v>
      </c>
      <c r="L1209" s="1">
        <v>29</v>
      </c>
      <c r="M1209" s="1">
        <v>1.35</v>
      </c>
      <c r="N1209" s="10">
        <v>14</v>
      </c>
      <c r="O1209" s="7">
        <v>26375</v>
      </c>
      <c r="P1209" s="4">
        <v>44943</v>
      </c>
      <c r="Q1209" s="4">
        <v>44962</v>
      </c>
      <c r="R1209" s="1" t="s">
        <v>73</v>
      </c>
      <c r="AO1209" s="7">
        <v>26375</v>
      </c>
      <c r="AP1209" s="5">
        <v>9.8</v>
      </c>
      <c r="AQ1209" s="5">
        <v>88</v>
      </c>
      <c r="AR1209" s="5">
        <v>34</v>
      </c>
      <c r="AS1209" s="5">
        <v>9.9</v>
      </c>
      <c r="AT1209" s="5">
        <v>7</v>
      </c>
      <c r="AU1209" s="5" t="s">
        <v>171</v>
      </c>
      <c r="AV1209" s="5">
        <v>34.1</v>
      </c>
      <c r="AW1209" s="5">
        <v>9.1</v>
      </c>
      <c r="AX1209" s="5">
        <v>94</v>
      </c>
      <c r="AY1209" s="5" t="s">
        <v>125</v>
      </c>
      <c r="AZ1209" s="5" t="s">
        <v>75</v>
      </c>
      <c r="BA1209" s="5" t="s">
        <v>76</v>
      </c>
      <c r="BB1209" s="12" t="s">
        <v>76</v>
      </c>
      <c r="BC1209" s="5">
        <v>5.18</v>
      </c>
      <c r="BD1209" s="5">
        <v>88</v>
      </c>
      <c r="BE1209" s="5" t="s">
        <v>76</v>
      </c>
      <c r="BF1209" s="5" t="s">
        <v>76</v>
      </c>
      <c r="BG1209" s="15">
        <v>38</v>
      </c>
      <c r="BH1209" s="5">
        <v>101</v>
      </c>
      <c r="BI1209" s="5" t="s">
        <v>76</v>
      </c>
      <c r="BJ1209" s="5">
        <v>18</v>
      </c>
      <c r="BK1209" s="5">
        <v>128</v>
      </c>
      <c r="BL1209" s="5">
        <v>80</v>
      </c>
      <c r="BM1209" s="5">
        <v>56</v>
      </c>
      <c r="BN1209" s="5">
        <v>158</v>
      </c>
      <c r="BO1209" s="5">
        <f t="shared" si="18"/>
        <v>22.4323025156225</v>
      </c>
      <c r="BP1209" s="5" t="s">
        <v>109</v>
      </c>
      <c r="BQ1209" s="5">
        <v>12.2</v>
      </c>
      <c r="BR1209" s="5">
        <v>9473</v>
      </c>
    </row>
    <row r="1210" s="1" customFormat="1" spans="1:70">
      <c r="A1210" s="1">
        <v>3513348</v>
      </c>
      <c r="B1210" s="1" t="s">
        <v>2796</v>
      </c>
      <c r="C1210" s="1">
        <v>1</v>
      </c>
      <c r="D1210" s="4">
        <v>45285</v>
      </c>
      <c r="E1210" s="4">
        <v>45294</v>
      </c>
      <c r="F1210" s="7">
        <v>26378</v>
      </c>
      <c r="G1210" s="1">
        <v>43</v>
      </c>
      <c r="H1210" s="1">
        <v>12</v>
      </c>
      <c r="I1210" s="1">
        <v>54</v>
      </c>
      <c r="J1210" s="1">
        <v>12</v>
      </c>
      <c r="K1210" s="1">
        <v>65</v>
      </c>
      <c r="L1210" s="1">
        <v>36</v>
      </c>
      <c r="M1210" s="1">
        <v>0.63</v>
      </c>
      <c r="N1210" s="10">
        <v>21</v>
      </c>
      <c r="O1210" s="7">
        <v>26378</v>
      </c>
      <c r="P1210" s="4">
        <v>45285</v>
      </c>
      <c r="Q1210" s="4">
        <v>45294</v>
      </c>
      <c r="R1210" s="1" t="s">
        <v>73</v>
      </c>
      <c r="AO1210" s="7">
        <v>26378</v>
      </c>
      <c r="AP1210" s="5">
        <v>7.6</v>
      </c>
      <c r="AQ1210" s="5">
        <v>86</v>
      </c>
      <c r="AR1210" s="5">
        <v>27.7</v>
      </c>
      <c r="AS1210" s="5" t="s">
        <v>76</v>
      </c>
      <c r="AT1210" s="5">
        <v>16</v>
      </c>
      <c r="AU1210" s="5">
        <v>11</v>
      </c>
      <c r="AV1210" s="5" t="s">
        <v>303</v>
      </c>
      <c r="AW1210" s="5">
        <v>4.21</v>
      </c>
      <c r="AX1210" s="5">
        <v>743</v>
      </c>
      <c r="AY1210" s="5" t="s">
        <v>76</v>
      </c>
      <c r="AZ1210" s="5">
        <v>9.07</v>
      </c>
      <c r="BA1210" s="5">
        <v>4.03</v>
      </c>
      <c r="BB1210" s="12" t="s">
        <v>76</v>
      </c>
      <c r="BC1210" s="5">
        <v>4.31</v>
      </c>
      <c r="BD1210" s="5">
        <v>86</v>
      </c>
      <c r="BE1210" s="5" t="s">
        <v>76</v>
      </c>
      <c r="BF1210" s="5" t="s">
        <v>76</v>
      </c>
      <c r="BG1210" s="15">
        <v>36.6</v>
      </c>
      <c r="BH1210" s="5">
        <v>80</v>
      </c>
      <c r="BI1210" s="5">
        <v>80</v>
      </c>
      <c r="BJ1210" s="5">
        <v>20</v>
      </c>
      <c r="BK1210" s="5">
        <v>140</v>
      </c>
      <c r="BL1210" s="5">
        <v>94</v>
      </c>
      <c r="BM1210" s="5">
        <v>77.5</v>
      </c>
      <c r="BN1210" s="5">
        <v>158</v>
      </c>
      <c r="BO1210" s="5">
        <f t="shared" si="18"/>
        <v>31.044704374299</v>
      </c>
      <c r="BP1210" s="5" t="s">
        <v>415</v>
      </c>
      <c r="BQ1210" s="5" t="s">
        <v>76</v>
      </c>
      <c r="BR1210" s="5" t="s">
        <v>118</v>
      </c>
    </row>
    <row r="1211" s="1" customFormat="1" spans="1:70">
      <c r="A1211" s="1">
        <v>3255570</v>
      </c>
      <c r="B1211" s="1" t="s">
        <v>2797</v>
      </c>
      <c r="D1211" s="4">
        <v>44920</v>
      </c>
      <c r="E1211" s="4">
        <v>44924</v>
      </c>
      <c r="F1211" s="7">
        <v>26381</v>
      </c>
      <c r="G1211" s="1">
        <v>34</v>
      </c>
      <c r="H1211" s="1">
        <v>10</v>
      </c>
      <c r="I1211" s="1">
        <v>50</v>
      </c>
      <c r="J1211" s="1">
        <v>9</v>
      </c>
      <c r="K1211" s="1">
        <v>53</v>
      </c>
      <c r="L1211" s="1">
        <v>28</v>
      </c>
      <c r="M1211" s="1">
        <v>0.67</v>
      </c>
      <c r="N1211" s="1">
        <v>10.5</v>
      </c>
      <c r="O1211" s="7">
        <v>26381</v>
      </c>
      <c r="P1211" s="4">
        <v>44920</v>
      </c>
      <c r="Q1211" s="4">
        <v>44924</v>
      </c>
      <c r="R1211" s="1" t="s">
        <v>80</v>
      </c>
      <c r="AO1211" s="7">
        <v>26381</v>
      </c>
      <c r="AP1211" s="5">
        <v>7.3</v>
      </c>
      <c r="AQ1211" s="5">
        <v>156</v>
      </c>
      <c r="AR1211" s="5">
        <v>48.9</v>
      </c>
      <c r="AS1211" s="5">
        <v>8.5</v>
      </c>
      <c r="AT1211" s="5">
        <v>90</v>
      </c>
      <c r="AU1211" s="5">
        <v>47</v>
      </c>
      <c r="AV1211" s="5">
        <v>39.9</v>
      </c>
      <c r="AW1211" s="5">
        <v>7.86</v>
      </c>
      <c r="AX1211" s="5">
        <v>78</v>
      </c>
      <c r="AY1211" s="5">
        <v>111.91</v>
      </c>
      <c r="AZ1211" s="5" t="s">
        <v>75</v>
      </c>
      <c r="BA1211" s="5">
        <v>5.22</v>
      </c>
      <c r="BB1211" s="12" t="s">
        <v>76</v>
      </c>
      <c r="BC1211" s="5">
        <v>4.01</v>
      </c>
      <c r="BD1211" s="5">
        <v>156</v>
      </c>
      <c r="BE1211" s="5">
        <v>0.6</v>
      </c>
      <c r="BF1211" s="5">
        <v>3.52</v>
      </c>
      <c r="BG1211" s="15">
        <v>36.5</v>
      </c>
      <c r="BH1211" s="5">
        <v>92</v>
      </c>
      <c r="BI1211" s="5">
        <v>92</v>
      </c>
      <c r="BJ1211" s="5">
        <v>18</v>
      </c>
      <c r="BK1211" s="5">
        <v>128</v>
      </c>
      <c r="BL1211" s="5">
        <v>93</v>
      </c>
      <c r="BM1211" s="5">
        <v>82</v>
      </c>
      <c r="BN1211" s="5">
        <v>170</v>
      </c>
      <c r="BO1211" s="5">
        <f t="shared" si="18"/>
        <v>28.3737024221453</v>
      </c>
      <c r="BP1211" s="5" t="s">
        <v>323</v>
      </c>
      <c r="BQ1211" s="5">
        <v>5.9</v>
      </c>
      <c r="BR1211" s="5">
        <v>813</v>
      </c>
    </row>
    <row r="1212" s="1" customFormat="1" spans="1:70">
      <c r="A1212" s="1">
        <v>3494413</v>
      </c>
      <c r="B1212" s="1" t="s">
        <v>2798</v>
      </c>
      <c r="C1212" s="1">
        <v>1</v>
      </c>
      <c r="D1212" s="4">
        <v>45260</v>
      </c>
      <c r="E1212" s="4">
        <v>45269</v>
      </c>
      <c r="F1212" s="7">
        <v>26385</v>
      </c>
      <c r="G1212" s="1">
        <v>34</v>
      </c>
      <c r="H1212" s="1">
        <v>9</v>
      </c>
      <c r="I1212" s="1">
        <v>49</v>
      </c>
      <c r="J1212" s="1">
        <v>9</v>
      </c>
      <c r="K1212" s="1">
        <v>66</v>
      </c>
      <c r="L1212" s="1">
        <v>36</v>
      </c>
      <c r="M1212" s="1">
        <v>0.67</v>
      </c>
      <c r="N1212" s="1">
        <v>9.9</v>
      </c>
      <c r="O1212" s="7">
        <v>26385</v>
      </c>
      <c r="P1212" s="4">
        <v>45260</v>
      </c>
      <c r="Q1212" s="4">
        <v>45269</v>
      </c>
      <c r="R1212" s="1" t="s">
        <v>80</v>
      </c>
      <c r="S1212" s="1">
        <v>51</v>
      </c>
      <c r="T1212" s="1">
        <v>18905200989</v>
      </c>
      <c r="V1212" s="1">
        <v>1</v>
      </c>
      <c r="W1212" s="1">
        <v>1</v>
      </c>
      <c r="X1212" s="1">
        <v>1</v>
      </c>
      <c r="Z1212" s="1">
        <v>1</v>
      </c>
      <c r="AA1212" s="1">
        <v>1</v>
      </c>
      <c r="AC1212" s="1">
        <v>1</v>
      </c>
      <c r="AG1212" s="1">
        <v>1</v>
      </c>
      <c r="AH1212" s="1">
        <v>1</v>
      </c>
      <c r="AK1212" s="1">
        <v>1</v>
      </c>
      <c r="AM1212" s="1">
        <v>1</v>
      </c>
      <c r="AN1212" s="1">
        <v>1</v>
      </c>
      <c r="AO1212" s="7">
        <v>26385</v>
      </c>
      <c r="AP1212" s="5">
        <v>5.9</v>
      </c>
      <c r="AQ1212" s="5">
        <v>109</v>
      </c>
      <c r="AR1212" s="5">
        <v>34</v>
      </c>
      <c r="AS1212" s="5">
        <v>0.9</v>
      </c>
      <c r="AT1212" s="5">
        <v>17</v>
      </c>
      <c r="AU1212" s="5">
        <v>10</v>
      </c>
      <c r="AV1212" s="5">
        <v>36.9</v>
      </c>
      <c r="AW1212" s="5">
        <v>23</v>
      </c>
      <c r="AX1212" s="5">
        <v>341</v>
      </c>
      <c r="AY1212" s="5">
        <v>17.63</v>
      </c>
      <c r="AZ1212" s="5" t="s">
        <v>375</v>
      </c>
      <c r="BA1212" s="5">
        <v>10.51</v>
      </c>
      <c r="BB1212" s="12" t="s">
        <v>76</v>
      </c>
      <c r="BC1212" s="5">
        <v>4.4</v>
      </c>
      <c r="BD1212" s="5">
        <v>109</v>
      </c>
      <c r="BE1212" s="5">
        <v>1.03</v>
      </c>
      <c r="BF1212" s="5">
        <v>4.43</v>
      </c>
      <c r="BG1212" s="15">
        <v>36</v>
      </c>
      <c r="BH1212" s="5">
        <v>87</v>
      </c>
      <c r="BI1212" s="5">
        <v>87</v>
      </c>
      <c r="BJ1212" s="5">
        <v>20</v>
      </c>
      <c r="BK1212" s="5">
        <v>144</v>
      </c>
      <c r="BL1212" s="5">
        <v>88</v>
      </c>
      <c r="BM1212" s="5">
        <v>75</v>
      </c>
      <c r="BN1212" s="5">
        <v>176</v>
      </c>
      <c r="BO1212" s="5">
        <f t="shared" si="18"/>
        <v>24.2122933884298</v>
      </c>
      <c r="BP1212" s="5" t="s">
        <v>161</v>
      </c>
      <c r="BQ1212" s="5">
        <v>8.4</v>
      </c>
      <c r="BR1212" s="5">
        <v>302</v>
      </c>
    </row>
    <row r="1213" s="1" customFormat="1" spans="1:70">
      <c r="A1213" s="1">
        <v>3281828</v>
      </c>
      <c r="B1213" s="1" t="s">
        <v>2799</v>
      </c>
      <c r="D1213" s="4">
        <v>44965</v>
      </c>
      <c r="E1213" s="4">
        <v>44977</v>
      </c>
      <c r="F1213" s="7">
        <v>26430</v>
      </c>
      <c r="G1213" s="1">
        <v>28</v>
      </c>
      <c r="H1213" s="1">
        <v>8</v>
      </c>
      <c r="I1213" s="1">
        <v>48</v>
      </c>
      <c r="J1213" s="1">
        <v>8</v>
      </c>
      <c r="K1213" s="1">
        <v>63</v>
      </c>
      <c r="L1213" s="1">
        <v>34</v>
      </c>
      <c r="M1213" s="1">
        <v>0.78</v>
      </c>
      <c r="N1213" s="1">
        <v>6.8</v>
      </c>
      <c r="O1213" s="7">
        <v>26430</v>
      </c>
      <c r="P1213" s="4">
        <v>44965</v>
      </c>
      <c r="Q1213" s="4">
        <v>44977</v>
      </c>
      <c r="R1213" s="1" t="s">
        <v>73</v>
      </c>
      <c r="AO1213" s="7">
        <v>26430</v>
      </c>
      <c r="AP1213" s="5">
        <v>9.2</v>
      </c>
      <c r="AQ1213" s="5">
        <v>78</v>
      </c>
      <c r="AR1213" s="5">
        <v>28.5</v>
      </c>
      <c r="AS1213" s="5">
        <v>73.6</v>
      </c>
      <c r="AT1213" s="5" t="s">
        <v>76</v>
      </c>
      <c r="AU1213" s="5" t="s">
        <v>76</v>
      </c>
      <c r="AV1213" s="5" t="s">
        <v>76</v>
      </c>
      <c r="AW1213" s="5" t="s">
        <v>76</v>
      </c>
      <c r="AX1213" s="5" t="s">
        <v>76</v>
      </c>
      <c r="AY1213" s="5" t="s">
        <v>76</v>
      </c>
      <c r="AZ1213" s="5" t="s">
        <v>75</v>
      </c>
      <c r="BA1213" s="5">
        <v>3.52</v>
      </c>
      <c r="BB1213" s="12" t="s">
        <v>76</v>
      </c>
      <c r="BC1213" s="5">
        <v>3.9</v>
      </c>
      <c r="BD1213" s="5">
        <v>78</v>
      </c>
      <c r="BE1213" s="5">
        <v>0.88</v>
      </c>
      <c r="BF1213" s="5">
        <v>2.05</v>
      </c>
      <c r="BG1213" s="15">
        <v>36.3</v>
      </c>
      <c r="BH1213" s="5">
        <v>99</v>
      </c>
      <c r="BI1213" s="5">
        <v>99</v>
      </c>
      <c r="BJ1213" s="5">
        <v>16</v>
      </c>
      <c r="BK1213" s="5">
        <v>126</v>
      </c>
      <c r="BL1213" s="5">
        <v>86</v>
      </c>
      <c r="BM1213" s="5">
        <v>49</v>
      </c>
      <c r="BN1213" s="5">
        <v>158</v>
      </c>
      <c r="BO1213" s="5">
        <f t="shared" si="18"/>
        <v>19.6282647011697</v>
      </c>
      <c r="BP1213" s="5" t="s">
        <v>161</v>
      </c>
      <c r="BQ1213" s="5">
        <v>5.3</v>
      </c>
      <c r="BR1213" s="5">
        <v>666</v>
      </c>
    </row>
    <row r="1214" s="1" customFormat="1" spans="1:70">
      <c r="A1214" s="1">
        <v>3236485</v>
      </c>
      <c r="B1214" s="1" t="s">
        <v>2800</v>
      </c>
      <c r="D1214" s="4">
        <v>44877</v>
      </c>
      <c r="E1214" s="4">
        <v>44897</v>
      </c>
      <c r="F1214" s="7">
        <v>26432</v>
      </c>
      <c r="G1214" s="1">
        <v>41</v>
      </c>
      <c r="H1214" s="1">
        <v>10</v>
      </c>
      <c r="I1214" s="1">
        <v>40</v>
      </c>
      <c r="J1214" s="1">
        <v>10</v>
      </c>
      <c r="K1214" s="1">
        <v>65</v>
      </c>
      <c r="L1214" s="1">
        <v>35</v>
      </c>
      <c r="O1214" s="7">
        <v>26432</v>
      </c>
      <c r="P1214" s="4">
        <v>44877</v>
      </c>
      <c r="Q1214" s="4">
        <v>44897</v>
      </c>
      <c r="R1214" s="1" t="s">
        <v>73</v>
      </c>
      <c r="AO1214" s="7">
        <v>26432</v>
      </c>
      <c r="AP1214" s="5">
        <v>9.3</v>
      </c>
      <c r="AQ1214" s="5">
        <v>97</v>
      </c>
      <c r="AR1214" s="5">
        <v>40.6</v>
      </c>
      <c r="AS1214" s="5">
        <v>99.3</v>
      </c>
      <c r="AT1214" s="5">
        <v>61</v>
      </c>
      <c r="AU1214" s="5">
        <v>75</v>
      </c>
      <c r="AV1214" s="5">
        <v>42.4</v>
      </c>
      <c r="AW1214" s="5">
        <v>6.4</v>
      </c>
      <c r="AX1214" s="5">
        <v>58</v>
      </c>
      <c r="AY1214" s="5" t="s">
        <v>125</v>
      </c>
      <c r="AZ1214" s="5" t="s">
        <v>75</v>
      </c>
      <c r="BA1214" s="5">
        <v>2.2</v>
      </c>
      <c r="BB1214" s="12" t="s">
        <v>76</v>
      </c>
      <c r="BC1214" s="5">
        <v>3.83</v>
      </c>
      <c r="BD1214" s="5">
        <v>97</v>
      </c>
      <c r="BE1214" s="5">
        <v>0.71</v>
      </c>
      <c r="BF1214" s="5">
        <v>1.08</v>
      </c>
      <c r="BG1214" s="15">
        <v>36.3</v>
      </c>
      <c r="BH1214" s="5">
        <v>77</v>
      </c>
      <c r="BI1214" s="5" t="s">
        <v>76</v>
      </c>
      <c r="BJ1214" s="5">
        <v>20</v>
      </c>
      <c r="BK1214" s="5">
        <v>128</v>
      </c>
      <c r="BL1214" s="5">
        <v>43</v>
      </c>
      <c r="BM1214" s="5">
        <v>62</v>
      </c>
      <c r="BN1214" s="5">
        <v>162</v>
      </c>
      <c r="BO1214" s="5">
        <f t="shared" si="18"/>
        <v>23.6244474927602</v>
      </c>
      <c r="BP1214" s="5" t="s">
        <v>1450</v>
      </c>
      <c r="BQ1214" s="5">
        <v>5.7</v>
      </c>
      <c r="BR1214" s="5">
        <v>873</v>
      </c>
    </row>
    <row r="1215" s="1" customFormat="1" spans="1:70">
      <c r="A1215" s="1">
        <v>3305897</v>
      </c>
      <c r="B1215" s="1" t="s">
        <v>2801</v>
      </c>
      <c r="D1215" s="4">
        <v>44998</v>
      </c>
      <c r="E1215" s="4">
        <v>45006</v>
      </c>
      <c r="F1215" s="7">
        <v>26452</v>
      </c>
      <c r="G1215" s="1">
        <v>35</v>
      </c>
      <c r="H1215" s="1">
        <v>10</v>
      </c>
      <c r="I1215" s="1">
        <v>48</v>
      </c>
      <c r="J1215" s="1">
        <v>10</v>
      </c>
      <c r="K1215" s="1">
        <v>46</v>
      </c>
      <c r="M1215" s="1">
        <v>0.66</v>
      </c>
      <c r="N1215" s="1">
        <v>9.9</v>
      </c>
      <c r="O1215" s="7">
        <v>26452</v>
      </c>
      <c r="P1215" s="4">
        <v>44998</v>
      </c>
      <c r="Q1215" s="4">
        <v>45006</v>
      </c>
      <c r="R1215" s="1" t="s">
        <v>80</v>
      </c>
      <c r="AO1215" s="7">
        <v>26452</v>
      </c>
      <c r="AP1215" s="5">
        <v>8.4</v>
      </c>
      <c r="AQ1215" s="5">
        <v>178</v>
      </c>
      <c r="AR1215" s="5">
        <v>53.1</v>
      </c>
      <c r="AS1215" s="5" t="s">
        <v>76</v>
      </c>
      <c r="AT1215" s="5">
        <v>59</v>
      </c>
      <c r="AU1215" s="5">
        <v>89</v>
      </c>
      <c r="AV1215" s="5">
        <v>41.6</v>
      </c>
      <c r="AW1215" s="5">
        <v>3.47</v>
      </c>
      <c r="AX1215" s="5">
        <v>49</v>
      </c>
      <c r="AY1215" s="5" t="s">
        <v>125</v>
      </c>
      <c r="AZ1215" s="5">
        <v>8.4</v>
      </c>
      <c r="BA1215" s="5">
        <v>5.05</v>
      </c>
      <c r="BB1215" s="12" t="s">
        <v>76</v>
      </c>
      <c r="BC1215" s="5">
        <v>3.69</v>
      </c>
      <c r="BD1215" s="5">
        <v>178</v>
      </c>
      <c r="BE1215" s="5">
        <v>1.38</v>
      </c>
      <c r="BF1215" s="5">
        <v>3.31</v>
      </c>
      <c r="BG1215" s="15">
        <v>36.5</v>
      </c>
      <c r="BH1215" s="5">
        <v>88</v>
      </c>
      <c r="BI1215" s="5">
        <v>88</v>
      </c>
      <c r="BJ1215" s="5">
        <v>17</v>
      </c>
      <c r="BK1215" s="5">
        <v>154</v>
      </c>
      <c r="BL1215" s="5">
        <v>98</v>
      </c>
      <c r="BM1215" s="5">
        <v>85</v>
      </c>
      <c r="BN1215" s="5">
        <v>175</v>
      </c>
      <c r="BO1215" s="5">
        <f t="shared" si="18"/>
        <v>27.7551020408163</v>
      </c>
      <c r="BP1215" s="5" t="s">
        <v>121</v>
      </c>
      <c r="BQ1215" s="5">
        <v>8</v>
      </c>
      <c r="BR1215" s="5">
        <v>994</v>
      </c>
    </row>
    <row r="1216" s="1" customFormat="1" spans="1:70">
      <c r="A1216" s="1">
        <v>3271187</v>
      </c>
      <c r="B1216" s="1" t="s">
        <v>2802</v>
      </c>
      <c r="D1216" s="4">
        <v>44953</v>
      </c>
      <c r="E1216" s="4">
        <v>44960</v>
      </c>
      <c r="F1216" s="7">
        <v>26458</v>
      </c>
      <c r="G1216" s="1">
        <v>35</v>
      </c>
      <c r="H1216" s="1">
        <v>10</v>
      </c>
      <c r="I1216" s="1">
        <v>51</v>
      </c>
      <c r="J1216" s="1">
        <v>10</v>
      </c>
      <c r="K1216" s="1">
        <v>51</v>
      </c>
      <c r="L1216" s="1">
        <v>26</v>
      </c>
      <c r="M1216" s="1">
        <v>1.57</v>
      </c>
      <c r="N1216" s="1">
        <v>8.7</v>
      </c>
      <c r="O1216" s="7">
        <v>26458</v>
      </c>
      <c r="P1216" s="4">
        <v>44953</v>
      </c>
      <c r="Q1216" s="4">
        <v>44960</v>
      </c>
      <c r="R1216" s="1" t="s">
        <v>80</v>
      </c>
      <c r="AO1216" s="7">
        <v>26458</v>
      </c>
      <c r="AP1216" s="5">
        <v>9.8</v>
      </c>
      <c r="AQ1216" s="5">
        <v>123</v>
      </c>
      <c r="AR1216" s="5">
        <v>37.8</v>
      </c>
      <c r="AS1216" s="5">
        <v>9.3</v>
      </c>
      <c r="AT1216" s="5">
        <v>72</v>
      </c>
      <c r="AU1216" s="5">
        <v>62</v>
      </c>
      <c r="AV1216" s="5">
        <v>38.8</v>
      </c>
      <c r="AW1216" s="5">
        <v>3.58</v>
      </c>
      <c r="AX1216" s="5">
        <v>81</v>
      </c>
      <c r="AY1216" s="5">
        <v>93</v>
      </c>
      <c r="AZ1216" s="5" t="s">
        <v>75</v>
      </c>
      <c r="BA1216" s="5">
        <v>3.39</v>
      </c>
      <c r="BB1216" s="12" t="s">
        <v>76</v>
      </c>
      <c r="BC1216" s="5">
        <v>4.29</v>
      </c>
      <c r="BD1216" s="5">
        <v>123</v>
      </c>
      <c r="BE1216" s="5">
        <v>0.99</v>
      </c>
      <c r="BF1216" s="5">
        <v>2.28</v>
      </c>
      <c r="BG1216" s="15">
        <v>36.9</v>
      </c>
      <c r="BH1216" s="5">
        <v>71</v>
      </c>
      <c r="BI1216" s="5">
        <v>71</v>
      </c>
      <c r="BJ1216" s="5">
        <v>20</v>
      </c>
      <c r="BK1216" s="5">
        <v>97</v>
      </c>
      <c r="BL1216" s="5">
        <v>64</v>
      </c>
      <c r="BM1216" s="5">
        <v>65</v>
      </c>
      <c r="BN1216" s="5">
        <v>172</v>
      </c>
      <c r="BO1216" s="5">
        <f t="shared" si="18"/>
        <v>21.9713358572201</v>
      </c>
      <c r="BP1216" s="5" t="s">
        <v>323</v>
      </c>
      <c r="BQ1216" s="5">
        <v>4.9</v>
      </c>
      <c r="BR1216" s="5">
        <v>2079</v>
      </c>
    </row>
    <row r="1217" s="1" customFormat="1" spans="1:70">
      <c r="A1217" s="1">
        <v>3515786</v>
      </c>
      <c r="B1217" s="1" t="s">
        <v>2803</v>
      </c>
      <c r="C1217" s="1">
        <v>1</v>
      </c>
      <c r="D1217" s="4">
        <v>45288</v>
      </c>
      <c r="E1217" s="4">
        <v>45290</v>
      </c>
      <c r="F1217" s="7">
        <v>26460</v>
      </c>
      <c r="G1217" s="1">
        <v>32</v>
      </c>
      <c r="H1217" s="1">
        <v>9</v>
      </c>
      <c r="I1217" s="1">
        <v>49</v>
      </c>
      <c r="J1217" s="1">
        <v>9</v>
      </c>
      <c r="K1217" s="1">
        <v>63</v>
      </c>
      <c r="L1217" s="1">
        <v>34</v>
      </c>
      <c r="M1217" s="1">
        <v>0.89</v>
      </c>
      <c r="O1217" s="7">
        <v>26460</v>
      </c>
      <c r="P1217" s="4">
        <v>45288</v>
      </c>
      <c r="Q1217" s="4">
        <v>45290</v>
      </c>
      <c r="R1217" s="1" t="s">
        <v>73</v>
      </c>
      <c r="AO1217" s="7">
        <v>26460</v>
      </c>
      <c r="AP1217" s="5">
        <v>54.2</v>
      </c>
      <c r="AQ1217" s="5">
        <v>62</v>
      </c>
      <c r="AR1217" s="5">
        <v>19.9</v>
      </c>
      <c r="AS1217" s="5" t="s">
        <v>76</v>
      </c>
      <c r="AT1217" s="5">
        <v>27</v>
      </c>
      <c r="AU1217" s="5">
        <v>22</v>
      </c>
      <c r="AV1217" s="5">
        <v>36.4</v>
      </c>
      <c r="AW1217" s="5">
        <v>8.51</v>
      </c>
      <c r="AX1217" s="5">
        <v>69</v>
      </c>
      <c r="AY1217" s="5">
        <v>82.7</v>
      </c>
      <c r="AZ1217" s="5" t="s">
        <v>75</v>
      </c>
      <c r="BA1217" s="5" t="s">
        <v>76</v>
      </c>
      <c r="BB1217" s="12" t="s">
        <v>76</v>
      </c>
      <c r="BC1217" s="5">
        <v>4.07</v>
      </c>
      <c r="BD1217" s="5">
        <v>62</v>
      </c>
      <c r="BE1217" s="5" t="s">
        <v>76</v>
      </c>
      <c r="BF1217" s="5" t="s">
        <v>76</v>
      </c>
      <c r="BG1217" s="5" t="s">
        <v>76</v>
      </c>
      <c r="BH1217" s="5" t="s">
        <v>76</v>
      </c>
      <c r="BI1217" s="5" t="s">
        <v>76</v>
      </c>
      <c r="BJ1217" s="5" t="s">
        <v>76</v>
      </c>
      <c r="BK1217" s="5" t="s">
        <v>76</v>
      </c>
      <c r="BL1217" s="5" t="s">
        <v>76</v>
      </c>
      <c r="BM1217" s="5" t="s">
        <v>76</v>
      </c>
      <c r="BN1217" s="5" t="s">
        <v>76</v>
      </c>
      <c r="BO1217" s="5" t="e">
        <f t="shared" si="18"/>
        <v>#VALUE!</v>
      </c>
      <c r="BP1217" s="5" t="s">
        <v>85</v>
      </c>
      <c r="BQ1217" s="5" t="s">
        <v>76</v>
      </c>
      <c r="BR1217" s="5">
        <v>919</v>
      </c>
    </row>
    <row r="1218" s="1" customFormat="1" spans="1:70">
      <c r="A1218" s="1">
        <v>3299510</v>
      </c>
      <c r="B1218" s="1" t="s">
        <v>2804</v>
      </c>
      <c r="D1218" s="4">
        <v>44991</v>
      </c>
      <c r="E1218" s="4">
        <v>44998</v>
      </c>
      <c r="F1218" s="7">
        <v>26504</v>
      </c>
      <c r="G1218" s="1">
        <v>48</v>
      </c>
      <c r="H1218" s="1">
        <v>10</v>
      </c>
      <c r="I1218" s="1">
        <v>64</v>
      </c>
      <c r="J1218" s="1">
        <v>10</v>
      </c>
      <c r="K1218" s="1">
        <v>35</v>
      </c>
      <c r="L1218" s="1">
        <v>17</v>
      </c>
      <c r="M1218" s="1">
        <v>1.62</v>
      </c>
      <c r="N1218" s="1">
        <v>33.7</v>
      </c>
      <c r="O1218" s="7">
        <v>26504</v>
      </c>
      <c r="P1218" s="4">
        <v>44991</v>
      </c>
      <c r="Q1218" s="4">
        <v>44998</v>
      </c>
      <c r="R1218" s="1" t="s">
        <v>80</v>
      </c>
      <c r="AO1218" s="7">
        <v>26504</v>
      </c>
      <c r="AP1218" s="5">
        <v>6</v>
      </c>
      <c r="AQ1218" s="5">
        <v>144</v>
      </c>
      <c r="AR1218" s="5">
        <v>43.7</v>
      </c>
      <c r="AS1218" s="5" t="s">
        <v>76</v>
      </c>
      <c r="AT1218" s="5">
        <v>22</v>
      </c>
      <c r="AU1218" s="5">
        <v>25</v>
      </c>
      <c r="AV1218" s="5">
        <v>42.7</v>
      </c>
      <c r="AW1218" s="5">
        <v>6.28</v>
      </c>
      <c r="AX1218" s="5">
        <v>59</v>
      </c>
      <c r="AY1218" s="5" t="s">
        <v>125</v>
      </c>
      <c r="AZ1218" s="5">
        <v>5.41</v>
      </c>
      <c r="BA1218" s="5">
        <v>3.08</v>
      </c>
      <c r="BB1218" s="12" t="s">
        <v>76</v>
      </c>
      <c r="BC1218" s="5">
        <v>3.9</v>
      </c>
      <c r="BD1218" s="5">
        <v>144</v>
      </c>
      <c r="BE1218" s="5">
        <v>1.07</v>
      </c>
      <c r="BF1218" s="5">
        <v>1.55</v>
      </c>
      <c r="BG1218" s="15">
        <v>36.6</v>
      </c>
      <c r="BH1218" s="5">
        <v>60</v>
      </c>
      <c r="BI1218" s="5" t="s">
        <v>76</v>
      </c>
      <c r="BJ1218" s="5">
        <v>16</v>
      </c>
      <c r="BK1218" s="5">
        <v>120</v>
      </c>
      <c r="BL1218" s="5">
        <v>80</v>
      </c>
      <c r="BM1218" s="5">
        <v>87</v>
      </c>
      <c r="BN1218" s="5">
        <v>182</v>
      </c>
      <c r="BO1218" s="5">
        <f t="shared" si="18"/>
        <v>26.2649438473614</v>
      </c>
      <c r="BP1218" s="5" t="s">
        <v>107</v>
      </c>
      <c r="BQ1218" s="5" t="s">
        <v>76</v>
      </c>
      <c r="BR1218" s="5">
        <v>2207.51</v>
      </c>
    </row>
    <row r="1219" s="1" customFormat="1" spans="1:70">
      <c r="A1219" s="1">
        <v>3248952</v>
      </c>
      <c r="B1219" s="1" t="s">
        <v>2805</v>
      </c>
      <c r="D1219" s="4">
        <v>44899</v>
      </c>
      <c r="E1219" s="4">
        <v>44902</v>
      </c>
      <c r="F1219" s="7">
        <v>26512</v>
      </c>
      <c r="G1219" s="1">
        <v>30</v>
      </c>
      <c r="H1219" s="1">
        <v>8</v>
      </c>
      <c r="I1219" s="1">
        <v>43</v>
      </c>
      <c r="J1219" s="1">
        <v>8</v>
      </c>
      <c r="K1219" s="1">
        <v>47</v>
      </c>
      <c r="L1219" s="1">
        <v>23</v>
      </c>
      <c r="M1219" s="1">
        <v>1.29</v>
      </c>
      <c r="O1219" s="7">
        <v>26512</v>
      </c>
      <c r="P1219" s="4">
        <v>44899</v>
      </c>
      <c r="Q1219" s="4">
        <v>44902</v>
      </c>
      <c r="R1219" s="1" t="s">
        <v>80</v>
      </c>
      <c r="AO1219" s="7">
        <v>26512</v>
      </c>
      <c r="AP1219" s="5">
        <v>8.2</v>
      </c>
      <c r="AQ1219" s="5">
        <v>96</v>
      </c>
      <c r="AR1219" s="5">
        <v>36.2</v>
      </c>
      <c r="AS1219" s="5" t="s">
        <v>76</v>
      </c>
      <c r="AT1219" s="5">
        <v>95</v>
      </c>
      <c r="AU1219" s="5">
        <v>58</v>
      </c>
      <c r="AV1219" s="5">
        <v>31.6</v>
      </c>
      <c r="AW1219" s="5">
        <v>7.81</v>
      </c>
      <c r="AX1219" s="5">
        <v>58</v>
      </c>
      <c r="AY1219" s="5" t="s">
        <v>125</v>
      </c>
      <c r="AZ1219" s="5">
        <v>8.8</v>
      </c>
      <c r="BA1219" s="5" t="s">
        <v>76</v>
      </c>
      <c r="BB1219" s="12" t="s">
        <v>76</v>
      </c>
      <c r="BC1219" s="5">
        <v>4.16</v>
      </c>
      <c r="BD1219" s="5">
        <v>96</v>
      </c>
      <c r="BE1219" s="5" t="s">
        <v>76</v>
      </c>
      <c r="BF1219" s="5" t="s">
        <v>76</v>
      </c>
      <c r="BG1219" s="15">
        <v>36.4</v>
      </c>
      <c r="BH1219" s="5" t="s">
        <v>76</v>
      </c>
      <c r="BI1219" s="5">
        <v>90</v>
      </c>
      <c r="BJ1219" s="5">
        <v>25</v>
      </c>
      <c r="BK1219" s="5">
        <v>104</v>
      </c>
      <c r="BL1219" s="5">
        <v>62</v>
      </c>
      <c r="BM1219" s="5">
        <v>50</v>
      </c>
      <c r="BN1219" s="5">
        <v>160</v>
      </c>
      <c r="BO1219" s="5">
        <f t="shared" ref="BO1219:BO1282" si="19">BM1219/(BN1219/100)^2</f>
        <v>19.53125</v>
      </c>
      <c r="BP1219" s="5" t="s">
        <v>85</v>
      </c>
      <c r="BQ1219" s="5" t="s">
        <v>76</v>
      </c>
      <c r="BR1219" s="5">
        <v>829</v>
      </c>
    </row>
    <row r="1220" s="1" customFormat="1" spans="1:70">
      <c r="A1220" s="1">
        <v>3295217</v>
      </c>
      <c r="B1220" s="1" t="s">
        <v>2806</v>
      </c>
      <c r="D1220" s="4">
        <v>44984</v>
      </c>
      <c r="E1220" s="4">
        <v>44993</v>
      </c>
      <c r="F1220" s="7">
        <v>26592</v>
      </c>
      <c r="G1220" s="1">
        <v>41</v>
      </c>
      <c r="H1220" s="1">
        <v>12</v>
      </c>
      <c r="I1220" s="1">
        <v>43</v>
      </c>
      <c r="J1220" s="1">
        <v>12</v>
      </c>
      <c r="K1220" s="1">
        <v>46</v>
      </c>
      <c r="L1220" s="1">
        <v>23</v>
      </c>
      <c r="M1220" s="1">
        <v>2.69</v>
      </c>
      <c r="N1220" s="1">
        <v>21.1</v>
      </c>
      <c r="O1220" s="7">
        <v>26592</v>
      </c>
      <c r="P1220" s="4">
        <v>44984</v>
      </c>
      <c r="Q1220" s="4">
        <v>44993</v>
      </c>
      <c r="R1220" s="1" t="s">
        <v>73</v>
      </c>
      <c r="AO1220" s="7">
        <v>26592</v>
      </c>
      <c r="AP1220" s="5">
        <v>43.5</v>
      </c>
      <c r="AQ1220" s="5">
        <v>174</v>
      </c>
      <c r="AR1220" s="5">
        <v>57.1</v>
      </c>
      <c r="AS1220" s="5" t="s">
        <v>81</v>
      </c>
      <c r="AT1220" s="5">
        <v>32</v>
      </c>
      <c r="AU1220" s="5">
        <v>28</v>
      </c>
      <c r="AV1220" s="5">
        <v>32.5</v>
      </c>
      <c r="AW1220" s="5">
        <v>9.28</v>
      </c>
      <c r="AX1220" s="5">
        <v>77</v>
      </c>
      <c r="AY1220" s="5">
        <v>74.27</v>
      </c>
      <c r="AZ1220" s="5" t="s">
        <v>75</v>
      </c>
      <c r="BA1220" s="5">
        <v>5.51</v>
      </c>
      <c r="BB1220" s="12" t="s">
        <v>76</v>
      </c>
      <c r="BC1220" s="5">
        <v>4.55</v>
      </c>
      <c r="BD1220" s="5">
        <v>174</v>
      </c>
      <c r="BE1220" s="5">
        <v>0.7</v>
      </c>
      <c r="BF1220" s="5">
        <v>3.66</v>
      </c>
      <c r="BG1220" s="15">
        <v>36.5</v>
      </c>
      <c r="BH1220" s="5">
        <v>92</v>
      </c>
      <c r="BI1220" s="5">
        <v>92</v>
      </c>
      <c r="BJ1220" s="5">
        <v>18</v>
      </c>
      <c r="BK1220" s="5">
        <v>115</v>
      </c>
      <c r="BL1220" s="5">
        <v>92</v>
      </c>
      <c r="BM1220" s="5">
        <v>55</v>
      </c>
      <c r="BN1220" s="5">
        <v>150</v>
      </c>
      <c r="BO1220" s="5">
        <f t="shared" si="19"/>
        <v>24.4444444444444</v>
      </c>
      <c r="BP1220" s="5" t="s">
        <v>78</v>
      </c>
      <c r="BQ1220" s="5">
        <v>7.5</v>
      </c>
      <c r="BR1220" s="5">
        <v>5774</v>
      </c>
    </row>
    <row r="1221" s="1" customFormat="1" spans="1:70">
      <c r="A1221" s="1">
        <v>3248310</v>
      </c>
      <c r="B1221" s="1" t="s">
        <v>2807</v>
      </c>
      <c r="D1221" s="4">
        <v>44897</v>
      </c>
      <c r="E1221" s="4">
        <v>44901</v>
      </c>
      <c r="F1221" s="7">
        <v>26608</v>
      </c>
      <c r="G1221" s="1">
        <v>36</v>
      </c>
      <c r="H1221" s="1">
        <v>10</v>
      </c>
      <c r="I1221" s="1">
        <v>49</v>
      </c>
      <c r="J1221" s="1">
        <v>10</v>
      </c>
      <c r="K1221" s="1">
        <v>58</v>
      </c>
      <c r="L1221" s="1">
        <v>31</v>
      </c>
      <c r="M1221" s="1">
        <v>0.69</v>
      </c>
      <c r="N1221" s="1">
        <v>11.1</v>
      </c>
      <c r="O1221" s="7">
        <v>26608</v>
      </c>
      <c r="P1221" s="4">
        <v>44897</v>
      </c>
      <c r="Q1221" s="4">
        <v>44901</v>
      </c>
      <c r="R1221" s="1" t="s">
        <v>80</v>
      </c>
      <c r="S1221" s="1">
        <v>50</v>
      </c>
      <c r="T1221" s="1">
        <v>18955729548</v>
      </c>
      <c r="V1221" s="1">
        <v>1</v>
      </c>
      <c r="AA1221" s="1">
        <v>1</v>
      </c>
      <c r="AI1221" s="1">
        <v>1</v>
      </c>
      <c r="AK1221" s="1">
        <v>1</v>
      </c>
      <c r="AN1221" s="1">
        <v>1</v>
      </c>
      <c r="AO1221" s="7">
        <v>26608</v>
      </c>
      <c r="AP1221" s="5">
        <v>6.7</v>
      </c>
      <c r="AQ1221" s="5">
        <v>127</v>
      </c>
      <c r="AR1221" s="5">
        <v>37.1</v>
      </c>
      <c r="AS1221" s="5" t="s">
        <v>81</v>
      </c>
      <c r="AT1221" s="5">
        <v>27</v>
      </c>
      <c r="AU1221" s="5">
        <v>35</v>
      </c>
      <c r="AV1221" s="5">
        <v>43</v>
      </c>
      <c r="AW1221" s="5">
        <v>19.67</v>
      </c>
      <c r="AX1221" s="5">
        <v>324</v>
      </c>
      <c r="AY1221" s="5">
        <v>18.78</v>
      </c>
      <c r="AZ1221" s="5" t="s">
        <v>75</v>
      </c>
      <c r="BA1221" s="5">
        <v>3.47</v>
      </c>
      <c r="BB1221" s="12" t="s">
        <v>76</v>
      </c>
      <c r="BC1221" s="5" t="s">
        <v>4</v>
      </c>
      <c r="BD1221" s="5">
        <v>127</v>
      </c>
      <c r="BE1221" s="5">
        <v>0.87</v>
      </c>
      <c r="BF1221" s="5">
        <v>1.91</v>
      </c>
      <c r="BG1221" s="15">
        <v>36.7</v>
      </c>
      <c r="BH1221" s="5">
        <v>78</v>
      </c>
      <c r="BI1221" s="5" t="s">
        <v>76</v>
      </c>
      <c r="BJ1221" s="5">
        <v>15</v>
      </c>
      <c r="BK1221" s="5">
        <v>200</v>
      </c>
      <c r="BL1221" s="5">
        <v>137</v>
      </c>
      <c r="BM1221" s="5">
        <v>65</v>
      </c>
      <c r="BN1221" s="5">
        <v>163</v>
      </c>
      <c r="BO1221" s="5">
        <f t="shared" si="19"/>
        <v>24.4646016033724</v>
      </c>
      <c r="BP1221" s="5" t="s">
        <v>300</v>
      </c>
      <c r="BQ1221" s="5">
        <v>5.2</v>
      </c>
      <c r="BR1221" s="5">
        <v>593</v>
      </c>
    </row>
    <row r="1222" s="1" customFormat="1" spans="1:70">
      <c r="A1222" s="1">
        <v>3244007</v>
      </c>
      <c r="B1222" s="1" t="s">
        <v>2808</v>
      </c>
      <c r="D1222" s="4">
        <v>44889</v>
      </c>
      <c r="E1222" s="4">
        <v>44908</v>
      </c>
      <c r="F1222" s="7">
        <v>26653</v>
      </c>
      <c r="G1222" s="1">
        <v>32</v>
      </c>
      <c r="H1222" s="1">
        <v>8</v>
      </c>
      <c r="I1222" s="1">
        <v>43</v>
      </c>
      <c r="J1222" s="1">
        <v>8</v>
      </c>
      <c r="K1222" s="1">
        <v>49</v>
      </c>
      <c r="L1222" s="1">
        <v>24</v>
      </c>
      <c r="M1222" s="1">
        <v>0.71</v>
      </c>
      <c r="N1222" s="1">
        <v>9.1</v>
      </c>
      <c r="O1222" s="7">
        <v>26653</v>
      </c>
      <c r="P1222" s="4">
        <v>44889</v>
      </c>
      <c r="Q1222" s="4">
        <v>44908</v>
      </c>
      <c r="R1222" s="1" t="s">
        <v>73</v>
      </c>
      <c r="AO1222" s="7">
        <v>26653</v>
      </c>
      <c r="AP1222" s="5">
        <v>8.8</v>
      </c>
      <c r="AQ1222" s="5">
        <v>98</v>
      </c>
      <c r="AR1222" s="5">
        <v>35.5</v>
      </c>
      <c r="AS1222" s="5">
        <v>81.5</v>
      </c>
      <c r="AT1222" s="5">
        <v>23</v>
      </c>
      <c r="AU1222" s="5">
        <v>9</v>
      </c>
      <c r="AV1222" s="5">
        <v>32.3</v>
      </c>
      <c r="AW1222" s="5">
        <v>6.09</v>
      </c>
      <c r="AX1222" s="5">
        <v>91</v>
      </c>
      <c r="AY1222" s="5" t="s">
        <v>76</v>
      </c>
      <c r="AZ1222" s="5">
        <v>8.38</v>
      </c>
      <c r="BA1222" s="5">
        <v>2.88</v>
      </c>
      <c r="BB1222" s="12" t="s">
        <v>76</v>
      </c>
      <c r="BC1222" s="5">
        <v>4.5</v>
      </c>
      <c r="BD1222" s="5">
        <v>98</v>
      </c>
      <c r="BE1222" s="5">
        <v>0.72</v>
      </c>
      <c r="BF1222" s="5">
        <v>1.2</v>
      </c>
      <c r="BG1222" s="15">
        <v>36.6</v>
      </c>
      <c r="BH1222" s="5">
        <v>78</v>
      </c>
      <c r="BI1222" s="5" t="s">
        <v>76</v>
      </c>
      <c r="BJ1222" s="5">
        <v>20</v>
      </c>
      <c r="BK1222" s="5">
        <v>120</v>
      </c>
      <c r="BL1222" s="5">
        <v>76</v>
      </c>
      <c r="BM1222" s="5">
        <v>65</v>
      </c>
      <c r="BN1222" s="5">
        <v>160</v>
      </c>
      <c r="BO1222" s="5">
        <f t="shared" si="19"/>
        <v>25.390625</v>
      </c>
      <c r="BP1222" s="5" t="s">
        <v>639</v>
      </c>
      <c r="BQ1222" s="5" t="s">
        <v>76</v>
      </c>
      <c r="BR1222" s="5">
        <v>5851</v>
      </c>
    </row>
    <row r="1223" s="1" customFormat="1" spans="1:70">
      <c r="A1223" s="1" t="s">
        <v>2809</v>
      </c>
      <c r="B1223" s="1" t="s">
        <v>2810</v>
      </c>
      <c r="D1223" s="4">
        <v>44908</v>
      </c>
      <c r="E1223" s="4">
        <v>44929</v>
      </c>
      <c r="F1223" s="7">
        <v>26661</v>
      </c>
      <c r="G1223" s="1">
        <v>32</v>
      </c>
      <c r="H1223" s="1">
        <v>8</v>
      </c>
      <c r="I1223" s="1">
        <v>42</v>
      </c>
      <c r="J1223" s="1">
        <v>8</v>
      </c>
      <c r="K1223" s="1">
        <v>65</v>
      </c>
      <c r="L1223" s="1">
        <v>35</v>
      </c>
      <c r="M1223" s="1">
        <v>0.97</v>
      </c>
      <c r="N1223" s="1">
        <v>5.9</v>
      </c>
      <c r="O1223" s="7">
        <v>26661</v>
      </c>
      <c r="P1223" s="4">
        <v>44908</v>
      </c>
      <c r="Q1223" s="4">
        <v>44929</v>
      </c>
      <c r="R1223" s="1" t="s">
        <v>80</v>
      </c>
      <c r="AO1223" s="7">
        <v>26661</v>
      </c>
      <c r="AP1223" s="5" t="s">
        <v>88</v>
      </c>
      <c r="AQ1223" s="5" t="s">
        <v>243</v>
      </c>
      <c r="AR1223" s="5" t="s">
        <v>2811</v>
      </c>
      <c r="AS1223" s="5" t="s">
        <v>76</v>
      </c>
      <c r="AT1223" s="5" t="s">
        <v>614</v>
      </c>
      <c r="AU1223" s="5" t="s">
        <v>419</v>
      </c>
      <c r="AV1223" s="5" t="s">
        <v>1286</v>
      </c>
      <c r="AW1223" s="5" t="s">
        <v>2812</v>
      </c>
      <c r="AX1223" s="5" t="s">
        <v>295</v>
      </c>
      <c r="AY1223" s="5" t="s">
        <v>125</v>
      </c>
      <c r="AZ1223" s="5" t="s">
        <v>75</v>
      </c>
      <c r="BA1223" s="5" t="s">
        <v>2813</v>
      </c>
      <c r="BB1223" s="12" t="s">
        <v>76</v>
      </c>
      <c r="BC1223" s="5" t="s">
        <v>2814</v>
      </c>
      <c r="BD1223" s="5" t="s">
        <v>243</v>
      </c>
      <c r="BE1223" s="5" t="s">
        <v>76</v>
      </c>
      <c r="BF1223" s="5" t="s">
        <v>76</v>
      </c>
      <c r="BG1223" s="15">
        <v>36.6</v>
      </c>
      <c r="BH1223" s="5" t="s">
        <v>407</v>
      </c>
      <c r="BI1223" s="5" t="s">
        <v>407</v>
      </c>
      <c r="BJ1223" s="5" t="s">
        <v>293</v>
      </c>
      <c r="BK1223" s="5" t="s">
        <v>243</v>
      </c>
      <c r="BL1223" s="5" t="s">
        <v>186</v>
      </c>
      <c r="BM1223" s="5" t="s">
        <v>391</v>
      </c>
      <c r="BN1223" s="5">
        <v>170</v>
      </c>
      <c r="BO1223" s="5">
        <f t="shared" si="19"/>
        <v>23.8754325259516</v>
      </c>
      <c r="BP1223" s="5" t="s">
        <v>337</v>
      </c>
      <c r="BQ1223" s="5" t="s">
        <v>76</v>
      </c>
      <c r="BR1223" s="5">
        <v>3502</v>
      </c>
    </row>
    <row r="1224" s="1" customFormat="1" spans="1:70">
      <c r="A1224" s="1">
        <v>3286989</v>
      </c>
      <c r="B1224" s="1" t="s">
        <v>2815</v>
      </c>
      <c r="D1224" s="4">
        <v>44972</v>
      </c>
      <c r="E1224" s="4">
        <v>44986</v>
      </c>
      <c r="F1224" s="7">
        <v>26696</v>
      </c>
      <c r="G1224" s="1">
        <v>43</v>
      </c>
      <c r="H1224" s="1">
        <v>8</v>
      </c>
      <c r="I1224" s="1">
        <v>55</v>
      </c>
      <c r="J1224" s="1">
        <v>8</v>
      </c>
      <c r="K1224" s="1">
        <v>38</v>
      </c>
      <c r="L1224" s="1">
        <v>19</v>
      </c>
      <c r="M1224" s="1">
        <v>2.96</v>
      </c>
      <c r="O1224" s="7">
        <v>26696</v>
      </c>
      <c r="P1224" s="4">
        <v>44972</v>
      </c>
      <c r="Q1224" s="4">
        <v>44986</v>
      </c>
      <c r="R1224" s="1" t="s">
        <v>80</v>
      </c>
      <c r="AO1224" s="7">
        <v>26696</v>
      </c>
      <c r="AP1224" s="5">
        <v>8.5</v>
      </c>
      <c r="AQ1224" s="5">
        <v>99</v>
      </c>
      <c r="AR1224" s="5">
        <v>46.4</v>
      </c>
      <c r="AS1224" s="5">
        <v>9.5</v>
      </c>
      <c r="AT1224" s="5">
        <v>51</v>
      </c>
      <c r="AU1224" s="5">
        <v>46</v>
      </c>
      <c r="AV1224" s="5">
        <v>41.9</v>
      </c>
      <c r="AW1224" s="5">
        <v>8.84</v>
      </c>
      <c r="AX1224" s="5">
        <v>66</v>
      </c>
      <c r="AY1224" s="5" t="s">
        <v>125</v>
      </c>
      <c r="AZ1224" s="5">
        <v>9.5</v>
      </c>
      <c r="BA1224" s="5">
        <v>6.34</v>
      </c>
      <c r="BB1224" s="12" t="s">
        <v>76</v>
      </c>
      <c r="BC1224" s="5">
        <v>4.61</v>
      </c>
      <c r="BD1224" s="5">
        <v>99</v>
      </c>
      <c r="BE1224" s="5" t="s">
        <v>76</v>
      </c>
      <c r="BF1224" s="5" t="s">
        <v>76</v>
      </c>
      <c r="BG1224" s="15">
        <v>37</v>
      </c>
      <c r="BH1224" s="5" t="s">
        <v>76</v>
      </c>
      <c r="BI1224" s="5">
        <v>122</v>
      </c>
      <c r="BJ1224" s="5">
        <v>20</v>
      </c>
      <c r="BK1224" s="5">
        <v>153</v>
      </c>
      <c r="BL1224" s="5">
        <v>87</v>
      </c>
      <c r="BM1224" s="5" t="s">
        <v>77</v>
      </c>
      <c r="BN1224" s="5" t="s">
        <v>77</v>
      </c>
      <c r="BO1224" s="5" t="e">
        <f t="shared" si="19"/>
        <v>#VALUE!</v>
      </c>
      <c r="BP1224" s="5" t="s">
        <v>323</v>
      </c>
      <c r="BQ1224" s="5">
        <v>7.4</v>
      </c>
      <c r="BR1224" s="5">
        <v>972</v>
      </c>
    </row>
    <row r="1225" s="1" customFormat="1" spans="1:70">
      <c r="A1225" s="1">
        <v>3303807</v>
      </c>
      <c r="B1225" s="1" t="s">
        <v>2816</v>
      </c>
      <c r="D1225" s="4">
        <v>44995</v>
      </c>
      <c r="E1225" s="4">
        <v>45000</v>
      </c>
      <c r="F1225" s="7">
        <v>26699</v>
      </c>
      <c r="G1225" s="1">
        <v>36</v>
      </c>
      <c r="H1225" s="1">
        <v>9</v>
      </c>
      <c r="I1225" s="1">
        <v>45</v>
      </c>
      <c r="J1225" s="1">
        <v>9</v>
      </c>
      <c r="K1225" s="1">
        <v>60</v>
      </c>
      <c r="L1225" s="1">
        <v>32</v>
      </c>
      <c r="M1225" s="1">
        <v>1.3</v>
      </c>
      <c r="N1225" s="1">
        <v>11</v>
      </c>
      <c r="O1225" s="7">
        <v>26699</v>
      </c>
      <c r="P1225" s="4">
        <v>44995</v>
      </c>
      <c r="Q1225" s="4">
        <v>45000</v>
      </c>
      <c r="R1225" s="1" t="s">
        <v>80</v>
      </c>
      <c r="AO1225" s="7">
        <v>26699</v>
      </c>
      <c r="AP1225" s="5">
        <v>8.9</v>
      </c>
      <c r="AQ1225" s="5">
        <v>155</v>
      </c>
      <c r="AR1225" s="5">
        <v>52</v>
      </c>
      <c r="AS1225" s="5">
        <v>76.5</v>
      </c>
      <c r="AT1225" s="5">
        <v>87</v>
      </c>
      <c r="AU1225" s="5">
        <v>90</v>
      </c>
      <c r="AV1225" s="5">
        <v>45.9</v>
      </c>
      <c r="AW1225" s="5">
        <v>6.51</v>
      </c>
      <c r="AX1225" s="5">
        <v>67</v>
      </c>
      <c r="AY1225" s="5" t="s">
        <v>125</v>
      </c>
      <c r="AZ1225" s="5" t="s">
        <v>75</v>
      </c>
      <c r="BA1225" s="5">
        <v>5.41</v>
      </c>
      <c r="BB1225" s="12" t="s">
        <v>76</v>
      </c>
      <c r="BC1225" s="5">
        <v>4.4</v>
      </c>
      <c r="BD1225" s="5">
        <v>155</v>
      </c>
      <c r="BE1225" s="5">
        <v>1.27</v>
      </c>
      <c r="BF1225" s="5">
        <v>3.72</v>
      </c>
      <c r="BG1225" s="15">
        <v>37</v>
      </c>
      <c r="BH1225" s="5">
        <v>77</v>
      </c>
      <c r="BI1225" s="5">
        <v>77</v>
      </c>
      <c r="BJ1225" s="5">
        <v>20</v>
      </c>
      <c r="BK1225" s="5">
        <v>116</v>
      </c>
      <c r="BL1225" s="5">
        <v>69</v>
      </c>
      <c r="BM1225" s="5">
        <v>75</v>
      </c>
      <c r="BN1225" s="5">
        <v>170</v>
      </c>
      <c r="BO1225" s="5">
        <f t="shared" si="19"/>
        <v>25.9515570934256</v>
      </c>
      <c r="BP1225" s="5" t="s">
        <v>323</v>
      </c>
      <c r="BQ1225" s="5">
        <v>5.5</v>
      </c>
      <c r="BR1225" s="5">
        <v>334</v>
      </c>
    </row>
    <row r="1226" s="1" customFormat="1" spans="1:70">
      <c r="A1226" s="1">
        <v>3255834</v>
      </c>
      <c r="B1226" s="1" t="s">
        <v>2817</v>
      </c>
      <c r="D1226" s="4">
        <v>44921</v>
      </c>
      <c r="E1226" s="4">
        <v>44928</v>
      </c>
      <c r="F1226" s="7">
        <v>26767</v>
      </c>
      <c r="G1226" s="1">
        <v>35</v>
      </c>
      <c r="H1226" s="1">
        <v>10</v>
      </c>
      <c r="I1226" s="1">
        <v>47</v>
      </c>
      <c r="J1226" s="1">
        <v>10</v>
      </c>
      <c r="K1226" s="1">
        <v>52</v>
      </c>
      <c r="L1226" s="1">
        <v>27</v>
      </c>
      <c r="M1226" s="1">
        <v>0.77</v>
      </c>
      <c r="N1226" s="1">
        <v>7.5</v>
      </c>
      <c r="O1226" s="7">
        <v>26767</v>
      </c>
      <c r="P1226" s="4">
        <v>44921</v>
      </c>
      <c r="Q1226" s="4">
        <v>44928</v>
      </c>
      <c r="R1226" s="1" t="s">
        <v>80</v>
      </c>
      <c r="AO1226" s="7">
        <v>26767</v>
      </c>
      <c r="AP1226" s="5">
        <v>8.9</v>
      </c>
      <c r="AQ1226" s="5">
        <v>155</v>
      </c>
      <c r="AR1226" s="5">
        <v>49.3</v>
      </c>
      <c r="AS1226" s="5" t="s">
        <v>81</v>
      </c>
      <c r="AT1226" s="5">
        <v>88</v>
      </c>
      <c r="AU1226" s="5">
        <v>35</v>
      </c>
      <c r="AV1226" s="5">
        <v>44.1</v>
      </c>
      <c r="AW1226" s="5">
        <v>6.75</v>
      </c>
      <c r="AX1226" s="5">
        <v>69</v>
      </c>
      <c r="AY1226" s="5" t="s">
        <v>125</v>
      </c>
      <c r="AZ1226" s="5" t="s">
        <v>75</v>
      </c>
      <c r="BA1226" s="5">
        <v>3.38</v>
      </c>
      <c r="BB1226" s="12" t="s">
        <v>76</v>
      </c>
      <c r="BC1226" s="5">
        <v>4.4</v>
      </c>
      <c r="BD1226" s="5">
        <v>155</v>
      </c>
      <c r="BE1226" s="5">
        <v>0.92</v>
      </c>
      <c r="BF1226" s="5">
        <v>1.84</v>
      </c>
      <c r="BG1226" s="15">
        <v>36.5</v>
      </c>
      <c r="BH1226" s="5">
        <v>79</v>
      </c>
      <c r="BI1226" s="5">
        <v>79</v>
      </c>
      <c r="BJ1226" s="5">
        <v>18</v>
      </c>
      <c r="BK1226" s="5">
        <v>152</v>
      </c>
      <c r="BL1226" s="5">
        <v>102</v>
      </c>
      <c r="BM1226" s="5">
        <v>82</v>
      </c>
      <c r="BN1226" s="5">
        <v>173</v>
      </c>
      <c r="BO1226" s="5">
        <f t="shared" si="19"/>
        <v>27.3981756824485</v>
      </c>
      <c r="BP1226" s="5" t="s">
        <v>323</v>
      </c>
      <c r="BQ1226" s="5">
        <v>5.9</v>
      </c>
      <c r="BR1226" s="5">
        <v>929.4</v>
      </c>
    </row>
    <row r="1227" s="1" customFormat="1" spans="1:70">
      <c r="A1227" s="1">
        <v>3258356</v>
      </c>
      <c r="B1227" s="1" t="s">
        <v>2818</v>
      </c>
      <c r="D1227" s="4">
        <v>44925</v>
      </c>
      <c r="E1227" s="4">
        <v>44930</v>
      </c>
      <c r="F1227" s="7">
        <v>26778</v>
      </c>
      <c r="G1227" s="1">
        <v>32</v>
      </c>
      <c r="H1227" s="1">
        <v>10</v>
      </c>
      <c r="I1227" s="1">
        <v>49</v>
      </c>
      <c r="J1227" s="1">
        <v>10</v>
      </c>
      <c r="K1227" s="1">
        <v>59</v>
      </c>
      <c r="L1227" s="1">
        <v>31</v>
      </c>
      <c r="M1227" s="1">
        <v>0.86</v>
      </c>
      <c r="N1227" s="1">
        <v>9.5</v>
      </c>
      <c r="O1227" s="7">
        <v>26778</v>
      </c>
      <c r="P1227" s="4">
        <v>44925</v>
      </c>
      <c r="Q1227" s="4">
        <v>44930</v>
      </c>
      <c r="R1227" s="1" t="s">
        <v>73</v>
      </c>
      <c r="AO1227" s="7">
        <v>26778</v>
      </c>
      <c r="AP1227" s="5">
        <v>5.9</v>
      </c>
      <c r="AQ1227" s="5">
        <v>73</v>
      </c>
      <c r="AR1227" s="5">
        <v>24</v>
      </c>
      <c r="AS1227" s="5" t="s">
        <v>76</v>
      </c>
      <c r="AT1227" s="5">
        <v>23</v>
      </c>
      <c r="AU1227" s="5">
        <v>17</v>
      </c>
      <c r="AV1227" s="5">
        <v>45.3</v>
      </c>
      <c r="AW1227" s="5">
        <v>21.63</v>
      </c>
      <c r="AX1227" s="5">
        <v>817</v>
      </c>
      <c r="AY1227" s="5" t="s">
        <v>76</v>
      </c>
      <c r="AZ1227" s="5">
        <v>6.42</v>
      </c>
      <c r="BA1227" s="5">
        <v>5.31</v>
      </c>
      <c r="BB1227" s="12" t="s">
        <v>76</v>
      </c>
      <c r="BC1227" s="5">
        <v>3.52</v>
      </c>
      <c r="BD1227" s="5">
        <v>73</v>
      </c>
      <c r="BE1227" s="5" t="s">
        <v>76</v>
      </c>
      <c r="BF1227" s="5" t="s">
        <v>76</v>
      </c>
      <c r="BG1227" s="15">
        <v>36.5</v>
      </c>
      <c r="BH1227" s="5">
        <v>100</v>
      </c>
      <c r="BI1227" s="5" t="s">
        <v>76</v>
      </c>
      <c r="BJ1227" s="5">
        <v>24</v>
      </c>
      <c r="BK1227" s="5">
        <v>151</v>
      </c>
      <c r="BL1227" s="5">
        <v>86</v>
      </c>
      <c r="BM1227" s="5">
        <v>50</v>
      </c>
      <c r="BN1227" s="5">
        <v>160</v>
      </c>
      <c r="BO1227" s="5">
        <f t="shared" si="19"/>
        <v>19.53125</v>
      </c>
      <c r="BP1227" s="5" t="s">
        <v>415</v>
      </c>
      <c r="BQ1227" s="5" t="s">
        <v>76</v>
      </c>
      <c r="BR1227" s="5">
        <v>1280</v>
      </c>
    </row>
    <row r="1228" s="1" customFormat="1" spans="1:70">
      <c r="A1228" s="1">
        <v>3251601</v>
      </c>
      <c r="B1228" s="1" t="s">
        <v>2819</v>
      </c>
      <c r="D1228" s="4">
        <v>44904</v>
      </c>
      <c r="E1228" s="4">
        <v>44909</v>
      </c>
      <c r="F1228" s="7">
        <v>26794</v>
      </c>
      <c r="G1228" s="1">
        <v>29</v>
      </c>
      <c r="H1228" s="1">
        <v>8</v>
      </c>
      <c r="I1228" s="1">
        <v>48</v>
      </c>
      <c r="J1228" s="1">
        <v>8</v>
      </c>
      <c r="K1228" s="1">
        <v>68</v>
      </c>
      <c r="L1228" s="1">
        <v>38</v>
      </c>
      <c r="M1228" s="1">
        <v>0.76</v>
      </c>
      <c r="N1228" s="1">
        <v>15.4</v>
      </c>
      <c r="O1228" s="7">
        <v>26794</v>
      </c>
      <c r="P1228" s="4">
        <v>44904</v>
      </c>
      <c r="Q1228" s="4">
        <v>44909</v>
      </c>
      <c r="R1228" s="1" t="s">
        <v>80</v>
      </c>
      <c r="AO1228" s="7">
        <v>26794</v>
      </c>
      <c r="AP1228" s="5">
        <v>3.9</v>
      </c>
      <c r="AQ1228" s="5">
        <v>159</v>
      </c>
      <c r="AR1228" s="5">
        <v>49.9</v>
      </c>
      <c r="AS1228" s="5" t="s">
        <v>76</v>
      </c>
      <c r="AT1228" s="5">
        <v>20</v>
      </c>
      <c r="AU1228" s="5">
        <v>16</v>
      </c>
      <c r="AV1228" s="5">
        <v>19.2</v>
      </c>
      <c r="AW1228" s="5">
        <v>17.75</v>
      </c>
      <c r="AX1228" s="5">
        <v>363</v>
      </c>
      <c r="AY1228" s="5">
        <v>16.54</v>
      </c>
      <c r="AZ1228" s="5" t="s">
        <v>804</v>
      </c>
      <c r="BA1228" s="5">
        <v>11.03</v>
      </c>
      <c r="BB1228" s="12" t="s">
        <v>76</v>
      </c>
      <c r="BC1228" s="5">
        <v>4.55</v>
      </c>
      <c r="BD1228" s="5">
        <v>159</v>
      </c>
      <c r="BE1228" s="5" t="s">
        <v>76</v>
      </c>
      <c r="BF1228" s="5" t="s">
        <v>76</v>
      </c>
      <c r="BG1228" s="15">
        <v>36.9</v>
      </c>
      <c r="BH1228" s="5">
        <v>89</v>
      </c>
      <c r="BI1228" s="5" t="s">
        <v>76</v>
      </c>
      <c r="BJ1228" s="5">
        <v>16</v>
      </c>
      <c r="BK1228" s="5">
        <v>165</v>
      </c>
      <c r="BL1228" s="5">
        <v>95</v>
      </c>
      <c r="BM1228" s="5">
        <v>65</v>
      </c>
      <c r="BN1228" s="5">
        <v>175</v>
      </c>
      <c r="BO1228" s="5">
        <f t="shared" si="19"/>
        <v>21.2244897959184</v>
      </c>
      <c r="BP1228" s="5" t="s">
        <v>415</v>
      </c>
      <c r="BQ1228" s="5" t="s">
        <v>76</v>
      </c>
      <c r="BR1228" s="5">
        <v>447</v>
      </c>
    </row>
    <row r="1229" s="1" customFormat="1" spans="1:70">
      <c r="A1229" s="1">
        <v>3497626</v>
      </c>
      <c r="B1229" s="1" t="s">
        <v>2820</v>
      </c>
      <c r="C1229" s="1">
        <v>1</v>
      </c>
      <c r="D1229" s="4">
        <v>45264</v>
      </c>
      <c r="E1229" s="4">
        <v>45271</v>
      </c>
      <c r="F1229" s="7">
        <v>26809</v>
      </c>
      <c r="G1229" s="1">
        <v>36</v>
      </c>
      <c r="H1229" s="1">
        <v>10</v>
      </c>
      <c r="I1229" s="1">
        <v>50</v>
      </c>
      <c r="J1229" s="1">
        <v>10</v>
      </c>
      <c r="K1229" s="1">
        <v>58</v>
      </c>
      <c r="L1229" s="1">
        <v>31</v>
      </c>
      <c r="M1229" s="1">
        <v>0.91</v>
      </c>
      <c r="N1229" s="1">
        <v>8.5</v>
      </c>
      <c r="O1229" s="7">
        <v>26809</v>
      </c>
      <c r="P1229" s="4">
        <v>45264</v>
      </c>
      <c r="Q1229" s="4">
        <v>45271</v>
      </c>
      <c r="R1229" s="1" t="s">
        <v>80</v>
      </c>
      <c r="AO1229" s="7">
        <v>26809</v>
      </c>
      <c r="AP1229" s="5">
        <v>5</v>
      </c>
      <c r="AQ1229" s="5">
        <v>126</v>
      </c>
      <c r="AR1229" s="5">
        <v>39.9</v>
      </c>
      <c r="AS1229" s="5" t="s">
        <v>76</v>
      </c>
      <c r="AT1229" s="5">
        <v>24</v>
      </c>
      <c r="AU1229" s="5">
        <v>29</v>
      </c>
      <c r="AV1229" s="5">
        <v>46.6</v>
      </c>
      <c r="AW1229" s="5">
        <v>25.87</v>
      </c>
      <c r="AX1229" s="5">
        <v>691</v>
      </c>
      <c r="AY1229" s="5" t="s">
        <v>76</v>
      </c>
      <c r="AZ1229" s="5">
        <v>5.13</v>
      </c>
      <c r="BA1229" s="5">
        <v>4.47</v>
      </c>
      <c r="BB1229" s="12" t="s">
        <v>76</v>
      </c>
      <c r="BC1229" s="5">
        <v>5.44</v>
      </c>
      <c r="BD1229" s="5">
        <v>126</v>
      </c>
      <c r="BE1229" s="5" t="s">
        <v>76</v>
      </c>
      <c r="BF1229" s="5" t="s">
        <v>76</v>
      </c>
      <c r="BG1229" s="15">
        <v>36.7</v>
      </c>
      <c r="BH1229" s="5">
        <v>77</v>
      </c>
      <c r="BI1229" s="5">
        <v>77</v>
      </c>
      <c r="BJ1229" s="5">
        <v>16</v>
      </c>
      <c r="BK1229" s="5">
        <v>128</v>
      </c>
      <c r="BL1229" s="5">
        <v>89</v>
      </c>
      <c r="BM1229" s="5">
        <v>68</v>
      </c>
      <c r="BN1229" s="5">
        <v>175</v>
      </c>
      <c r="BO1229" s="5">
        <f t="shared" si="19"/>
        <v>22.2040816326531</v>
      </c>
      <c r="BP1229" s="5" t="s">
        <v>415</v>
      </c>
      <c r="BQ1229" s="5" t="s">
        <v>76</v>
      </c>
      <c r="BR1229" s="5">
        <v>1125</v>
      </c>
    </row>
    <row r="1230" s="1" customFormat="1" spans="1:70">
      <c r="A1230" s="16">
        <v>3499098</v>
      </c>
      <c r="B1230" s="1" t="s">
        <v>2821</v>
      </c>
      <c r="C1230" s="1">
        <v>1</v>
      </c>
      <c r="D1230" s="4">
        <v>45265</v>
      </c>
      <c r="E1230" s="4">
        <v>45279</v>
      </c>
      <c r="F1230" s="7">
        <v>26818</v>
      </c>
      <c r="G1230" s="1">
        <v>34</v>
      </c>
      <c r="H1230" s="1">
        <v>8</v>
      </c>
      <c r="I1230" s="1">
        <v>42</v>
      </c>
      <c r="J1230" s="1">
        <v>8</v>
      </c>
      <c r="K1230" s="1">
        <v>58</v>
      </c>
      <c r="L1230" s="1">
        <v>31</v>
      </c>
      <c r="M1230" s="1">
        <v>0.78</v>
      </c>
      <c r="N1230" s="1">
        <v>11.1</v>
      </c>
      <c r="O1230" s="7">
        <v>26818</v>
      </c>
      <c r="P1230" s="4">
        <v>45265</v>
      </c>
      <c r="Q1230" s="4">
        <v>45279</v>
      </c>
      <c r="R1230" s="1" t="s">
        <v>73</v>
      </c>
      <c r="AO1230" s="7">
        <v>26818</v>
      </c>
      <c r="AP1230" s="5">
        <v>8.5</v>
      </c>
      <c r="AQ1230" s="5">
        <v>99</v>
      </c>
      <c r="AR1230" s="5">
        <v>38.2</v>
      </c>
      <c r="AS1230" s="5">
        <v>59.4</v>
      </c>
      <c r="AT1230" s="5">
        <v>52</v>
      </c>
      <c r="AU1230" s="5">
        <v>25</v>
      </c>
      <c r="AV1230" s="5">
        <v>43.7</v>
      </c>
      <c r="AW1230" s="5">
        <v>8.59</v>
      </c>
      <c r="AX1230" s="5">
        <v>68</v>
      </c>
      <c r="AY1230" s="5" t="s">
        <v>125</v>
      </c>
      <c r="AZ1230" s="5" t="s">
        <v>75</v>
      </c>
      <c r="BA1230" s="5" t="s">
        <v>76</v>
      </c>
      <c r="BB1230" s="12" t="s">
        <v>76</v>
      </c>
      <c r="BC1230" s="5">
        <v>4.71</v>
      </c>
      <c r="BD1230" s="5">
        <v>99</v>
      </c>
      <c r="BE1230" s="5" t="s">
        <v>76</v>
      </c>
      <c r="BF1230" s="5" t="s">
        <v>76</v>
      </c>
      <c r="BG1230" s="15">
        <v>36.6</v>
      </c>
      <c r="BH1230" s="5">
        <v>78</v>
      </c>
      <c r="BI1230" s="5">
        <v>78</v>
      </c>
      <c r="BJ1230" s="5">
        <v>20</v>
      </c>
      <c r="BK1230" s="5">
        <v>130</v>
      </c>
      <c r="BL1230" s="5">
        <v>80</v>
      </c>
      <c r="BM1230" s="5">
        <v>77</v>
      </c>
      <c r="BN1230" s="5">
        <v>155</v>
      </c>
      <c r="BO1230" s="5">
        <f t="shared" si="19"/>
        <v>32.0499479708637</v>
      </c>
      <c r="BP1230" s="5" t="s">
        <v>1450</v>
      </c>
      <c r="BQ1230" s="5">
        <v>5.5</v>
      </c>
      <c r="BR1230" s="5">
        <v>920</v>
      </c>
    </row>
    <row r="1231" s="1" customFormat="1" spans="1:70">
      <c r="A1231" s="1">
        <v>3306000</v>
      </c>
      <c r="B1231" s="1" t="s">
        <v>2822</v>
      </c>
      <c r="D1231" s="4">
        <v>44999</v>
      </c>
      <c r="E1231" s="4">
        <v>45004</v>
      </c>
      <c r="F1231" s="7">
        <v>26830</v>
      </c>
      <c r="G1231" s="1">
        <v>39</v>
      </c>
      <c r="H1231" s="1">
        <v>10</v>
      </c>
      <c r="I1231" s="1">
        <v>55</v>
      </c>
      <c r="J1231" s="1">
        <v>9</v>
      </c>
      <c r="K1231" s="1">
        <v>47</v>
      </c>
      <c r="L1231" s="1">
        <v>24</v>
      </c>
      <c r="M1231" s="1">
        <v>0.57</v>
      </c>
      <c r="N1231" s="1">
        <v>8.4</v>
      </c>
      <c r="O1231" s="7">
        <v>26830</v>
      </c>
      <c r="P1231" s="4">
        <v>44999</v>
      </c>
      <c r="Q1231" s="4">
        <v>45004</v>
      </c>
      <c r="R1231" s="1" t="s">
        <v>80</v>
      </c>
      <c r="AO1231" s="7">
        <v>26830</v>
      </c>
      <c r="AP1231" s="5">
        <v>8.7</v>
      </c>
      <c r="AQ1231" s="5">
        <v>165</v>
      </c>
      <c r="AR1231" s="5">
        <v>48.8</v>
      </c>
      <c r="AS1231" s="5">
        <v>24</v>
      </c>
      <c r="AT1231" s="5">
        <v>54</v>
      </c>
      <c r="AU1231" s="5">
        <v>68</v>
      </c>
      <c r="AV1231" s="5">
        <v>44.4</v>
      </c>
      <c r="AW1231" s="5">
        <v>9.18</v>
      </c>
      <c r="AX1231" s="5">
        <v>74</v>
      </c>
      <c r="AY1231" s="5" t="s">
        <v>125</v>
      </c>
      <c r="AZ1231" s="5">
        <v>8.8</v>
      </c>
      <c r="BA1231" s="5">
        <v>4.8</v>
      </c>
      <c r="BB1231" s="12" t="s">
        <v>76</v>
      </c>
      <c r="BC1231" s="5">
        <v>4.51</v>
      </c>
      <c r="BD1231" s="5">
        <v>165</v>
      </c>
      <c r="BE1231" s="5">
        <v>0.95</v>
      </c>
      <c r="BF1231" s="5">
        <v>3.1</v>
      </c>
      <c r="BG1231" s="15">
        <v>36.5</v>
      </c>
      <c r="BH1231" s="5">
        <v>81</v>
      </c>
      <c r="BI1231" s="5">
        <v>81</v>
      </c>
      <c r="BJ1231" s="5">
        <v>20</v>
      </c>
      <c r="BK1231" s="5">
        <v>140</v>
      </c>
      <c r="BL1231" s="5">
        <v>96</v>
      </c>
      <c r="BM1231" s="5">
        <v>75</v>
      </c>
      <c r="BN1231" s="5">
        <v>165</v>
      </c>
      <c r="BO1231" s="5">
        <f t="shared" si="19"/>
        <v>27.5482093663912</v>
      </c>
      <c r="BP1231" s="5" t="s">
        <v>323</v>
      </c>
      <c r="BQ1231" s="5">
        <v>7.2</v>
      </c>
      <c r="BR1231" s="5">
        <v>991</v>
      </c>
    </row>
    <row r="1232" s="1" customFormat="1" spans="1:70">
      <c r="A1232" s="1">
        <v>3322726</v>
      </c>
      <c r="B1232" s="1" t="s">
        <v>2823</v>
      </c>
      <c r="C1232" s="1">
        <v>1</v>
      </c>
      <c r="D1232" s="4">
        <v>45022</v>
      </c>
      <c r="E1232" s="4">
        <v>45033</v>
      </c>
      <c r="F1232" s="7">
        <v>26883</v>
      </c>
      <c r="G1232" s="1">
        <v>45</v>
      </c>
      <c r="H1232" s="1">
        <v>10</v>
      </c>
      <c r="I1232" s="1">
        <v>57</v>
      </c>
      <c r="J1232" s="1">
        <v>10</v>
      </c>
      <c r="K1232" s="1">
        <v>42</v>
      </c>
      <c r="L1232" s="1">
        <v>21</v>
      </c>
      <c r="M1232" s="1">
        <v>0.46</v>
      </c>
      <c r="N1232" s="1">
        <v>13.5</v>
      </c>
      <c r="O1232" s="7">
        <v>26883</v>
      </c>
      <c r="P1232" s="4">
        <v>45022</v>
      </c>
      <c r="Q1232" s="4">
        <v>45033</v>
      </c>
      <c r="R1232" s="1" t="s">
        <v>80</v>
      </c>
      <c r="AO1232" s="7">
        <v>26883</v>
      </c>
      <c r="AP1232" s="5">
        <v>7.3</v>
      </c>
      <c r="AQ1232" s="5">
        <v>120</v>
      </c>
      <c r="AR1232" s="5">
        <v>38.7</v>
      </c>
      <c r="AS1232" s="5">
        <v>2.8</v>
      </c>
      <c r="AT1232" s="5">
        <v>56</v>
      </c>
      <c r="AU1232" s="5">
        <v>41</v>
      </c>
      <c r="AV1232" s="5">
        <v>29.7</v>
      </c>
      <c r="AW1232" s="5">
        <v>10.1</v>
      </c>
      <c r="AX1232" s="5">
        <v>132</v>
      </c>
      <c r="AY1232" s="5">
        <v>53.15</v>
      </c>
      <c r="AZ1232" s="5" t="s">
        <v>375</v>
      </c>
      <c r="BA1232" s="5">
        <v>12.93</v>
      </c>
      <c r="BB1232" s="12" t="s">
        <v>76</v>
      </c>
      <c r="BC1232" s="5">
        <v>3.96</v>
      </c>
      <c r="BD1232" s="5">
        <v>120</v>
      </c>
      <c r="BE1232" s="5" t="s">
        <v>76</v>
      </c>
      <c r="BF1232" s="5" t="s">
        <v>76</v>
      </c>
      <c r="BG1232" s="15">
        <v>36.5</v>
      </c>
      <c r="BH1232" s="5">
        <v>80</v>
      </c>
      <c r="BI1232" s="5">
        <v>80</v>
      </c>
      <c r="BJ1232" s="5">
        <v>18</v>
      </c>
      <c r="BK1232" s="5">
        <v>150</v>
      </c>
      <c r="BL1232" s="5">
        <v>100</v>
      </c>
      <c r="BM1232" s="5">
        <v>77</v>
      </c>
      <c r="BN1232" s="5">
        <v>168</v>
      </c>
      <c r="BO1232" s="5">
        <f t="shared" si="19"/>
        <v>27.281746031746</v>
      </c>
      <c r="BP1232" s="5" t="s">
        <v>588</v>
      </c>
      <c r="BQ1232" s="5">
        <v>7.7</v>
      </c>
      <c r="BR1232" s="5">
        <v>929</v>
      </c>
    </row>
    <row r="1233" s="1" customFormat="1" spans="1:70">
      <c r="A1233" s="1">
        <v>3296395</v>
      </c>
      <c r="B1233" s="1" t="s">
        <v>2824</v>
      </c>
      <c r="D1233" s="4">
        <v>44986</v>
      </c>
      <c r="E1233" s="4">
        <v>44988</v>
      </c>
      <c r="F1233" s="7">
        <v>26883</v>
      </c>
      <c r="G1233" s="1">
        <v>41</v>
      </c>
      <c r="H1233" s="1">
        <v>11</v>
      </c>
      <c r="I1233" s="1">
        <v>55</v>
      </c>
      <c r="J1233" s="1">
        <v>11</v>
      </c>
      <c r="K1233" s="1">
        <v>58</v>
      </c>
      <c r="L1233" s="1">
        <v>31</v>
      </c>
      <c r="M1233" s="1">
        <v>0.79</v>
      </c>
      <c r="N1233" s="1">
        <v>7.2</v>
      </c>
      <c r="O1233" s="7">
        <v>26883</v>
      </c>
      <c r="P1233" s="4">
        <v>44986</v>
      </c>
      <c r="Q1233" s="4">
        <v>44988</v>
      </c>
      <c r="R1233" s="1" t="s">
        <v>80</v>
      </c>
      <c r="AO1233" s="7">
        <v>26883</v>
      </c>
      <c r="AP1233" s="5">
        <v>9.7</v>
      </c>
      <c r="AQ1233" s="5">
        <v>149</v>
      </c>
      <c r="AR1233" s="5">
        <v>47.6</v>
      </c>
      <c r="AS1233" s="5">
        <v>25.9</v>
      </c>
      <c r="AT1233" s="5">
        <v>41</v>
      </c>
      <c r="AU1233" s="5">
        <v>40</v>
      </c>
      <c r="AV1233" s="5">
        <v>38</v>
      </c>
      <c r="AW1233" s="5">
        <v>9.4</v>
      </c>
      <c r="AX1233" s="5">
        <v>75</v>
      </c>
      <c r="AY1233" s="5">
        <v>118.28</v>
      </c>
      <c r="AZ1233" s="5" t="s">
        <v>75</v>
      </c>
      <c r="BA1233" s="5">
        <v>5.26</v>
      </c>
      <c r="BB1233" s="12" t="s">
        <v>76</v>
      </c>
      <c r="BC1233" s="5">
        <v>3.69</v>
      </c>
      <c r="BD1233" s="5">
        <v>149</v>
      </c>
      <c r="BE1233" s="5">
        <v>0.85</v>
      </c>
      <c r="BF1233" s="5">
        <v>3.61</v>
      </c>
      <c r="BG1233" s="15">
        <v>36.5</v>
      </c>
      <c r="BH1233" s="5">
        <v>64</v>
      </c>
      <c r="BI1233" s="5">
        <v>64</v>
      </c>
      <c r="BJ1233" s="5">
        <v>20</v>
      </c>
      <c r="BK1233" s="5">
        <v>121</v>
      </c>
      <c r="BL1233" s="5">
        <v>80</v>
      </c>
      <c r="BM1233" s="5">
        <v>97</v>
      </c>
      <c r="BN1233" s="5">
        <v>169</v>
      </c>
      <c r="BO1233" s="5">
        <f t="shared" si="19"/>
        <v>33.9623962746402</v>
      </c>
      <c r="BP1233" s="5" t="s">
        <v>323</v>
      </c>
      <c r="BQ1233" s="5">
        <v>5.8</v>
      </c>
      <c r="BR1233" s="5">
        <v>415</v>
      </c>
    </row>
    <row r="1234" s="1" customFormat="1" spans="1:70">
      <c r="A1234" s="1">
        <v>3298969</v>
      </c>
      <c r="B1234" s="1" t="s">
        <v>2825</v>
      </c>
      <c r="D1234" s="4">
        <v>44991</v>
      </c>
      <c r="E1234" s="4">
        <v>44997</v>
      </c>
      <c r="F1234" s="7">
        <v>26894</v>
      </c>
      <c r="G1234" s="1">
        <v>40</v>
      </c>
      <c r="H1234" s="1">
        <v>10</v>
      </c>
      <c r="I1234" s="1">
        <v>57</v>
      </c>
      <c r="J1234" s="1">
        <v>10</v>
      </c>
      <c r="K1234" s="1">
        <v>41</v>
      </c>
      <c r="L1234" s="1">
        <v>21</v>
      </c>
      <c r="M1234" s="1">
        <v>0.79</v>
      </c>
      <c r="N1234" s="1">
        <v>12.6</v>
      </c>
      <c r="O1234" s="7">
        <v>26894</v>
      </c>
      <c r="P1234" s="4">
        <v>44991</v>
      </c>
      <c r="Q1234" s="4">
        <v>44997</v>
      </c>
      <c r="R1234" s="1" t="s">
        <v>80</v>
      </c>
      <c r="AO1234" s="7">
        <v>26894</v>
      </c>
      <c r="AP1234" s="5">
        <v>6</v>
      </c>
      <c r="AQ1234" s="5">
        <v>108</v>
      </c>
      <c r="AR1234" s="5">
        <v>35.4</v>
      </c>
      <c r="AS1234" s="5" t="s">
        <v>76</v>
      </c>
      <c r="AT1234" s="5">
        <v>11</v>
      </c>
      <c r="AU1234" s="5" t="s">
        <v>171</v>
      </c>
      <c r="AV1234" s="5">
        <v>12.9</v>
      </c>
      <c r="AW1234" s="5">
        <v>3.88</v>
      </c>
      <c r="AX1234" s="5">
        <v>60</v>
      </c>
      <c r="AY1234" s="5" t="s">
        <v>125</v>
      </c>
      <c r="AZ1234" s="5">
        <v>5.3</v>
      </c>
      <c r="BA1234" s="5">
        <v>13.29</v>
      </c>
      <c r="BB1234" s="12" t="s">
        <v>76</v>
      </c>
      <c r="BC1234" s="5" t="s">
        <v>4</v>
      </c>
      <c r="BD1234" s="5">
        <v>108</v>
      </c>
      <c r="BE1234" s="5">
        <v>0.85</v>
      </c>
      <c r="BF1234" s="5">
        <v>11.54</v>
      </c>
      <c r="BG1234" s="15">
        <v>36.7</v>
      </c>
      <c r="BH1234" s="5">
        <v>96</v>
      </c>
      <c r="BI1234" s="5" t="s">
        <v>76</v>
      </c>
      <c r="BJ1234" s="5">
        <v>22</v>
      </c>
      <c r="BK1234" s="5">
        <v>119</v>
      </c>
      <c r="BL1234" s="5">
        <v>84</v>
      </c>
      <c r="BM1234" s="5">
        <v>97</v>
      </c>
      <c r="BN1234" s="5">
        <v>170</v>
      </c>
      <c r="BO1234" s="5">
        <f t="shared" si="19"/>
        <v>33.5640138408305</v>
      </c>
      <c r="BP1234" s="5" t="s">
        <v>415</v>
      </c>
      <c r="BQ1234" s="5">
        <v>5.6</v>
      </c>
      <c r="BR1234" s="5">
        <v>796</v>
      </c>
    </row>
    <row r="1235" s="1" customFormat="1" spans="1:70">
      <c r="A1235" s="1">
        <v>3243314</v>
      </c>
      <c r="B1235" s="1" t="s">
        <v>2826</v>
      </c>
      <c r="C1235" s="1" t="s">
        <v>273</v>
      </c>
      <c r="D1235" s="4">
        <v>44888</v>
      </c>
      <c r="E1235" s="4">
        <v>44890</v>
      </c>
      <c r="F1235" s="7">
        <v>26917</v>
      </c>
      <c r="G1235" s="1">
        <v>34</v>
      </c>
      <c r="H1235" s="1">
        <v>10</v>
      </c>
      <c r="I1235" s="1">
        <v>50</v>
      </c>
      <c r="J1235" s="1">
        <v>10</v>
      </c>
      <c r="K1235" s="1">
        <v>58</v>
      </c>
      <c r="L1235" s="1">
        <v>31</v>
      </c>
      <c r="M1235" s="1">
        <v>0.71</v>
      </c>
      <c r="N1235" s="1">
        <v>7.7</v>
      </c>
      <c r="O1235" s="7">
        <v>26917</v>
      </c>
      <c r="P1235" s="4">
        <v>44888</v>
      </c>
      <c r="Q1235" s="4">
        <v>44890</v>
      </c>
      <c r="R1235" s="1" t="s">
        <v>80</v>
      </c>
      <c r="AO1235" s="7">
        <v>26917</v>
      </c>
      <c r="AP1235" s="5">
        <v>6.4</v>
      </c>
      <c r="AQ1235" s="5">
        <v>165</v>
      </c>
      <c r="AR1235" s="5">
        <v>47.9</v>
      </c>
      <c r="AS1235" s="5" t="s">
        <v>76</v>
      </c>
      <c r="AT1235" s="5">
        <v>29</v>
      </c>
      <c r="AU1235" s="5">
        <v>37</v>
      </c>
      <c r="AV1235" s="5">
        <v>39.6</v>
      </c>
      <c r="AW1235" s="5">
        <v>5.62</v>
      </c>
      <c r="AX1235" s="5">
        <v>89</v>
      </c>
      <c r="AY1235" s="5">
        <v>83.77</v>
      </c>
      <c r="AZ1235" s="5" t="s">
        <v>75</v>
      </c>
      <c r="BA1235" s="5">
        <v>3.58</v>
      </c>
      <c r="BB1235" s="12" t="s">
        <v>76</v>
      </c>
      <c r="BC1235" s="5">
        <v>4.27</v>
      </c>
      <c r="BD1235" s="5">
        <v>165</v>
      </c>
      <c r="BE1235" s="5">
        <v>0.87</v>
      </c>
      <c r="BF1235" s="5">
        <v>2.23</v>
      </c>
      <c r="BG1235" s="15">
        <v>36.5</v>
      </c>
      <c r="BH1235" s="5">
        <v>72</v>
      </c>
      <c r="BI1235" s="5">
        <v>72</v>
      </c>
      <c r="BJ1235" s="5">
        <v>17</v>
      </c>
      <c r="BK1235" s="5">
        <v>154</v>
      </c>
      <c r="BL1235" s="5">
        <v>105</v>
      </c>
      <c r="BM1235" s="5">
        <v>80</v>
      </c>
      <c r="BN1235" s="5">
        <v>170</v>
      </c>
      <c r="BO1235" s="5">
        <f t="shared" si="19"/>
        <v>27.681660899654</v>
      </c>
      <c r="BP1235" s="5" t="s">
        <v>121</v>
      </c>
      <c r="BQ1235" s="5" t="s">
        <v>76</v>
      </c>
      <c r="BR1235" s="5">
        <v>313</v>
      </c>
    </row>
    <row r="1236" s="1" customFormat="1" spans="1:70">
      <c r="A1236" s="1">
        <v>3291922</v>
      </c>
      <c r="B1236" s="1" t="s">
        <v>2827</v>
      </c>
      <c r="D1236" s="4">
        <v>44979</v>
      </c>
      <c r="E1236" s="4">
        <v>44987</v>
      </c>
      <c r="F1236" s="7">
        <v>26943</v>
      </c>
      <c r="G1236" s="1">
        <v>38</v>
      </c>
      <c r="H1236" s="1">
        <v>9</v>
      </c>
      <c r="I1236" s="1">
        <v>50</v>
      </c>
      <c r="J1236" s="1">
        <v>9</v>
      </c>
      <c r="K1236" s="1">
        <v>46</v>
      </c>
      <c r="L1236" s="1">
        <v>23</v>
      </c>
      <c r="M1236" s="1">
        <v>0.81</v>
      </c>
      <c r="N1236" s="1">
        <v>12.5</v>
      </c>
      <c r="O1236" s="7">
        <v>26943</v>
      </c>
      <c r="P1236" s="4">
        <v>44979</v>
      </c>
      <c r="Q1236" s="4">
        <v>44987</v>
      </c>
      <c r="R1236" s="1" t="s">
        <v>80</v>
      </c>
      <c r="AO1236" s="7">
        <v>26943</v>
      </c>
      <c r="AP1236" s="5">
        <v>9.7</v>
      </c>
      <c r="AQ1236" s="5">
        <v>147</v>
      </c>
      <c r="AR1236" s="5">
        <v>45.5</v>
      </c>
      <c r="AS1236" s="5">
        <v>79.9</v>
      </c>
      <c r="AT1236" s="5">
        <v>87</v>
      </c>
      <c r="AU1236" s="5">
        <v>33</v>
      </c>
      <c r="AV1236" s="5">
        <v>41.1</v>
      </c>
      <c r="AW1236" s="5">
        <v>7.51</v>
      </c>
      <c r="AX1236" s="5">
        <v>64</v>
      </c>
      <c r="AY1236" s="5" t="s">
        <v>125</v>
      </c>
      <c r="AZ1236" s="5">
        <v>8.23</v>
      </c>
      <c r="BA1236" s="5">
        <v>6.17</v>
      </c>
      <c r="BB1236" s="12" t="s">
        <v>76</v>
      </c>
      <c r="BC1236" s="5">
        <v>4.67</v>
      </c>
      <c r="BD1236" s="5">
        <v>147</v>
      </c>
      <c r="BE1236" s="5">
        <v>0.93</v>
      </c>
      <c r="BF1236" s="5">
        <v>4.26</v>
      </c>
      <c r="BG1236" s="15">
        <v>36.2</v>
      </c>
      <c r="BH1236" s="5">
        <v>92</v>
      </c>
      <c r="BI1236" s="5">
        <v>92</v>
      </c>
      <c r="BJ1236" s="5">
        <v>20</v>
      </c>
      <c r="BK1236" s="5">
        <v>142</v>
      </c>
      <c r="BL1236" s="5">
        <v>102</v>
      </c>
      <c r="BM1236" s="5">
        <v>90</v>
      </c>
      <c r="BN1236" s="5">
        <v>178</v>
      </c>
      <c r="BO1236" s="5">
        <f t="shared" si="19"/>
        <v>28.4055043555107</v>
      </c>
      <c r="BP1236" s="5" t="s">
        <v>323</v>
      </c>
      <c r="BQ1236" s="5">
        <v>7.9</v>
      </c>
      <c r="BR1236" s="5">
        <v>975</v>
      </c>
    </row>
    <row r="1237" s="1" customFormat="1" spans="1:70">
      <c r="A1237" s="1">
        <v>3327632</v>
      </c>
      <c r="B1237" s="1" t="s">
        <v>2828</v>
      </c>
      <c r="C1237" s="1">
        <v>1</v>
      </c>
      <c r="D1237" s="4">
        <v>45028</v>
      </c>
      <c r="E1237" s="4">
        <v>45030</v>
      </c>
      <c r="F1237" s="7">
        <v>26977</v>
      </c>
      <c r="G1237" s="1">
        <v>46</v>
      </c>
      <c r="H1237" s="1">
        <v>9</v>
      </c>
      <c r="I1237" s="1">
        <v>57</v>
      </c>
      <c r="J1237" s="1">
        <v>9</v>
      </c>
      <c r="K1237" s="1">
        <v>32</v>
      </c>
      <c r="L1237" s="1">
        <v>16</v>
      </c>
      <c r="M1237" s="1">
        <v>0.52</v>
      </c>
      <c r="N1237" s="1">
        <v>10.8</v>
      </c>
      <c r="O1237" s="7">
        <v>26977</v>
      </c>
      <c r="P1237" s="4">
        <v>45028</v>
      </c>
      <c r="Q1237" s="4">
        <v>45030</v>
      </c>
      <c r="R1237" s="1" t="s">
        <v>80</v>
      </c>
      <c r="AO1237" s="7">
        <v>26977</v>
      </c>
      <c r="AP1237" s="5">
        <v>5.1</v>
      </c>
      <c r="AQ1237" s="5">
        <v>161</v>
      </c>
      <c r="AR1237" s="5">
        <v>48.5</v>
      </c>
      <c r="AS1237" s="5" t="s">
        <v>81</v>
      </c>
      <c r="AT1237" s="5">
        <v>21</v>
      </c>
      <c r="AU1237" s="5">
        <v>29</v>
      </c>
      <c r="AV1237" s="5">
        <v>48</v>
      </c>
      <c r="AW1237" s="5">
        <v>5.88</v>
      </c>
      <c r="AX1237" s="5">
        <v>55</v>
      </c>
      <c r="AY1237" s="5" t="s">
        <v>125</v>
      </c>
      <c r="AZ1237" s="5" t="s">
        <v>75</v>
      </c>
      <c r="BA1237" s="5">
        <v>4.64</v>
      </c>
      <c r="BB1237" s="12" t="s">
        <v>76</v>
      </c>
      <c r="BC1237" s="5">
        <v>4.42</v>
      </c>
      <c r="BD1237" s="5">
        <v>161</v>
      </c>
      <c r="BE1237" s="5">
        <v>1.04</v>
      </c>
      <c r="BF1237" s="5">
        <v>2.82</v>
      </c>
      <c r="BG1237" s="15">
        <v>36.3</v>
      </c>
      <c r="BH1237" s="5">
        <v>76</v>
      </c>
      <c r="BI1237" s="5">
        <v>76</v>
      </c>
      <c r="BJ1237" s="5">
        <v>16</v>
      </c>
      <c r="BK1237" s="5">
        <v>128</v>
      </c>
      <c r="BL1237" s="5">
        <v>95</v>
      </c>
      <c r="BM1237" s="5">
        <v>80</v>
      </c>
      <c r="BN1237" s="5">
        <v>172</v>
      </c>
      <c r="BO1237" s="5">
        <f t="shared" si="19"/>
        <v>27.0416441319632</v>
      </c>
      <c r="BP1237" s="5" t="s">
        <v>121</v>
      </c>
      <c r="BQ1237" s="5">
        <v>5.8</v>
      </c>
      <c r="BR1237" s="5">
        <v>517</v>
      </c>
    </row>
    <row r="1238" s="1" customFormat="1" spans="1:70">
      <c r="A1238" s="1">
        <v>3321397</v>
      </c>
      <c r="B1238" s="1" t="s">
        <v>2829</v>
      </c>
      <c r="D1238" s="4">
        <v>45020</v>
      </c>
      <c r="E1238" s="4">
        <v>45030</v>
      </c>
      <c r="F1238" s="7">
        <v>26986</v>
      </c>
      <c r="G1238" s="1">
        <v>39</v>
      </c>
      <c r="H1238" s="1">
        <v>10</v>
      </c>
      <c r="I1238" s="1">
        <v>58</v>
      </c>
      <c r="J1238" s="1">
        <v>9</v>
      </c>
      <c r="K1238" s="1">
        <v>37</v>
      </c>
      <c r="L1238" s="1">
        <v>18</v>
      </c>
      <c r="M1238" s="1">
        <v>0.52</v>
      </c>
      <c r="N1238" s="1">
        <v>13.4</v>
      </c>
      <c r="O1238" s="7">
        <v>26986</v>
      </c>
      <c r="P1238" s="4">
        <v>45020</v>
      </c>
      <c r="Q1238" s="4">
        <v>45030</v>
      </c>
      <c r="R1238" s="1" t="s">
        <v>80</v>
      </c>
      <c r="AO1238" s="7">
        <v>26986</v>
      </c>
      <c r="AP1238" s="5">
        <v>7.2</v>
      </c>
      <c r="AQ1238" s="5">
        <v>126</v>
      </c>
      <c r="AR1238" s="5">
        <v>38.3</v>
      </c>
      <c r="AS1238" s="5" t="s">
        <v>76</v>
      </c>
      <c r="AT1238" s="5">
        <v>44</v>
      </c>
      <c r="AU1238" s="5">
        <v>8</v>
      </c>
      <c r="AV1238" s="5">
        <v>30.3</v>
      </c>
      <c r="AW1238" s="5">
        <v>7.32</v>
      </c>
      <c r="AX1238" s="5">
        <v>122</v>
      </c>
      <c r="AY1238" s="5">
        <v>71.57</v>
      </c>
      <c r="AZ1238" s="5" t="s">
        <v>375</v>
      </c>
      <c r="BA1238" s="5">
        <v>8.03</v>
      </c>
      <c r="BB1238" s="12" t="s">
        <v>76</v>
      </c>
      <c r="BC1238" s="5">
        <v>3.92</v>
      </c>
      <c r="BD1238" s="5">
        <v>126</v>
      </c>
      <c r="BE1238" s="5">
        <v>0.6</v>
      </c>
      <c r="BF1238" s="5">
        <v>6.16</v>
      </c>
      <c r="BG1238" s="15">
        <v>36.6</v>
      </c>
      <c r="BH1238" s="5">
        <v>88</v>
      </c>
      <c r="BI1238" s="5">
        <v>88</v>
      </c>
      <c r="BJ1238" s="5">
        <v>17</v>
      </c>
      <c r="BK1238" s="5">
        <v>145</v>
      </c>
      <c r="BL1238" s="5">
        <v>97</v>
      </c>
      <c r="BM1238" s="5">
        <v>75</v>
      </c>
      <c r="BN1238" s="5">
        <v>176</v>
      </c>
      <c r="BO1238" s="5">
        <f t="shared" si="19"/>
        <v>24.2122933884298</v>
      </c>
      <c r="BP1238" s="5" t="s">
        <v>121</v>
      </c>
      <c r="BQ1238" s="5" t="s">
        <v>76</v>
      </c>
      <c r="BR1238" s="5">
        <v>9620</v>
      </c>
    </row>
    <row r="1239" s="1" customFormat="1" spans="1:70">
      <c r="A1239" s="1">
        <v>3262103</v>
      </c>
      <c r="B1239" s="1" t="s">
        <v>2830</v>
      </c>
      <c r="C1239" s="1">
        <v>1</v>
      </c>
      <c r="D1239" s="4">
        <v>44931</v>
      </c>
      <c r="E1239" s="4">
        <v>44943</v>
      </c>
      <c r="F1239" s="7">
        <v>27007</v>
      </c>
      <c r="G1239" s="1">
        <v>44</v>
      </c>
      <c r="H1239" s="1">
        <v>13</v>
      </c>
      <c r="I1239" s="1">
        <v>55</v>
      </c>
      <c r="J1239" s="1">
        <v>13</v>
      </c>
      <c r="K1239" s="1">
        <v>59</v>
      </c>
      <c r="L1239" s="1">
        <v>32</v>
      </c>
      <c r="M1239" s="1">
        <v>0.71</v>
      </c>
      <c r="N1239" s="1">
        <v>14.6</v>
      </c>
      <c r="O1239" s="7">
        <v>27007</v>
      </c>
      <c r="P1239" s="4">
        <v>44931</v>
      </c>
      <c r="Q1239" s="4">
        <v>44943</v>
      </c>
      <c r="R1239" s="1" t="s">
        <v>80</v>
      </c>
      <c r="AO1239" s="7">
        <v>27007</v>
      </c>
      <c r="AP1239" s="5">
        <v>14.9</v>
      </c>
      <c r="AQ1239" s="5">
        <v>100</v>
      </c>
      <c r="AR1239" s="5">
        <v>29.4</v>
      </c>
      <c r="AS1239" s="5" t="s">
        <v>76</v>
      </c>
      <c r="AT1239" s="5">
        <v>30</v>
      </c>
      <c r="AU1239" s="5">
        <v>48</v>
      </c>
      <c r="AV1239" s="5">
        <v>34.2</v>
      </c>
      <c r="AW1239" s="5">
        <v>62.22</v>
      </c>
      <c r="AX1239" s="5">
        <v>1303</v>
      </c>
      <c r="AY1239" s="5" t="s">
        <v>76</v>
      </c>
      <c r="AZ1239" s="5">
        <v>9.94</v>
      </c>
      <c r="BA1239" s="5">
        <v>3.78</v>
      </c>
      <c r="BB1239" s="12" t="s">
        <v>76</v>
      </c>
      <c r="BC1239" s="5">
        <v>5.87</v>
      </c>
      <c r="BD1239" s="5">
        <v>100</v>
      </c>
      <c r="BE1239" s="5" t="s">
        <v>76</v>
      </c>
      <c r="BF1239" s="5" t="s">
        <v>76</v>
      </c>
      <c r="BG1239" s="15">
        <v>36.5</v>
      </c>
      <c r="BH1239" s="5" t="s">
        <v>76</v>
      </c>
      <c r="BI1239" s="5">
        <v>88</v>
      </c>
      <c r="BJ1239" s="5" t="s">
        <v>76</v>
      </c>
      <c r="BK1239" s="5">
        <v>154</v>
      </c>
      <c r="BL1239" s="5">
        <v>100</v>
      </c>
      <c r="BM1239" s="5">
        <v>67.5</v>
      </c>
      <c r="BN1239" s="5">
        <v>176</v>
      </c>
      <c r="BO1239" s="5">
        <f t="shared" si="19"/>
        <v>21.7910640495868</v>
      </c>
      <c r="BP1239" s="5" t="s">
        <v>415</v>
      </c>
      <c r="BQ1239" s="5" t="s">
        <v>76</v>
      </c>
      <c r="BR1239" s="5" t="s">
        <v>118</v>
      </c>
    </row>
    <row r="1240" s="1" customFormat="1" spans="1:70">
      <c r="A1240" s="1">
        <v>3278632</v>
      </c>
      <c r="B1240" s="1" t="s">
        <v>2831</v>
      </c>
      <c r="D1240" s="4">
        <v>44961</v>
      </c>
      <c r="E1240" s="4">
        <v>44977</v>
      </c>
      <c r="F1240" s="7">
        <v>27043</v>
      </c>
      <c r="G1240" s="1">
        <v>46</v>
      </c>
      <c r="H1240" s="1">
        <v>13</v>
      </c>
      <c r="I1240" s="1">
        <v>60</v>
      </c>
      <c r="J1240" s="1">
        <v>13</v>
      </c>
      <c r="K1240" s="1">
        <v>44</v>
      </c>
      <c r="L1240" s="1">
        <v>22</v>
      </c>
      <c r="M1240" s="1">
        <v>0.89</v>
      </c>
      <c r="O1240" s="7">
        <v>27043</v>
      </c>
      <c r="P1240" s="4">
        <v>44961</v>
      </c>
      <c r="Q1240" s="4">
        <v>44977</v>
      </c>
      <c r="R1240" s="1" t="s">
        <v>80</v>
      </c>
      <c r="AO1240" s="7">
        <v>27043</v>
      </c>
      <c r="AP1240" s="5">
        <v>9.7</v>
      </c>
      <c r="AQ1240" s="5">
        <v>165</v>
      </c>
      <c r="AR1240" s="5">
        <v>51.1</v>
      </c>
      <c r="AS1240" s="5">
        <v>5.8</v>
      </c>
      <c r="AT1240" s="5">
        <v>71</v>
      </c>
      <c r="AU1240" s="5">
        <v>88</v>
      </c>
      <c r="AV1240" s="5">
        <v>36.7</v>
      </c>
      <c r="AW1240" s="5">
        <v>9.97</v>
      </c>
      <c r="AX1240" s="5">
        <v>95</v>
      </c>
      <c r="AY1240" s="5">
        <v>80.62</v>
      </c>
      <c r="AZ1240" s="5">
        <v>9.2</v>
      </c>
      <c r="BA1240" s="5">
        <v>5.11</v>
      </c>
      <c r="BB1240" s="12" t="s">
        <v>76</v>
      </c>
      <c r="BC1240" s="5">
        <v>4.39</v>
      </c>
      <c r="BD1240" s="5">
        <v>165</v>
      </c>
      <c r="BE1240" s="5">
        <v>1.12</v>
      </c>
      <c r="BF1240" s="5">
        <v>3.44</v>
      </c>
      <c r="BG1240" s="15">
        <v>36.3</v>
      </c>
      <c r="BH1240" s="5" t="s">
        <v>76</v>
      </c>
      <c r="BI1240" s="5">
        <v>96</v>
      </c>
      <c r="BJ1240" s="5">
        <v>21</v>
      </c>
      <c r="BK1240" s="5">
        <v>211</v>
      </c>
      <c r="BL1240" s="5">
        <v>153</v>
      </c>
      <c r="BM1240" s="5">
        <v>83</v>
      </c>
      <c r="BN1240" s="5">
        <v>170</v>
      </c>
      <c r="BO1240" s="5">
        <f t="shared" si="19"/>
        <v>28.719723183391</v>
      </c>
      <c r="BP1240" s="5" t="s">
        <v>164</v>
      </c>
      <c r="BQ1240" s="5">
        <v>5.2</v>
      </c>
      <c r="BR1240" s="5">
        <v>3066</v>
      </c>
    </row>
    <row r="1241" s="1" customFormat="1" spans="1:70">
      <c r="A1241" s="1" t="s">
        <v>2832</v>
      </c>
      <c r="B1241" s="1" t="s">
        <v>2833</v>
      </c>
      <c r="D1241" s="4">
        <v>44928</v>
      </c>
      <c r="E1241" s="4">
        <v>44956</v>
      </c>
      <c r="F1241" s="7">
        <v>27049</v>
      </c>
      <c r="G1241" s="1">
        <v>41</v>
      </c>
      <c r="H1241" s="1">
        <v>10</v>
      </c>
      <c r="I1241" s="1">
        <v>54</v>
      </c>
      <c r="J1241" s="1">
        <v>10</v>
      </c>
      <c r="K1241" s="1">
        <v>66</v>
      </c>
      <c r="L1241" s="1">
        <v>37</v>
      </c>
      <c r="M1241" s="1">
        <v>0.72</v>
      </c>
      <c r="N1241" s="1">
        <v>9.9</v>
      </c>
      <c r="O1241" s="7">
        <v>27049</v>
      </c>
      <c r="P1241" s="4">
        <v>44928</v>
      </c>
      <c r="Q1241" s="4">
        <v>44956</v>
      </c>
      <c r="R1241" s="1" t="s">
        <v>80</v>
      </c>
      <c r="AO1241" s="7">
        <v>27049</v>
      </c>
      <c r="AP1241" s="5" t="s">
        <v>306</v>
      </c>
      <c r="AQ1241" s="5" t="s">
        <v>243</v>
      </c>
      <c r="AR1241" s="5" t="s">
        <v>2834</v>
      </c>
      <c r="AS1241" s="5" t="s">
        <v>81</v>
      </c>
      <c r="AT1241" s="5" t="s">
        <v>599</v>
      </c>
      <c r="AU1241" s="5" t="s">
        <v>422</v>
      </c>
      <c r="AV1241" s="5" t="s">
        <v>477</v>
      </c>
      <c r="AW1241" s="5" t="s">
        <v>2835</v>
      </c>
      <c r="AX1241" s="5" t="s">
        <v>2836</v>
      </c>
      <c r="AY1241" s="5" t="s">
        <v>2837</v>
      </c>
      <c r="AZ1241" s="5" t="s">
        <v>75</v>
      </c>
      <c r="BA1241" s="5" t="s">
        <v>1290</v>
      </c>
      <c r="BB1241" s="12" t="s">
        <v>76</v>
      </c>
      <c r="BC1241" s="5" t="s">
        <v>244</v>
      </c>
      <c r="BD1241" s="5" t="s">
        <v>243</v>
      </c>
      <c r="BE1241" s="5" t="s">
        <v>76</v>
      </c>
      <c r="BF1241" s="5" t="s">
        <v>76</v>
      </c>
      <c r="BG1241" s="15">
        <v>38</v>
      </c>
      <c r="BH1241" s="5" t="s">
        <v>76</v>
      </c>
      <c r="BI1241" s="5" t="s">
        <v>232</v>
      </c>
      <c r="BJ1241" s="5" t="s">
        <v>101</v>
      </c>
      <c r="BK1241" s="5" t="s">
        <v>138</v>
      </c>
      <c r="BL1241" s="5" t="s">
        <v>232</v>
      </c>
      <c r="BM1241" s="5" t="s">
        <v>96</v>
      </c>
      <c r="BN1241" s="5">
        <v>175</v>
      </c>
      <c r="BO1241" s="5">
        <f t="shared" si="19"/>
        <v>19.265306122449</v>
      </c>
      <c r="BP1241" s="5" t="s">
        <v>2041</v>
      </c>
      <c r="BQ1241" s="5" t="s">
        <v>76</v>
      </c>
      <c r="BR1241" s="5">
        <v>9659</v>
      </c>
    </row>
    <row r="1242" s="1" customFormat="1" spans="1:70">
      <c r="A1242" s="1">
        <v>3255074</v>
      </c>
      <c r="B1242" s="1" t="s">
        <v>2838</v>
      </c>
      <c r="D1242" s="4">
        <v>44917</v>
      </c>
      <c r="E1242" s="4">
        <v>44974</v>
      </c>
      <c r="F1242" s="7">
        <v>27103</v>
      </c>
      <c r="G1242" s="1">
        <v>30</v>
      </c>
      <c r="H1242" s="1">
        <v>10</v>
      </c>
      <c r="I1242" s="1">
        <v>44</v>
      </c>
      <c r="J1242" s="1">
        <v>10</v>
      </c>
      <c r="K1242" s="1">
        <v>55</v>
      </c>
      <c r="L1242" s="1">
        <v>28</v>
      </c>
      <c r="M1242" s="1">
        <v>0.69</v>
      </c>
      <c r="N1242" s="1">
        <v>8.5</v>
      </c>
      <c r="O1242" s="7">
        <v>27103</v>
      </c>
      <c r="P1242" s="4">
        <v>44917</v>
      </c>
      <c r="Q1242" s="4">
        <v>44974</v>
      </c>
      <c r="R1242" s="1" t="s">
        <v>73</v>
      </c>
      <c r="AO1242" s="7">
        <v>27103</v>
      </c>
      <c r="AP1242" s="5">
        <v>9.9</v>
      </c>
      <c r="AQ1242" s="5">
        <v>98</v>
      </c>
      <c r="AR1242" s="5">
        <v>47.3</v>
      </c>
      <c r="AS1242" s="5">
        <v>93.5</v>
      </c>
      <c r="AT1242" s="5">
        <v>74</v>
      </c>
      <c r="AU1242" s="5">
        <v>889</v>
      </c>
      <c r="AV1242" s="5">
        <v>39.6</v>
      </c>
      <c r="AW1242" s="5">
        <v>9.83</v>
      </c>
      <c r="AX1242" s="5">
        <v>99</v>
      </c>
      <c r="AY1242" s="5" t="s">
        <v>125</v>
      </c>
      <c r="AZ1242" s="5" t="s">
        <v>75</v>
      </c>
      <c r="BA1242" s="5" t="s">
        <v>2309</v>
      </c>
      <c r="BB1242" s="12" t="s">
        <v>76</v>
      </c>
      <c r="BC1242" s="5">
        <v>5.09</v>
      </c>
      <c r="BD1242" s="5">
        <v>98</v>
      </c>
      <c r="BE1242" s="5" t="s">
        <v>76</v>
      </c>
      <c r="BF1242" s="5" t="s">
        <v>76</v>
      </c>
      <c r="BG1242" s="15">
        <v>36.2</v>
      </c>
      <c r="BH1242" s="5" t="s">
        <v>76</v>
      </c>
      <c r="BI1242" s="5">
        <v>133</v>
      </c>
      <c r="BJ1242" s="5">
        <v>24</v>
      </c>
      <c r="BK1242" s="5">
        <v>95</v>
      </c>
      <c r="BL1242" s="5">
        <v>63</v>
      </c>
      <c r="BM1242" s="5" t="s">
        <v>77</v>
      </c>
      <c r="BN1242" s="5" t="s">
        <v>77</v>
      </c>
      <c r="BO1242" s="5" t="e">
        <f t="shared" si="19"/>
        <v>#VALUE!</v>
      </c>
      <c r="BP1242" s="5" t="s">
        <v>113</v>
      </c>
      <c r="BQ1242" s="5">
        <v>5.3</v>
      </c>
      <c r="BR1242" s="5" t="s">
        <v>118</v>
      </c>
    </row>
    <row r="1243" s="1" customFormat="1" spans="1:70">
      <c r="A1243" s="1">
        <v>3241395</v>
      </c>
      <c r="B1243" s="1" t="s">
        <v>2839</v>
      </c>
      <c r="C1243" s="1">
        <v>1</v>
      </c>
      <c r="D1243" s="4">
        <v>44886</v>
      </c>
      <c r="E1243" s="4">
        <v>44890</v>
      </c>
      <c r="F1243" s="7">
        <v>27122</v>
      </c>
      <c r="G1243" s="1">
        <v>45</v>
      </c>
      <c r="H1243" s="1">
        <v>13</v>
      </c>
      <c r="I1243" s="1">
        <v>50</v>
      </c>
      <c r="J1243" s="1">
        <v>12</v>
      </c>
      <c r="K1243" s="1">
        <v>45</v>
      </c>
      <c r="L1243" s="1">
        <v>23</v>
      </c>
      <c r="M1243" s="1">
        <v>0.67</v>
      </c>
      <c r="N1243" s="1">
        <v>11.9</v>
      </c>
      <c r="O1243" s="7">
        <v>27122</v>
      </c>
      <c r="P1243" s="4">
        <v>44886</v>
      </c>
      <c r="Q1243" s="4">
        <v>44890</v>
      </c>
      <c r="R1243" s="1" t="s">
        <v>80</v>
      </c>
      <c r="AO1243" s="7">
        <v>27122</v>
      </c>
      <c r="AP1243" s="5">
        <v>3.6</v>
      </c>
      <c r="AQ1243" s="5">
        <v>83</v>
      </c>
      <c r="AR1243" s="5">
        <v>27.5</v>
      </c>
      <c r="AS1243" s="5" t="s">
        <v>76</v>
      </c>
      <c r="AT1243" s="5">
        <v>19</v>
      </c>
      <c r="AU1243" s="5">
        <v>8</v>
      </c>
      <c r="AV1243" s="5">
        <v>29</v>
      </c>
      <c r="AW1243" s="5">
        <v>19.76</v>
      </c>
      <c r="AX1243" s="5">
        <v>335</v>
      </c>
      <c r="AY1243" s="5">
        <v>18.22</v>
      </c>
      <c r="AZ1243" s="5">
        <v>4.6</v>
      </c>
      <c r="BA1243" s="5">
        <v>3.94</v>
      </c>
      <c r="BB1243" s="12" t="s">
        <v>76</v>
      </c>
      <c r="BC1243" s="5">
        <v>5.29</v>
      </c>
      <c r="BD1243" s="5">
        <v>83</v>
      </c>
      <c r="BE1243" s="5" t="s">
        <v>76</v>
      </c>
      <c r="BF1243" s="5" t="s">
        <v>76</v>
      </c>
      <c r="BG1243" s="15">
        <v>36.7</v>
      </c>
      <c r="BH1243" s="5">
        <v>89</v>
      </c>
      <c r="BI1243" s="5" t="s">
        <v>76</v>
      </c>
      <c r="BJ1243" s="5">
        <v>20</v>
      </c>
      <c r="BK1243" s="5">
        <v>176</v>
      </c>
      <c r="BL1243" s="5">
        <v>120</v>
      </c>
      <c r="BM1243" s="5">
        <v>68</v>
      </c>
      <c r="BN1243" s="5">
        <v>170</v>
      </c>
      <c r="BO1243" s="5">
        <f t="shared" si="19"/>
        <v>23.5294117647059</v>
      </c>
      <c r="BP1243" s="5" t="s">
        <v>415</v>
      </c>
      <c r="BQ1243" s="5" t="s">
        <v>76</v>
      </c>
      <c r="BR1243" s="5" t="s">
        <v>118</v>
      </c>
    </row>
    <row r="1244" s="1" customFormat="1" spans="1:70">
      <c r="A1244" s="1">
        <v>3269037</v>
      </c>
      <c r="B1244" s="1" t="s">
        <v>2840</v>
      </c>
      <c r="D1244" s="4">
        <v>44946</v>
      </c>
      <c r="E1244" s="4">
        <v>44957</v>
      </c>
      <c r="F1244" s="7">
        <v>27132</v>
      </c>
      <c r="G1244" s="1">
        <v>28</v>
      </c>
      <c r="H1244" s="1">
        <v>9</v>
      </c>
      <c r="I1244" s="1">
        <v>45</v>
      </c>
      <c r="J1244" s="1">
        <v>9</v>
      </c>
      <c r="K1244" s="1">
        <v>59</v>
      </c>
      <c r="L1244" s="1">
        <v>31</v>
      </c>
      <c r="M1244" s="1">
        <v>0.6</v>
      </c>
      <c r="O1244" s="7">
        <v>27132</v>
      </c>
      <c r="P1244" s="4">
        <v>44946</v>
      </c>
      <c r="Q1244" s="4">
        <v>44957</v>
      </c>
      <c r="R1244" s="1" t="s">
        <v>73</v>
      </c>
      <c r="AO1244" s="7">
        <v>27132</v>
      </c>
      <c r="AP1244" s="5">
        <v>9.5</v>
      </c>
      <c r="AQ1244" s="5">
        <v>84</v>
      </c>
      <c r="AR1244" s="5">
        <v>31.3</v>
      </c>
      <c r="AS1244" s="5">
        <v>265.1</v>
      </c>
      <c r="AT1244" s="5">
        <v>71</v>
      </c>
      <c r="AU1244" s="5">
        <v>51</v>
      </c>
      <c r="AV1244" s="5">
        <v>8.8</v>
      </c>
      <c r="AW1244" s="5">
        <v>24.82</v>
      </c>
      <c r="AX1244" s="5">
        <v>99</v>
      </c>
      <c r="AY1244" s="5">
        <v>62.42</v>
      </c>
      <c r="AZ1244" s="5" t="s">
        <v>2841</v>
      </c>
      <c r="BA1244" s="5" t="s">
        <v>2309</v>
      </c>
      <c r="BB1244" s="12" t="s">
        <v>76</v>
      </c>
      <c r="BC1244" s="5">
        <v>4.35</v>
      </c>
      <c r="BD1244" s="5">
        <v>84</v>
      </c>
      <c r="BE1244" s="5">
        <v>0.26</v>
      </c>
      <c r="BF1244" s="5">
        <v>1.15</v>
      </c>
      <c r="BG1244" s="15">
        <v>37</v>
      </c>
      <c r="BH1244" s="5" t="s">
        <v>76</v>
      </c>
      <c r="BI1244" s="5">
        <v>98</v>
      </c>
      <c r="BJ1244" s="5">
        <v>22</v>
      </c>
      <c r="BK1244" s="5">
        <v>101</v>
      </c>
      <c r="BL1244" s="5">
        <v>60</v>
      </c>
      <c r="BM1244" s="5" t="s">
        <v>77</v>
      </c>
      <c r="BN1244" s="5" t="s">
        <v>77</v>
      </c>
      <c r="BO1244" s="5" t="e">
        <f t="shared" si="19"/>
        <v>#VALUE!</v>
      </c>
      <c r="BP1244" s="5" t="s">
        <v>117</v>
      </c>
      <c r="BQ1244" s="5">
        <v>8.8</v>
      </c>
      <c r="BR1244" s="5">
        <v>8473.54</v>
      </c>
    </row>
    <row r="1245" s="1" customFormat="1" spans="1:70">
      <c r="A1245" s="1">
        <v>3268096</v>
      </c>
      <c r="B1245" s="1" t="s">
        <v>2842</v>
      </c>
      <c r="D1245" s="4">
        <v>44943</v>
      </c>
      <c r="E1245" s="4">
        <v>44945</v>
      </c>
      <c r="F1245" s="7">
        <v>27169</v>
      </c>
      <c r="G1245" s="1">
        <v>49</v>
      </c>
      <c r="H1245" s="1">
        <v>12</v>
      </c>
      <c r="I1245" s="1">
        <v>65</v>
      </c>
      <c r="J1245" s="1">
        <v>11</v>
      </c>
      <c r="K1245" s="1">
        <v>51</v>
      </c>
      <c r="L1245" s="1">
        <v>26</v>
      </c>
      <c r="M1245" s="1">
        <v>0.49</v>
      </c>
      <c r="N1245" s="1">
        <v>12.9</v>
      </c>
      <c r="O1245" s="7">
        <v>27169</v>
      </c>
      <c r="P1245" s="4">
        <v>44943</v>
      </c>
      <c r="Q1245" s="4">
        <v>44945</v>
      </c>
      <c r="R1245" s="1" t="s">
        <v>80</v>
      </c>
      <c r="AO1245" s="7">
        <v>27169</v>
      </c>
      <c r="AP1245" s="5">
        <v>4.8</v>
      </c>
      <c r="AQ1245" s="5">
        <v>123</v>
      </c>
      <c r="AR1245" s="5">
        <v>35.8</v>
      </c>
      <c r="AS1245" s="5" t="s">
        <v>76</v>
      </c>
      <c r="AT1245" s="5">
        <v>19</v>
      </c>
      <c r="AU1245" s="5">
        <v>19</v>
      </c>
      <c r="AV1245" s="5">
        <v>38</v>
      </c>
      <c r="AW1245" s="5">
        <v>21.32</v>
      </c>
      <c r="AX1245" s="5">
        <v>688</v>
      </c>
      <c r="AY1245" s="5" t="s">
        <v>76</v>
      </c>
      <c r="AZ1245" s="5" t="s">
        <v>76</v>
      </c>
      <c r="BA1245" s="5">
        <v>6.18</v>
      </c>
      <c r="BB1245" s="12" t="s">
        <v>76</v>
      </c>
      <c r="BC1245" s="5" t="s">
        <v>76</v>
      </c>
      <c r="BD1245" s="5">
        <v>123</v>
      </c>
      <c r="BE1245" s="5" t="s">
        <v>76</v>
      </c>
      <c r="BF1245" s="5" t="s">
        <v>76</v>
      </c>
      <c r="BG1245" s="15">
        <v>36.7</v>
      </c>
      <c r="BH1245" s="5">
        <v>100</v>
      </c>
      <c r="BI1245" s="5" t="s">
        <v>76</v>
      </c>
      <c r="BJ1245" s="5">
        <v>20</v>
      </c>
      <c r="BK1245" s="5">
        <v>174</v>
      </c>
      <c r="BL1245" s="5">
        <v>91</v>
      </c>
      <c r="BM1245" s="5">
        <v>85.5</v>
      </c>
      <c r="BN1245" s="5">
        <v>170</v>
      </c>
      <c r="BO1245" s="5">
        <f t="shared" si="19"/>
        <v>29.5847750865052</v>
      </c>
      <c r="BP1245" s="5" t="s">
        <v>415</v>
      </c>
      <c r="BQ1245" s="5" t="s">
        <v>76</v>
      </c>
      <c r="BR1245" s="5">
        <v>1545</v>
      </c>
    </row>
    <row r="1246" s="1" customFormat="1" spans="1:70">
      <c r="A1246" s="1">
        <v>3319615</v>
      </c>
      <c r="B1246" s="1" t="s">
        <v>2843</v>
      </c>
      <c r="D1246" s="4">
        <v>45017</v>
      </c>
      <c r="E1246" s="4">
        <v>45023</v>
      </c>
      <c r="F1246" s="7">
        <v>27220</v>
      </c>
      <c r="G1246" s="1">
        <v>33</v>
      </c>
      <c r="H1246" s="1">
        <v>9</v>
      </c>
      <c r="I1246" s="1">
        <v>50</v>
      </c>
      <c r="J1246" s="1">
        <v>9</v>
      </c>
      <c r="K1246" s="1">
        <v>42</v>
      </c>
      <c r="L1246" s="1">
        <v>21</v>
      </c>
      <c r="M1246" s="1">
        <v>0.82</v>
      </c>
      <c r="O1246" s="7">
        <v>27220</v>
      </c>
      <c r="P1246" s="4">
        <v>45017</v>
      </c>
      <c r="Q1246" s="4">
        <v>45023</v>
      </c>
      <c r="R1246" s="1" t="s">
        <v>80</v>
      </c>
      <c r="AO1246" s="7">
        <v>27220</v>
      </c>
      <c r="AP1246" s="5">
        <v>25.6</v>
      </c>
      <c r="AQ1246" s="5">
        <v>142</v>
      </c>
      <c r="AR1246" s="5">
        <v>51.5</v>
      </c>
      <c r="AS1246" s="5">
        <v>95.4</v>
      </c>
      <c r="AT1246" s="5">
        <v>64</v>
      </c>
      <c r="AU1246" s="5">
        <v>68</v>
      </c>
      <c r="AV1246" s="5">
        <v>32.3</v>
      </c>
      <c r="AW1246" s="5">
        <v>9.07</v>
      </c>
      <c r="AX1246" s="5">
        <v>54</v>
      </c>
      <c r="AY1246" s="5" t="s">
        <v>125</v>
      </c>
      <c r="AZ1246" s="5">
        <v>9.8</v>
      </c>
      <c r="BA1246" s="5" t="s">
        <v>76</v>
      </c>
      <c r="BB1246" s="12" t="s">
        <v>76</v>
      </c>
      <c r="BC1246" s="5">
        <v>4.16</v>
      </c>
      <c r="BD1246" s="5">
        <v>142</v>
      </c>
      <c r="BE1246" s="5" t="s">
        <v>76</v>
      </c>
      <c r="BF1246" s="5" t="s">
        <v>76</v>
      </c>
      <c r="BG1246" s="15">
        <v>37.3</v>
      </c>
      <c r="BH1246" s="5">
        <v>130</v>
      </c>
      <c r="BI1246" s="5">
        <v>130</v>
      </c>
      <c r="BJ1246" s="5">
        <v>34</v>
      </c>
      <c r="BK1246" s="5">
        <v>145</v>
      </c>
      <c r="BL1246" s="5">
        <v>83</v>
      </c>
      <c r="BM1246" s="5" t="s">
        <v>77</v>
      </c>
      <c r="BN1246" s="5" t="s">
        <v>77</v>
      </c>
      <c r="BO1246" s="5" t="e">
        <f t="shared" si="19"/>
        <v>#VALUE!</v>
      </c>
      <c r="BP1246" s="5" t="s">
        <v>117</v>
      </c>
      <c r="BQ1246" s="5">
        <v>11.6</v>
      </c>
      <c r="BR1246" s="5">
        <v>4980</v>
      </c>
    </row>
    <row r="1247" s="1" customFormat="1" spans="1:70">
      <c r="A1247" s="1">
        <v>3299731</v>
      </c>
      <c r="B1247" s="1" t="s">
        <v>2844</v>
      </c>
      <c r="D1247" s="4">
        <v>44991</v>
      </c>
      <c r="E1247" s="4">
        <v>44998</v>
      </c>
      <c r="F1247" s="7">
        <v>27244</v>
      </c>
      <c r="G1247" s="1">
        <v>45</v>
      </c>
      <c r="H1247" s="1">
        <v>10</v>
      </c>
      <c r="I1247" s="1">
        <v>45</v>
      </c>
      <c r="J1247" s="1">
        <v>10</v>
      </c>
      <c r="K1247" s="1">
        <v>61</v>
      </c>
      <c r="L1247" s="1">
        <v>32</v>
      </c>
      <c r="N1247" s="1">
        <v>8.3</v>
      </c>
      <c r="O1247" s="7">
        <v>27244</v>
      </c>
      <c r="P1247" s="4">
        <v>44991</v>
      </c>
      <c r="Q1247" s="4">
        <v>44998</v>
      </c>
      <c r="R1247" s="1" t="s">
        <v>80</v>
      </c>
      <c r="AO1247" s="7">
        <v>27244</v>
      </c>
      <c r="AP1247" s="5">
        <v>7.9</v>
      </c>
      <c r="AQ1247" s="5">
        <v>171</v>
      </c>
      <c r="AR1247" s="5">
        <v>54.9</v>
      </c>
      <c r="AS1247" s="5">
        <v>0.2</v>
      </c>
      <c r="AT1247" s="5">
        <v>19</v>
      </c>
      <c r="AU1247" s="5">
        <v>7</v>
      </c>
      <c r="AV1247" s="5">
        <v>47.1</v>
      </c>
      <c r="AW1247" s="5">
        <v>8.04</v>
      </c>
      <c r="AX1247" s="5">
        <v>70</v>
      </c>
      <c r="AY1247" s="5">
        <v>110.98</v>
      </c>
      <c r="AZ1247" s="5" t="s">
        <v>75</v>
      </c>
      <c r="BA1247" s="5">
        <v>4.25</v>
      </c>
      <c r="BB1247" s="12" t="s">
        <v>76</v>
      </c>
      <c r="BC1247" s="5">
        <v>4.32</v>
      </c>
      <c r="BD1247" s="5">
        <v>171</v>
      </c>
      <c r="BE1247" s="5">
        <v>1.14</v>
      </c>
      <c r="BF1247" s="5">
        <v>2.53</v>
      </c>
      <c r="BG1247" s="15">
        <v>36.3</v>
      </c>
      <c r="BH1247" s="5">
        <v>66</v>
      </c>
      <c r="BI1247" s="5">
        <v>76</v>
      </c>
      <c r="BJ1247" s="5">
        <v>18</v>
      </c>
      <c r="BK1247" s="5">
        <v>133</v>
      </c>
      <c r="BL1247" s="5">
        <v>74</v>
      </c>
      <c r="BM1247" s="5">
        <v>80</v>
      </c>
      <c r="BN1247" s="5">
        <v>176</v>
      </c>
      <c r="BO1247" s="5">
        <f t="shared" si="19"/>
        <v>25.8264462809917</v>
      </c>
      <c r="BP1247" s="5" t="s">
        <v>78</v>
      </c>
      <c r="BQ1247" s="5">
        <v>5.5</v>
      </c>
      <c r="BR1247" s="5">
        <v>1081</v>
      </c>
    </row>
    <row r="1248" s="1" customFormat="1" spans="1:70">
      <c r="A1248" s="1">
        <v>3251598</v>
      </c>
      <c r="B1248" s="1" t="s">
        <v>2845</v>
      </c>
      <c r="D1248" s="4">
        <v>44904</v>
      </c>
      <c r="E1248" s="4">
        <v>44911</v>
      </c>
      <c r="F1248" s="7">
        <v>27261</v>
      </c>
      <c r="G1248" s="1">
        <v>33</v>
      </c>
      <c r="H1248" s="1">
        <v>9</v>
      </c>
      <c r="I1248" s="1">
        <v>48</v>
      </c>
      <c r="J1248" s="1">
        <v>9</v>
      </c>
      <c r="K1248" s="1">
        <v>53</v>
      </c>
      <c r="L1248" s="1">
        <v>27</v>
      </c>
      <c r="M1248" s="1">
        <v>0.71</v>
      </c>
      <c r="N1248" s="1">
        <v>6.2</v>
      </c>
      <c r="O1248" s="7">
        <v>27261</v>
      </c>
      <c r="P1248" s="4">
        <v>44904</v>
      </c>
      <c r="Q1248" s="4">
        <v>44911</v>
      </c>
      <c r="R1248" s="1" t="s">
        <v>80</v>
      </c>
      <c r="AO1248" s="7">
        <v>27261</v>
      </c>
      <c r="AP1248" s="5">
        <v>9</v>
      </c>
      <c r="AQ1248" s="5">
        <v>160</v>
      </c>
      <c r="AR1248" s="5">
        <v>48.4</v>
      </c>
      <c r="AS1248" s="5">
        <v>12.2</v>
      </c>
      <c r="AT1248" s="5">
        <v>66</v>
      </c>
      <c r="AU1248" s="5">
        <v>63</v>
      </c>
      <c r="AV1248" s="5">
        <v>42.2</v>
      </c>
      <c r="AW1248" s="5">
        <v>3.65</v>
      </c>
      <c r="AX1248" s="5">
        <v>70</v>
      </c>
      <c r="AY1248" s="5" t="s">
        <v>125</v>
      </c>
      <c r="AZ1248" s="5" t="s">
        <v>75</v>
      </c>
      <c r="BA1248" s="5">
        <v>5.92</v>
      </c>
      <c r="BB1248" s="12" t="s">
        <v>76</v>
      </c>
      <c r="BC1248" s="5">
        <v>4.37</v>
      </c>
      <c r="BD1248" s="5">
        <v>160</v>
      </c>
      <c r="BE1248" s="5">
        <v>0.9</v>
      </c>
      <c r="BF1248" s="5">
        <v>3.84</v>
      </c>
      <c r="BG1248" s="15">
        <v>36.6</v>
      </c>
      <c r="BH1248" s="5">
        <v>84</v>
      </c>
      <c r="BI1248" s="5" t="s">
        <v>76</v>
      </c>
      <c r="BJ1248" s="5">
        <v>17</v>
      </c>
      <c r="BK1248" s="5">
        <v>120</v>
      </c>
      <c r="BL1248" s="5">
        <v>90</v>
      </c>
      <c r="BM1248" s="5" t="s">
        <v>77</v>
      </c>
      <c r="BN1248" s="5" t="s">
        <v>77</v>
      </c>
      <c r="BO1248" s="5" t="e">
        <f t="shared" si="19"/>
        <v>#VALUE!</v>
      </c>
      <c r="BP1248" s="5" t="s">
        <v>78</v>
      </c>
      <c r="BQ1248" s="5">
        <v>5.6</v>
      </c>
      <c r="BR1248" s="5">
        <v>747</v>
      </c>
    </row>
    <row r="1249" s="1" customFormat="1" spans="1:70">
      <c r="A1249" s="1">
        <v>3297243</v>
      </c>
      <c r="B1249" s="1" t="s">
        <v>2846</v>
      </c>
      <c r="D1249" s="4">
        <v>44986</v>
      </c>
      <c r="E1249" s="4">
        <v>45027</v>
      </c>
      <c r="F1249" s="7">
        <v>27276</v>
      </c>
      <c r="G1249" s="1">
        <v>31</v>
      </c>
      <c r="H1249" s="1">
        <v>8</v>
      </c>
      <c r="I1249" s="1">
        <v>42</v>
      </c>
      <c r="J1249" s="1">
        <v>8</v>
      </c>
      <c r="K1249" s="1">
        <v>69</v>
      </c>
      <c r="L1249" s="1">
        <v>39</v>
      </c>
      <c r="M1249" s="1">
        <v>0.85</v>
      </c>
      <c r="N1249" s="1">
        <v>7.9</v>
      </c>
      <c r="O1249" s="7">
        <v>27276</v>
      </c>
      <c r="P1249" s="4">
        <v>44986</v>
      </c>
      <c r="Q1249" s="4">
        <v>45027</v>
      </c>
      <c r="R1249" s="1" t="s">
        <v>73</v>
      </c>
      <c r="AO1249" s="7">
        <v>27276</v>
      </c>
      <c r="AP1249" s="5">
        <v>9.9</v>
      </c>
      <c r="AQ1249" s="5">
        <v>99</v>
      </c>
      <c r="AR1249" s="5">
        <v>37.8</v>
      </c>
      <c r="AS1249" s="5" t="s">
        <v>881</v>
      </c>
      <c r="AT1249" s="5">
        <v>68</v>
      </c>
      <c r="AU1249" s="5">
        <v>58</v>
      </c>
      <c r="AV1249" s="5">
        <v>35.2</v>
      </c>
      <c r="AW1249" s="5">
        <v>9.64</v>
      </c>
      <c r="AX1249" s="5" t="s">
        <v>1455</v>
      </c>
      <c r="AY1249" s="5" t="s">
        <v>125</v>
      </c>
      <c r="AZ1249" s="5">
        <v>9.95</v>
      </c>
      <c r="BA1249" s="5">
        <v>7.86</v>
      </c>
      <c r="BB1249" s="12" t="s">
        <v>76</v>
      </c>
      <c r="BC1249" s="5">
        <v>5.48</v>
      </c>
      <c r="BD1249" s="5">
        <v>99</v>
      </c>
      <c r="BE1249" s="5">
        <v>1.84</v>
      </c>
      <c r="BF1249" s="5">
        <v>5.87</v>
      </c>
      <c r="BG1249" s="15">
        <v>36.6</v>
      </c>
      <c r="BH1249" s="5">
        <v>100</v>
      </c>
      <c r="BI1249" s="5">
        <v>100</v>
      </c>
      <c r="BJ1249" s="5">
        <v>18</v>
      </c>
      <c r="BK1249" s="5">
        <v>143</v>
      </c>
      <c r="BL1249" s="5">
        <v>86</v>
      </c>
      <c r="BM1249" s="5" t="s">
        <v>173</v>
      </c>
      <c r="BN1249" s="5" t="s">
        <v>173</v>
      </c>
      <c r="BO1249" s="5" t="e">
        <f t="shared" si="19"/>
        <v>#VALUE!</v>
      </c>
      <c r="BP1249" s="5" t="s">
        <v>369</v>
      </c>
      <c r="BQ1249" s="5" t="s">
        <v>76</v>
      </c>
      <c r="BR1249" s="5">
        <v>605</v>
      </c>
    </row>
    <row r="1250" s="1" customFormat="1" spans="1:70">
      <c r="A1250" s="1">
        <v>3273342</v>
      </c>
      <c r="B1250" s="1" t="s">
        <v>2847</v>
      </c>
      <c r="D1250" s="4">
        <v>44955</v>
      </c>
      <c r="E1250" s="4">
        <v>44972</v>
      </c>
      <c r="F1250" s="7">
        <v>27288</v>
      </c>
      <c r="G1250" s="1">
        <v>46</v>
      </c>
      <c r="H1250" s="1">
        <v>8</v>
      </c>
      <c r="I1250" s="1">
        <v>48</v>
      </c>
      <c r="J1250" s="1">
        <v>8</v>
      </c>
      <c r="K1250" s="1">
        <v>62</v>
      </c>
      <c r="L1250" s="1">
        <v>33</v>
      </c>
      <c r="O1250" s="7">
        <v>27288</v>
      </c>
      <c r="P1250" s="4">
        <v>44955</v>
      </c>
      <c r="Q1250" s="4">
        <v>44972</v>
      </c>
      <c r="R1250" s="1" t="s">
        <v>73</v>
      </c>
      <c r="AO1250" s="7">
        <v>27288</v>
      </c>
      <c r="AP1250" s="5">
        <v>8.4</v>
      </c>
      <c r="AQ1250" s="5">
        <v>91</v>
      </c>
      <c r="AR1250" s="5">
        <v>40.4</v>
      </c>
      <c r="AS1250" s="5">
        <v>79.4</v>
      </c>
      <c r="AT1250" s="5">
        <v>98</v>
      </c>
      <c r="AU1250" s="5">
        <v>60</v>
      </c>
      <c r="AV1250" s="5">
        <v>42.2</v>
      </c>
      <c r="AW1250" s="5">
        <v>8.04</v>
      </c>
      <c r="AX1250" s="5">
        <v>59</v>
      </c>
      <c r="AY1250" s="5" t="s">
        <v>125</v>
      </c>
      <c r="AZ1250" s="5" t="s">
        <v>75</v>
      </c>
      <c r="BA1250" s="5">
        <v>2.67</v>
      </c>
      <c r="BB1250" s="12" t="s">
        <v>76</v>
      </c>
      <c r="BC1250" s="5">
        <v>4.64</v>
      </c>
      <c r="BD1250" s="5">
        <v>91</v>
      </c>
      <c r="BE1250" s="5" t="s">
        <v>76</v>
      </c>
      <c r="BF1250" s="5" t="s">
        <v>76</v>
      </c>
      <c r="BG1250" s="15">
        <v>36.5</v>
      </c>
      <c r="BH1250" s="5">
        <v>93</v>
      </c>
      <c r="BI1250" s="5">
        <v>93</v>
      </c>
      <c r="BJ1250" s="5">
        <v>18</v>
      </c>
      <c r="BK1250" s="5">
        <v>100</v>
      </c>
      <c r="BL1250" s="5">
        <v>70</v>
      </c>
      <c r="BM1250" s="5">
        <v>60</v>
      </c>
      <c r="BN1250" s="5">
        <v>160</v>
      </c>
      <c r="BO1250" s="5">
        <f t="shared" si="19"/>
        <v>23.4375</v>
      </c>
      <c r="BP1250" s="5" t="s">
        <v>1450</v>
      </c>
      <c r="BQ1250" s="5" t="s">
        <v>76</v>
      </c>
      <c r="BR1250" s="5">
        <v>5764</v>
      </c>
    </row>
    <row r="1251" s="1" customFormat="1" spans="1:70">
      <c r="A1251" s="1">
        <v>3323333</v>
      </c>
      <c r="B1251" s="1" t="s">
        <v>2848</v>
      </c>
      <c r="D1251" s="4">
        <v>45022</v>
      </c>
      <c r="E1251" s="4">
        <v>45027</v>
      </c>
      <c r="F1251" s="7">
        <v>27304</v>
      </c>
      <c r="G1251" s="1">
        <v>45</v>
      </c>
      <c r="H1251" s="1">
        <v>11</v>
      </c>
      <c r="I1251" s="1">
        <v>55</v>
      </c>
      <c r="J1251" s="1">
        <v>11</v>
      </c>
      <c r="K1251" s="1">
        <v>56</v>
      </c>
      <c r="L1251" s="1">
        <v>29</v>
      </c>
      <c r="M1251" s="1">
        <v>0.68</v>
      </c>
      <c r="N1251" s="1">
        <v>12.8</v>
      </c>
      <c r="O1251" s="7">
        <v>27304</v>
      </c>
      <c r="P1251" s="4">
        <v>45022</v>
      </c>
      <c r="Q1251" s="4">
        <v>45027</v>
      </c>
      <c r="R1251" s="1" t="s">
        <v>80</v>
      </c>
      <c r="AO1251" s="7">
        <v>27304</v>
      </c>
      <c r="AP1251" s="5">
        <v>16.1</v>
      </c>
      <c r="AQ1251" s="5">
        <v>157</v>
      </c>
      <c r="AR1251" s="5">
        <v>47.7</v>
      </c>
      <c r="AS1251" s="5">
        <v>9.1</v>
      </c>
      <c r="AT1251" s="5">
        <v>49</v>
      </c>
      <c r="AU1251" s="5">
        <v>36</v>
      </c>
      <c r="AV1251" s="5">
        <v>44.2</v>
      </c>
      <c r="AW1251" s="5">
        <v>6.02</v>
      </c>
      <c r="AX1251" s="5">
        <v>62</v>
      </c>
      <c r="AY1251" s="5" t="s">
        <v>125</v>
      </c>
      <c r="AZ1251" s="5">
        <v>5.34</v>
      </c>
      <c r="BA1251" s="5">
        <v>5.07</v>
      </c>
      <c r="BB1251" s="12" t="s">
        <v>76</v>
      </c>
      <c r="BC1251" s="5">
        <v>4.11</v>
      </c>
      <c r="BD1251" s="5">
        <v>157</v>
      </c>
      <c r="BE1251" s="5">
        <v>0.61</v>
      </c>
      <c r="BF1251" s="5">
        <v>3.11</v>
      </c>
      <c r="BG1251" s="15">
        <v>36.5</v>
      </c>
      <c r="BH1251" s="5">
        <v>82</v>
      </c>
      <c r="BI1251" s="5">
        <v>82</v>
      </c>
      <c r="BJ1251" s="5">
        <v>19</v>
      </c>
      <c r="BK1251" s="5">
        <v>174</v>
      </c>
      <c r="BL1251" s="5">
        <v>125</v>
      </c>
      <c r="BM1251" s="5">
        <v>88</v>
      </c>
      <c r="BN1251" s="5">
        <v>175</v>
      </c>
      <c r="BO1251" s="5">
        <f t="shared" si="19"/>
        <v>28.734693877551</v>
      </c>
      <c r="BP1251" s="5" t="s">
        <v>323</v>
      </c>
      <c r="BQ1251" s="5">
        <v>5.9</v>
      </c>
      <c r="BR1251" s="5">
        <v>842</v>
      </c>
    </row>
    <row r="1252" s="1" customFormat="1" spans="1:70">
      <c r="A1252" s="1">
        <v>3254344</v>
      </c>
      <c r="B1252" s="1" t="s">
        <v>2849</v>
      </c>
      <c r="D1252" s="4">
        <v>44912</v>
      </c>
      <c r="E1252" s="4">
        <v>44926</v>
      </c>
      <c r="F1252" s="7">
        <v>27348</v>
      </c>
      <c r="G1252" s="1">
        <v>37</v>
      </c>
      <c r="H1252" s="1">
        <v>8</v>
      </c>
      <c r="I1252" s="1">
        <v>48</v>
      </c>
      <c r="J1252" s="1">
        <v>8</v>
      </c>
      <c r="K1252" s="1">
        <v>70</v>
      </c>
      <c r="L1252" s="1">
        <v>40</v>
      </c>
      <c r="M1252" s="1">
        <v>0.88</v>
      </c>
      <c r="O1252" s="7">
        <v>27348</v>
      </c>
      <c r="P1252" s="4">
        <v>44912</v>
      </c>
      <c r="Q1252" s="4">
        <v>44926</v>
      </c>
      <c r="R1252" s="1" t="s">
        <v>80</v>
      </c>
      <c r="AO1252" s="7">
        <v>27348</v>
      </c>
      <c r="AP1252" s="5">
        <v>9.5</v>
      </c>
      <c r="AQ1252" s="5">
        <v>98</v>
      </c>
      <c r="AR1252" s="5" t="s">
        <v>2850</v>
      </c>
      <c r="AS1252" s="5">
        <v>9.6</v>
      </c>
      <c r="AT1252" s="5">
        <v>854</v>
      </c>
      <c r="AU1252" s="5">
        <v>939</v>
      </c>
      <c r="AV1252" s="5">
        <v>30.6</v>
      </c>
      <c r="AW1252" s="5">
        <v>8.37</v>
      </c>
      <c r="AX1252" s="5">
        <v>92</v>
      </c>
      <c r="AY1252" s="5" t="s">
        <v>125</v>
      </c>
      <c r="AZ1252" s="5" t="s">
        <v>2851</v>
      </c>
      <c r="BA1252" s="5">
        <v>2.7</v>
      </c>
      <c r="BB1252" s="12" t="s">
        <v>76</v>
      </c>
      <c r="BC1252" s="5">
        <v>4.04</v>
      </c>
      <c r="BD1252" s="5">
        <v>98</v>
      </c>
      <c r="BE1252" s="5" t="s">
        <v>76</v>
      </c>
      <c r="BF1252" s="5" t="s">
        <v>76</v>
      </c>
      <c r="BG1252" s="15">
        <v>36.5</v>
      </c>
      <c r="BH1252" s="5" t="s">
        <v>76</v>
      </c>
      <c r="BI1252" s="5">
        <v>75</v>
      </c>
      <c r="BJ1252" s="5">
        <v>21</v>
      </c>
      <c r="BK1252" s="5">
        <v>152</v>
      </c>
      <c r="BL1252" s="5">
        <v>94</v>
      </c>
      <c r="BM1252" s="5" t="s">
        <v>77</v>
      </c>
      <c r="BN1252" s="5" t="s">
        <v>77</v>
      </c>
      <c r="BO1252" s="5" t="e">
        <f t="shared" si="19"/>
        <v>#VALUE!</v>
      </c>
      <c r="BP1252" s="5" t="s">
        <v>117</v>
      </c>
      <c r="BQ1252" s="5" t="s">
        <v>76</v>
      </c>
      <c r="BR1252" s="5">
        <v>6820.93</v>
      </c>
    </row>
    <row r="1253" s="1" customFormat="1" spans="1:70">
      <c r="A1253" s="1">
        <v>3286208</v>
      </c>
      <c r="B1253" s="1" t="s">
        <v>2852</v>
      </c>
      <c r="D1253" s="4">
        <v>44971</v>
      </c>
      <c r="E1253" s="4">
        <v>44981</v>
      </c>
      <c r="F1253" s="7">
        <v>27415</v>
      </c>
      <c r="G1253" s="1">
        <v>29</v>
      </c>
      <c r="H1253" s="1">
        <v>8</v>
      </c>
      <c r="I1253" s="1">
        <v>44</v>
      </c>
      <c r="J1253" s="1">
        <v>8</v>
      </c>
      <c r="K1253" s="1">
        <v>69</v>
      </c>
      <c r="L1253" s="1">
        <v>38</v>
      </c>
      <c r="M1253" s="1">
        <v>1.1</v>
      </c>
      <c r="N1253" s="1">
        <v>9.6</v>
      </c>
      <c r="O1253" s="7">
        <v>27415</v>
      </c>
      <c r="P1253" s="4">
        <v>44971</v>
      </c>
      <c r="Q1253" s="4">
        <v>44981</v>
      </c>
      <c r="R1253" s="1" t="s">
        <v>73</v>
      </c>
      <c r="AO1253" s="7">
        <v>27415</v>
      </c>
      <c r="AP1253" s="5">
        <v>9.2</v>
      </c>
      <c r="AQ1253" s="5">
        <v>94</v>
      </c>
      <c r="AR1253" s="5">
        <v>33.2</v>
      </c>
      <c r="AS1253" s="5">
        <v>86</v>
      </c>
      <c r="AT1253" s="5">
        <v>16</v>
      </c>
      <c r="AU1253" s="5">
        <v>6</v>
      </c>
      <c r="AV1253" s="5">
        <v>42.7</v>
      </c>
      <c r="AW1253" s="5">
        <v>6.8</v>
      </c>
      <c r="AX1253" s="5">
        <v>56</v>
      </c>
      <c r="AY1253" s="5" t="s">
        <v>76</v>
      </c>
      <c r="AZ1253" s="5" t="s">
        <v>75</v>
      </c>
      <c r="BA1253" s="5" t="s">
        <v>76</v>
      </c>
      <c r="BB1253" s="12" t="s">
        <v>76</v>
      </c>
      <c r="BC1253" s="5">
        <v>4.36</v>
      </c>
      <c r="BD1253" s="5">
        <v>94</v>
      </c>
      <c r="BE1253" s="5" t="s">
        <v>76</v>
      </c>
      <c r="BF1253" s="5" t="s">
        <v>76</v>
      </c>
      <c r="BG1253" s="15">
        <v>38.1</v>
      </c>
      <c r="BH1253" s="5">
        <v>108</v>
      </c>
      <c r="BI1253" s="5" t="s">
        <v>76</v>
      </c>
      <c r="BJ1253" s="5">
        <v>19</v>
      </c>
      <c r="BK1253" s="5">
        <v>125</v>
      </c>
      <c r="BL1253" s="5">
        <v>72</v>
      </c>
      <c r="BM1253" s="5">
        <v>65</v>
      </c>
      <c r="BN1253" s="5">
        <v>163</v>
      </c>
      <c r="BO1253" s="5">
        <f t="shared" si="19"/>
        <v>24.4646016033724</v>
      </c>
      <c r="BP1253" s="5" t="s">
        <v>149</v>
      </c>
      <c r="BQ1253" s="5" t="s">
        <v>76</v>
      </c>
      <c r="BR1253" s="5">
        <v>749</v>
      </c>
    </row>
    <row r="1254" s="1" customFormat="1" spans="1:70">
      <c r="A1254" s="1">
        <v>3493982</v>
      </c>
      <c r="B1254" s="1" t="s">
        <v>2853</v>
      </c>
      <c r="D1254" s="4">
        <v>45258</v>
      </c>
      <c r="E1254" s="4">
        <v>45266</v>
      </c>
      <c r="F1254" s="7">
        <v>27429</v>
      </c>
      <c r="G1254" s="1">
        <v>62</v>
      </c>
      <c r="H1254" s="1">
        <v>9</v>
      </c>
      <c r="I1254" s="1">
        <v>63</v>
      </c>
      <c r="J1254" s="1">
        <v>9</v>
      </c>
      <c r="K1254" s="1">
        <v>27</v>
      </c>
      <c r="L1254" s="1">
        <v>12</v>
      </c>
      <c r="N1254" s="1">
        <v>13.1</v>
      </c>
      <c r="O1254" s="7">
        <v>27429</v>
      </c>
      <c r="P1254" s="4">
        <v>45258</v>
      </c>
      <c r="Q1254" s="4">
        <v>45266</v>
      </c>
      <c r="R1254" s="1" t="s">
        <v>80</v>
      </c>
      <c r="AO1254" s="7">
        <v>27429</v>
      </c>
      <c r="AP1254" s="5">
        <v>4.9</v>
      </c>
      <c r="AQ1254" s="5">
        <v>127</v>
      </c>
      <c r="AR1254" s="5">
        <v>41.4</v>
      </c>
      <c r="AS1254" s="5">
        <v>2.1</v>
      </c>
      <c r="AT1254" s="5">
        <v>68</v>
      </c>
      <c r="AU1254" s="5">
        <v>57</v>
      </c>
      <c r="AV1254" s="5">
        <v>42.3</v>
      </c>
      <c r="AW1254" s="5">
        <v>8.92</v>
      </c>
      <c r="AX1254" s="5">
        <v>85</v>
      </c>
      <c r="AY1254" s="5">
        <v>97.95</v>
      </c>
      <c r="AZ1254" s="5" t="s">
        <v>75</v>
      </c>
      <c r="BA1254" s="5">
        <v>2.4</v>
      </c>
      <c r="BB1254" s="12" t="s">
        <v>76</v>
      </c>
      <c r="BC1254" s="5">
        <v>5.12</v>
      </c>
      <c r="BD1254" s="5">
        <v>127</v>
      </c>
      <c r="BE1254" s="5">
        <v>0.5</v>
      </c>
      <c r="BF1254" s="5">
        <v>1.81</v>
      </c>
      <c r="BG1254" s="15">
        <v>36.8</v>
      </c>
      <c r="BH1254" s="5">
        <v>88</v>
      </c>
      <c r="BI1254" s="5">
        <v>80</v>
      </c>
      <c r="BJ1254" s="5">
        <v>28</v>
      </c>
      <c r="BK1254" s="5">
        <v>94</v>
      </c>
      <c r="BL1254" s="5">
        <v>75</v>
      </c>
      <c r="BM1254" s="5">
        <v>95</v>
      </c>
      <c r="BN1254" s="5">
        <v>178</v>
      </c>
      <c r="BO1254" s="5">
        <f t="shared" si="19"/>
        <v>29.9835879308168</v>
      </c>
      <c r="BP1254" s="5" t="s">
        <v>78</v>
      </c>
      <c r="BQ1254" s="5">
        <v>6.4</v>
      </c>
      <c r="BR1254" s="5">
        <v>6134</v>
      </c>
    </row>
    <row r="1255" s="1" customFormat="1" spans="1:70">
      <c r="A1255" s="1">
        <v>3304065</v>
      </c>
      <c r="B1255" s="1" t="s">
        <v>2854</v>
      </c>
      <c r="D1255" s="4">
        <v>44996</v>
      </c>
      <c r="E1255" s="4">
        <v>45000</v>
      </c>
      <c r="F1255" s="7">
        <v>27456</v>
      </c>
      <c r="G1255" s="1">
        <v>42</v>
      </c>
      <c r="H1255" s="1">
        <v>10</v>
      </c>
      <c r="I1255" s="1">
        <v>66</v>
      </c>
      <c r="J1255" s="1">
        <v>9</v>
      </c>
      <c r="K1255" s="1">
        <v>38</v>
      </c>
      <c r="L1255" s="1">
        <v>19</v>
      </c>
      <c r="M1255" s="1">
        <v>1.33</v>
      </c>
      <c r="N1255" s="1">
        <v>10.8</v>
      </c>
      <c r="O1255" s="7">
        <v>27456</v>
      </c>
      <c r="P1255" s="4">
        <v>44996</v>
      </c>
      <c r="Q1255" s="4">
        <v>45000</v>
      </c>
      <c r="R1255" s="1" t="s">
        <v>80</v>
      </c>
      <c r="AO1255" s="7">
        <v>27456</v>
      </c>
      <c r="AP1255" s="5">
        <v>7.6</v>
      </c>
      <c r="AQ1255" s="5">
        <v>170</v>
      </c>
      <c r="AR1255" s="5">
        <v>51.6</v>
      </c>
      <c r="AS1255" s="5">
        <v>8.4</v>
      </c>
      <c r="AT1255" s="5">
        <v>90</v>
      </c>
      <c r="AU1255" s="5">
        <v>48</v>
      </c>
      <c r="AV1255" s="5">
        <v>43</v>
      </c>
      <c r="AW1255" s="5">
        <v>4.76</v>
      </c>
      <c r="AX1255" s="5">
        <v>66</v>
      </c>
      <c r="AY1255" s="5" t="s">
        <v>125</v>
      </c>
      <c r="AZ1255" s="5" t="s">
        <v>75</v>
      </c>
      <c r="BA1255" s="5" t="s">
        <v>76</v>
      </c>
      <c r="BB1255" s="12" t="s">
        <v>76</v>
      </c>
      <c r="BC1255" s="5">
        <v>4.73</v>
      </c>
      <c r="BD1255" s="5">
        <v>170</v>
      </c>
      <c r="BE1255" s="5" t="s">
        <v>76</v>
      </c>
      <c r="BF1255" s="5" t="s">
        <v>76</v>
      </c>
      <c r="BG1255" s="15">
        <v>36.5</v>
      </c>
      <c r="BH1255" s="5">
        <v>101</v>
      </c>
      <c r="BI1255" s="5">
        <v>101</v>
      </c>
      <c r="BJ1255" s="5">
        <v>18</v>
      </c>
      <c r="BK1255" s="5">
        <v>109</v>
      </c>
      <c r="BL1255" s="5">
        <v>74</v>
      </c>
      <c r="BM1255" s="5">
        <v>90</v>
      </c>
      <c r="BN1255" s="5">
        <v>170</v>
      </c>
      <c r="BO1255" s="5">
        <f t="shared" si="19"/>
        <v>31.1418685121107</v>
      </c>
      <c r="BP1255" s="5" t="s">
        <v>323</v>
      </c>
      <c r="BQ1255" s="5" t="s">
        <v>76</v>
      </c>
      <c r="BR1255" s="5">
        <v>748</v>
      </c>
    </row>
    <row r="1256" s="1" customFormat="1" spans="1:70">
      <c r="A1256" s="1">
        <v>3293485</v>
      </c>
      <c r="B1256" s="1" t="s">
        <v>2855</v>
      </c>
      <c r="D1256" s="4">
        <v>44981</v>
      </c>
      <c r="E1256" s="4">
        <v>44986</v>
      </c>
      <c r="F1256" s="7">
        <v>27471</v>
      </c>
      <c r="G1256" s="1">
        <v>35</v>
      </c>
      <c r="H1256" s="1">
        <v>10</v>
      </c>
      <c r="I1256" s="1">
        <v>48</v>
      </c>
      <c r="J1256" s="1">
        <v>10</v>
      </c>
      <c r="K1256" s="1">
        <v>63</v>
      </c>
      <c r="L1256" s="1">
        <v>34</v>
      </c>
      <c r="M1256" s="1">
        <v>0.94</v>
      </c>
      <c r="O1256" s="7">
        <v>27471</v>
      </c>
      <c r="P1256" s="4">
        <v>44981</v>
      </c>
      <c r="Q1256" s="4">
        <v>44986</v>
      </c>
      <c r="R1256" s="1" t="s">
        <v>80</v>
      </c>
      <c r="AO1256" s="7">
        <v>27471</v>
      </c>
      <c r="AP1256" s="5">
        <v>9.7</v>
      </c>
      <c r="AQ1256" s="5">
        <v>150</v>
      </c>
      <c r="AR1256" s="5">
        <v>46.6</v>
      </c>
      <c r="AS1256" s="5">
        <v>94.3</v>
      </c>
      <c r="AT1256" s="5">
        <v>85</v>
      </c>
      <c r="AU1256" s="5">
        <v>75</v>
      </c>
      <c r="AV1256" s="5">
        <v>37.8</v>
      </c>
      <c r="AW1256" s="5">
        <v>8.42</v>
      </c>
      <c r="AX1256" s="5">
        <v>51</v>
      </c>
      <c r="AY1256" s="5" t="s">
        <v>125</v>
      </c>
      <c r="AZ1256" s="5" t="s">
        <v>75</v>
      </c>
      <c r="BA1256" s="5" t="s">
        <v>76</v>
      </c>
      <c r="BB1256" s="12" t="s">
        <v>76</v>
      </c>
      <c r="BC1256" s="5">
        <v>4.4</v>
      </c>
      <c r="BD1256" s="5">
        <v>150</v>
      </c>
      <c r="BE1256" s="5" t="s">
        <v>76</v>
      </c>
      <c r="BF1256" s="5" t="s">
        <v>76</v>
      </c>
      <c r="BG1256" s="15">
        <v>37.5</v>
      </c>
      <c r="BH1256" s="5" t="s">
        <v>76</v>
      </c>
      <c r="BI1256" s="5">
        <v>118</v>
      </c>
      <c r="BJ1256" s="5">
        <v>22</v>
      </c>
      <c r="BK1256" s="5">
        <v>120</v>
      </c>
      <c r="BL1256" s="5">
        <v>68</v>
      </c>
      <c r="BM1256" s="5" t="s">
        <v>77</v>
      </c>
      <c r="BN1256" s="5" t="s">
        <v>77</v>
      </c>
      <c r="BO1256" s="5" t="e">
        <f t="shared" si="19"/>
        <v>#VALUE!</v>
      </c>
      <c r="BP1256" s="5" t="s">
        <v>117</v>
      </c>
      <c r="BQ1256" s="5" t="s">
        <v>76</v>
      </c>
      <c r="BR1256" s="5">
        <v>489</v>
      </c>
    </row>
    <row r="1257" s="1" customFormat="1" spans="1:70">
      <c r="A1257" s="1">
        <v>3265489</v>
      </c>
      <c r="B1257" s="1" t="s">
        <v>2856</v>
      </c>
      <c r="D1257" s="4">
        <v>44937</v>
      </c>
      <c r="E1257" s="4">
        <v>44955</v>
      </c>
      <c r="F1257" s="7">
        <v>27546</v>
      </c>
      <c r="G1257" s="1">
        <v>36</v>
      </c>
      <c r="H1257" s="1">
        <v>10</v>
      </c>
      <c r="I1257" s="1">
        <v>48</v>
      </c>
      <c r="J1257" s="1">
        <v>10</v>
      </c>
      <c r="K1257" s="1">
        <v>45</v>
      </c>
      <c r="L1257" s="1">
        <v>22</v>
      </c>
      <c r="M1257" s="1">
        <v>1.67</v>
      </c>
      <c r="N1257" s="1">
        <v>14.8</v>
      </c>
      <c r="O1257" s="7">
        <v>27546</v>
      </c>
      <c r="P1257" s="4">
        <v>44937</v>
      </c>
      <c r="Q1257" s="4">
        <v>44955</v>
      </c>
      <c r="R1257" s="1" t="s">
        <v>80</v>
      </c>
      <c r="AO1257" s="7">
        <v>27546</v>
      </c>
      <c r="AP1257" s="5">
        <v>9.3</v>
      </c>
      <c r="AQ1257" s="5">
        <v>148</v>
      </c>
      <c r="AR1257" s="5">
        <v>46.3</v>
      </c>
      <c r="AS1257" s="5">
        <v>7.4</v>
      </c>
      <c r="AT1257" s="5">
        <v>45</v>
      </c>
      <c r="AU1257" s="5">
        <v>37</v>
      </c>
      <c r="AV1257" s="5">
        <v>33.1</v>
      </c>
      <c r="AW1257" s="5">
        <v>6.24</v>
      </c>
      <c r="AX1257" s="5">
        <v>83</v>
      </c>
      <c r="AY1257" s="5">
        <v>91.56</v>
      </c>
      <c r="AZ1257" s="5" t="s">
        <v>75</v>
      </c>
      <c r="BA1257" s="5">
        <v>4.6</v>
      </c>
      <c r="BB1257" s="12" t="s">
        <v>76</v>
      </c>
      <c r="BC1257" s="5">
        <v>4.4</v>
      </c>
      <c r="BD1257" s="5">
        <v>148</v>
      </c>
      <c r="BE1257" s="5">
        <v>0.49</v>
      </c>
      <c r="BF1257" s="5">
        <v>3.61</v>
      </c>
      <c r="BG1257" s="15">
        <v>36.7</v>
      </c>
      <c r="BH1257" s="5">
        <v>69</v>
      </c>
      <c r="BI1257" s="5">
        <v>69</v>
      </c>
      <c r="BJ1257" s="5">
        <v>19</v>
      </c>
      <c r="BK1257" s="5">
        <v>92</v>
      </c>
      <c r="BL1257" s="5">
        <v>58</v>
      </c>
      <c r="BM1257" s="5">
        <v>89</v>
      </c>
      <c r="BN1257" s="5">
        <v>180</v>
      </c>
      <c r="BO1257" s="5">
        <f t="shared" si="19"/>
        <v>27.4691358024691</v>
      </c>
      <c r="BP1257" s="5" t="s">
        <v>78</v>
      </c>
      <c r="BQ1257" s="5" t="s">
        <v>76</v>
      </c>
      <c r="BR1257" s="5">
        <v>2755.26</v>
      </c>
    </row>
    <row r="1258" s="1" customFormat="1" spans="1:70">
      <c r="A1258" s="1">
        <v>3271543</v>
      </c>
      <c r="B1258" s="1" t="s">
        <v>2857</v>
      </c>
      <c r="D1258" s="4">
        <v>44953</v>
      </c>
      <c r="E1258" s="4">
        <v>44960</v>
      </c>
      <c r="F1258" s="7">
        <v>27570</v>
      </c>
      <c r="G1258" s="1">
        <v>45</v>
      </c>
      <c r="H1258" s="1">
        <v>10</v>
      </c>
      <c r="I1258" s="1">
        <v>66</v>
      </c>
      <c r="J1258" s="1">
        <v>8</v>
      </c>
      <c r="K1258" s="1">
        <v>32</v>
      </c>
      <c r="L1258" s="1">
        <v>16</v>
      </c>
      <c r="M1258" s="1">
        <v>1.23</v>
      </c>
      <c r="N1258" s="1">
        <v>18</v>
      </c>
      <c r="O1258" s="7">
        <v>27570</v>
      </c>
      <c r="P1258" s="4">
        <v>44953</v>
      </c>
      <c r="Q1258" s="4">
        <v>44960</v>
      </c>
      <c r="R1258" s="1" t="s">
        <v>80</v>
      </c>
      <c r="AO1258" s="7">
        <v>27570</v>
      </c>
      <c r="AP1258" s="5">
        <v>8.8</v>
      </c>
      <c r="AQ1258" s="5">
        <v>137</v>
      </c>
      <c r="AR1258" s="5">
        <v>42.4</v>
      </c>
      <c r="AS1258" s="5" t="s">
        <v>76</v>
      </c>
      <c r="AT1258" s="5">
        <v>95</v>
      </c>
      <c r="AU1258" s="5">
        <v>21</v>
      </c>
      <c r="AV1258" s="5">
        <v>28.7</v>
      </c>
      <c r="AW1258" s="5">
        <v>3.92</v>
      </c>
      <c r="AX1258" s="5">
        <v>99</v>
      </c>
      <c r="AY1258" s="5">
        <v>74.71</v>
      </c>
      <c r="AZ1258" s="5" t="s">
        <v>75</v>
      </c>
      <c r="BA1258" s="5" t="s">
        <v>76</v>
      </c>
      <c r="BB1258" s="12" t="s">
        <v>76</v>
      </c>
      <c r="BC1258" s="5">
        <v>4.28</v>
      </c>
      <c r="BD1258" s="5">
        <v>137</v>
      </c>
      <c r="BE1258" s="5" t="s">
        <v>76</v>
      </c>
      <c r="BF1258" s="5" t="s">
        <v>76</v>
      </c>
      <c r="BG1258" s="15">
        <v>36.5</v>
      </c>
      <c r="BH1258" s="5" t="s">
        <v>76</v>
      </c>
      <c r="BI1258" s="5">
        <v>100</v>
      </c>
      <c r="BJ1258" s="5">
        <v>17</v>
      </c>
      <c r="BK1258" s="5">
        <v>137</v>
      </c>
      <c r="BL1258" s="5">
        <v>106</v>
      </c>
      <c r="BM1258" s="5">
        <v>60</v>
      </c>
      <c r="BN1258" s="5">
        <v>170</v>
      </c>
      <c r="BO1258" s="5">
        <f t="shared" si="19"/>
        <v>20.7612456747405</v>
      </c>
      <c r="BP1258" s="5" t="s">
        <v>78</v>
      </c>
      <c r="BQ1258" s="5" t="s">
        <v>76</v>
      </c>
      <c r="BR1258" s="5">
        <v>4948</v>
      </c>
    </row>
    <row r="1259" s="1" customFormat="1" spans="1:70">
      <c r="A1259" s="1" t="s">
        <v>2858</v>
      </c>
      <c r="B1259" s="1" t="s">
        <v>2859</v>
      </c>
      <c r="D1259" s="4">
        <v>45028</v>
      </c>
      <c r="E1259" s="4">
        <v>45030</v>
      </c>
      <c r="F1259" s="7">
        <v>27586</v>
      </c>
      <c r="G1259" s="1">
        <v>38</v>
      </c>
      <c r="H1259" s="1">
        <v>10</v>
      </c>
      <c r="I1259" s="1">
        <v>49</v>
      </c>
      <c r="J1259" s="1">
        <v>10</v>
      </c>
      <c r="K1259" s="1">
        <v>62</v>
      </c>
      <c r="L1259" s="1">
        <v>33</v>
      </c>
      <c r="M1259" s="1">
        <v>0.72</v>
      </c>
      <c r="N1259" s="1">
        <v>9.2</v>
      </c>
      <c r="O1259" s="7">
        <v>27586</v>
      </c>
      <c r="P1259" s="4">
        <v>45028</v>
      </c>
      <c r="Q1259" s="4">
        <v>45030</v>
      </c>
      <c r="R1259" s="1" t="s">
        <v>80</v>
      </c>
      <c r="AO1259" s="7">
        <v>27586</v>
      </c>
      <c r="AP1259" s="5" t="s">
        <v>915</v>
      </c>
      <c r="AQ1259" s="5" t="s">
        <v>1517</v>
      </c>
      <c r="AR1259" s="5" t="s">
        <v>1174</v>
      </c>
      <c r="AS1259" s="5" t="s">
        <v>76</v>
      </c>
      <c r="AT1259" s="5" t="s">
        <v>225</v>
      </c>
      <c r="AU1259" s="5" t="s">
        <v>225</v>
      </c>
      <c r="AV1259" s="5" t="s">
        <v>2860</v>
      </c>
      <c r="AW1259" s="5" t="s">
        <v>2861</v>
      </c>
      <c r="AX1259" s="5" t="s">
        <v>2862</v>
      </c>
      <c r="AY1259" s="5" t="s">
        <v>76</v>
      </c>
      <c r="AZ1259" s="5" t="s">
        <v>76</v>
      </c>
      <c r="BA1259" s="5" t="s">
        <v>2863</v>
      </c>
      <c r="BB1259" s="12" t="s">
        <v>76</v>
      </c>
      <c r="BC1259" s="5" t="s">
        <v>2402</v>
      </c>
      <c r="BD1259" s="5" t="s">
        <v>1517</v>
      </c>
      <c r="BE1259" s="5" t="s">
        <v>2864</v>
      </c>
      <c r="BF1259" s="5" t="s">
        <v>2865</v>
      </c>
      <c r="BG1259" s="15">
        <v>36.8</v>
      </c>
      <c r="BH1259" s="5" t="s">
        <v>212</v>
      </c>
      <c r="BI1259" s="5" t="s">
        <v>76</v>
      </c>
      <c r="BJ1259" s="5" t="s">
        <v>293</v>
      </c>
      <c r="BK1259" s="5" t="s">
        <v>351</v>
      </c>
      <c r="BL1259" s="5" t="s">
        <v>295</v>
      </c>
      <c r="BM1259" s="5" t="s">
        <v>482</v>
      </c>
      <c r="BN1259" s="5">
        <v>170</v>
      </c>
      <c r="BO1259" s="5">
        <f t="shared" si="19"/>
        <v>24.9134948096886</v>
      </c>
      <c r="BP1259" s="5" t="s">
        <v>2041</v>
      </c>
      <c r="BQ1259" s="5" t="s">
        <v>76</v>
      </c>
      <c r="BR1259" s="5">
        <v>3676</v>
      </c>
    </row>
    <row r="1260" s="1" customFormat="1" spans="1:70">
      <c r="A1260" s="1">
        <v>3254734</v>
      </c>
      <c r="B1260" s="1" t="s">
        <v>2866</v>
      </c>
      <c r="C1260" s="1">
        <v>1</v>
      </c>
      <c r="D1260" s="4">
        <v>44915</v>
      </c>
      <c r="E1260" s="4">
        <v>44938</v>
      </c>
      <c r="F1260" s="7">
        <v>27589</v>
      </c>
      <c r="G1260" s="1">
        <v>41</v>
      </c>
      <c r="H1260" s="1">
        <v>10</v>
      </c>
      <c r="I1260" s="1">
        <v>50</v>
      </c>
      <c r="J1260" s="1">
        <v>10</v>
      </c>
      <c r="K1260" s="1">
        <v>65</v>
      </c>
      <c r="L1260" s="1">
        <v>36</v>
      </c>
      <c r="M1260" s="1">
        <v>1.21</v>
      </c>
      <c r="N1260" s="1">
        <v>17.6</v>
      </c>
      <c r="O1260" s="7">
        <v>27589</v>
      </c>
      <c r="P1260" s="4">
        <v>44915</v>
      </c>
      <c r="Q1260" s="4">
        <v>44938</v>
      </c>
      <c r="R1260" s="1" t="s">
        <v>80</v>
      </c>
      <c r="AO1260" s="7">
        <v>27589</v>
      </c>
      <c r="AP1260" s="5">
        <v>7</v>
      </c>
      <c r="AQ1260" s="5">
        <v>75</v>
      </c>
      <c r="AR1260" s="5">
        <v>24.8</v>
      </c>
      <c r="AS1260" s="5">
        <v>85.3</v>
      </c>
      <c r="AT1260" s="5">
        <v>90</v>
      </c>
      <c r="AU1260" s="5">
        <v>9</v>
      </c>
      <c r="AV1260" s="5">
        <v>35.9</v>
      </c>
      <c r="AW1260" s="5">
        <v>9.4</v>
      </c>
      <c r="AX1260" s="5">
        <v>509</v>
      </c>
      <c r="AY1260" s="5">
        <v>28.97</v>
      </c>
      <c r="AZ1260" s="5">
        <v>4.04</v>
      </c>
      <c r="BA1260" s="5">
        <v>4.37</v>
      </c>
      <c r="BB1260" s="12" t="s">
        <v>76</v>
      </c>
      <c r="BC1260" s="5">
        <v>4.37</v>
      </c>
      <c r="BD1260" s="5">
        <v>75</v>
      </c>
      <c r="BE1260" s="5">
        <v>1.55</v>
      </c>
      <c r="BF1260" s="5">
        <v>1.72</v>
      </c>
      <c r="BG1260" s="15">
        <v>36.4</v>
      </c>
      <c r="BH1260" s="5">
        <v>68</v>
      </c>
      <c r="BI1260" s="5" t="s">
        <v>76</v>
      </c>
      <c r="BJ1260" s="5">
        <v>16</v>
      </c>
      <c r="BK1260" s="5">
        <v>170</v>
      </c>
      <c r="BL1260" s="5">
        <v>84</v>
      </c>
      <c r="BM1260" s="5">
        <v>55</v>
      </c>
      <c r="BN1260" s="5">
        <v>165</v>
      </c>
      <c r="BO1260" s="5">
        <f t="shared" si="19"/>
        <v>20.2020202020202</v>
      </c>
      <c r="BP1260" s="5" t="s">
        <v>415</v>
      </c>
      <c r="BQ1260" s="5">
        <v>8.1</v>
      </c>
      <c r="BR1260" s="5" t="s">
        <v>118</v>
      </c>
    </row>
    <row r="1261" s="1" customFormat="1" spans="1:70">
      <c r="A1261" s="1">
        <v>3511848</v>
      </c>
      <c r="B1261" s="1" t="s">
        <v>2867</v>
      </c>
      <c r="D1261" s="4">
        <v>45282</v>
      </c>
      <c r="E1261" s="4">
        <v>45289</v>
      </c>
      <c r="F1261" s="7">
        <v>27602</v>
      </c>
      <c r="G1261" s="1">
        <v>26</v>
      </c>
      <c r="H1261" s="1">
        <v>9</v>
      </c>
      <c r="I1261" s="1">
        <v>45</v>
      </c>
      <c r="J1261" s="1">
        <v>8</v>
      </c>
      <c r="K1261" s="1">
        <v>56</v>
      </c>
      <c r="L1261" s="1">
        <v>29</v>
      </c>
      <c r="M1261" s="9">
        <v>0.7</v>
      </c>
      <c r="N1261" s="1">
        <v>7.4</v>
      </c>
      <c r="O1261" s="7">
        <v>27602</v>
      </c>
      <c r="P1261" s="4">
        <v>45282</v>
      </c>
      <c r="Q1261" s="4">
        <v>45289</v>
      </c>
      <c r="R1261" s="1" t="s">
        <v>80</v>
      </c>
      <c r="AO1261" s="7">
        <v>27602</v>
      </c>
      <c r="AP1261" s="5">
        <v>7.9</v>
      </c>
      <c r="AQ1261" s="5">
        <v>133</v>
      </c>
      <c r="AR1261" s="5">
        <v>39.9</v>
      </c>
      <c r="AS1261" s="5">
        <v>36.9</v>
      </c>
      <c r="AT1261" s="5">
        <v>14</v>
      </c>
      <c r="AU1261" s="5">
        <v>15</v>
      </c>
      <c r="AV1261" s="5">
        <v>42.4</v>
      </c>
      <c r="AW1261" s="5">
        <v>8.18</v>
      </c>
      <c r="AX1261" s="5">
        <v>159</v>
      </c>
      <c r="AY1261" s="5">
        <v>46.05</v>
      </c>
      <c r="AZ1261" s="5" t="s">
        <v>375</v>
      </c>
      <c r="BA1261" s="5" t="s">
        <v>76</v>
      </c>
      <c r="BB1261" s="12" t="s">
        <v>76</v>
      </c>
      <c r="BC1261" s="5">
        <v>4.08</v>
      </c>
      <c r="BD1261" s="5">
        <v>133</v>
      </c>
      <c r="BE1261" s="5" t="s">
        <v>76</v>
      </c>
      <c r="BF1261" s="5" t="s">
        <v>76</v>
      </c>
      <c r="BG1261" s="15">
        <v>38</v>
      </c>
      <c r="BH1261" s="5">
        <v>128</v>
      </c>
      <c r="BI1261" s="5">
        <v>128</v>
      </c>
      <c r="BJ1261" s="5">
        <v>20</v>
      </c>
      <c r="BK1261" s="5">
        <v>141</v>
      </c>
      <c r="BL1261" s="5">
        <v>87</v>
      </c>
      <c r="BM1261" s="5">
        <v>44</v>
      </c>
      <c r="BN1261" s="5">
        <v>145</v>
      </c>
      <c r="BO1261" s="5">
        <f t="shared" si="19"/>
        <v>20.9274673008323</v>
      </c>
      <c r="BP1261" s="5" t="s">
        <v>109</v>
      </c>
      <c r="BQ1261" s="5">
        <v>11.6</v>
      </c>
      <c r="BR1261" s="5">
        <v>557</v>
      </c>
    </row>
    <row r="1262" s="1" customFormat="1" spans="1:70">
      <c r="A1262" s="1">
        <v>3243406</v>
      </c>
      <c r="B1262" s="1" t="s">
        <v>2868</v>
      </c>
      <c r="D1262" s="4">
        <v>44888</v>
      </c>
      <c r="E1262" s="4">
        <v>44897</v>
      </c>
      <c r="F1262" s="7">
        <v>27622</v>
      </c>
      <c r="G1262" s="1">
        <v>25</v>
      </c>
      <c r="H1262" s="1">
        <v>7</v>
      </c>
      <c r="I1262" s="1">
        <v>41</v>
      </c>
      <c r="J1262" s="1">
        <v>7</v>
      </c>
      <c r="K1262" s="1">
        <v>57</v>
      </c>
      <c r="L1262" s="1">
        <v>29</v>
      </c>
      <c r="M1262" s="1">
        <v>0.8</v>
      </c>
      <c r="N1262" s="1">
        <v>5.8</v>
      </c>
      <c r="O1262" s="7">
        <v>27622</v>
      </c>
      <c r="P1262" s="4">
        <v>44888</v>
      </c>
      <c r="Q1262" s="4">
        <v>44897</v>
      </c>
      <c r="R1262" s="1" t="s">
        <v>73</v>
      </c>
      <c r="S1262" s="1">
        <v>47</v>
      </c>
      <c r="T1262" s="1" t="s">
        <v>2869</v>
      </c>
      <c r="AO1262" s="7">
        <v>27622</v>
      </c>
      <c r="AP1262" s="5">
        <v>9.9</v>
      </c>
      <c r="AQ1262" s="5">
        <v>99</v>
      </c>
      <c r="AR1262" s="5">
        <v>33.4</v>
      </c>
      <c r="AS1262" s="5">
        <v>97.9</v>
      </c>
      <c r="AT1262" s="5">
        <v>18</v>
      </c>
      <c r="AU1262" s="5">
        <v>7</v>
      </c>
      <c r="AV1262" s="5">
        <v>36.4</v>
      </c>
      <c r="AW1262" s="5">
        <v>3.24</v>
      </c>
      <c r="AX1262" s="5">
        <v>32</v>
      </c>
      <c r="AY1262" s="5" t="s">
        <v>125</v>
      </c>
      <c r="AZ1262" s="5" t="s">
        <v>75</v>
      </c>
      <c r="BA1262" s="5">
        <v>2.56</v>
      </c>
      <c r="BB1262" s="12" t="s">
        <v>76</v>
      </c>
      <c r="BC1262" s="5">
        <v>3.99</v>
      </c>
      <c r="BD1262" s="5">
        <v>99</v>
      </c>
      <c r="BE1262" s="5">
        <v>0.45</v>
      </c>
      <c r="BF1262" s="5">
        <v>2</v>
      </c>
      <c r="BG1262" s="15">
        <v>36.3</v>
      </c>
      <c r="BH1262" s="5">
        <v>101</v>
      </c>
      <c r="BI1262" s="5" t="s">
        <v>76</v>
      </c>
      <c r="BJ1262" s="5">
        <v>16</v>
      </c>
      <c r="BK1262" s="5">
        <v>99</v>
      </c>
      <c r="BL1262" s="5">
        <v>71</v>
      </c>
      <c r="BM1262" s="5" t="s">
        <v>77</v>
      </c>
      <c r="BN1262" s="5">
        <v>163</v>
      </c>
      <c r="BO1262" s="5" t="e">
        <f t="shared" si="19"/>
        <v>#VALUE!</v>
      </c>
      <c r="BP1262" s="5" t="s">
        <v>639</v>
      </c>
      <c r="BQ1262" s="5" t="s">
        <v>76</v>
      </c>
      <c r="BR1262" s="5">
        <v>7761</v>
      </c>
    </row>
    <row r="1263" s="1" customFormat="1" spans="1:70">
      <c r="A1263" s="1">
        <v>3516825</v>
      </c>
      <c r="B1263" s="1" t="s">
        <v>2870</v>
      </c>
      <c r="D1263" s="4">
        <v>45290</v>
      </c>
      <c r="E1263" s="4">
        <v>45300</v>
      </c>
      <c r="F1263" s="7">
        <v>27629</v>
      </c>
      <c r="G1263" s="1">
        <v>39</v>
      </c>
      <c r="H1263" s="1">
        <v>8</v>
      </c>
      <c r="I1263" s="1">
        <v>51</v>
      </c>
      <c r="K1263" s="1">
        <v>50</v>
      </c>
      <c r="L1263" s="1">
        <v>26</v>
      </c>
      <c r="M1263" s="1">
        <v>1.11</v>
      </c>
      <c r="N1263" s="1">
        <v>13.7</v>
      </c>
      <c r="O1263" s="7">
        <v>27629</v>
      </c>
      <c r="P1263" s="4">
        <v>45290</v>
      </c>
      <c r="Q1263" s="4">
        <v>45300</v>
      </c>
      <c r="R1263" s="1" t="s">
        <v>80</v>
      </c>
      <c r="AO1263" s="7">
        <v>27629</v>
      </c>
      <c r="AP1263" s="5">
        <v>12</v>
      </c>
      <c r="AQ1263" s="5">
        <v>79</v>
      </c>
      <c r="AR1263" s="5">
        <v>26.3</v>
      </c>
      <c r="AS1263" s="5">
        <v>2.8</v>
      </c>
      <c r="AT1263" s="5">
        <v>42</v>
      </c>
      <c r="AU1263" s="5">
        <v>28</v>
      </c>
      <c r="AV1263" s="5">
        <v>32.5</v>
      </c>
      <c r="AW1263" s="5">
        <v>9.77</v>
      </c>
      <c r="AX1263" s="5">
        <v>78</v>
      </c>
      <c r="AY1263" s="5" t="s">
        <v>125</v>
      </c>
      <c r="AZ1263" s="5" t="s">
        <v>75</v>
      </c>
      <c r="BA1263" s="5">
        <v>3.52</v>
      </c>
      <c r="BB1263" s="12" t="s">
        <v>76</v>
      </c>
      <c r="BC1263" s="5">
        <v>4.74</v>
      </c>
      <c r="BD1263" s="5">
        <v>79</v>
      </c>
      <c r="BE1263" s="5" t="s">
        <v>76</v>
      </c>
      <c r="BF1263" s="5" t="s">
        <v>76</v>
      </c>
      <c r="BG1263" s="15">
        <v>36.6</v>
      </c>
      <c r="BH1263" s="5">
        <v>78</v>
      </c>
      <c r="BI1263" s="5">
        <v>78</v>
      </c>
      <c r="BJ1263" s="5">
        <v>20</v>
      </c>
      <c r="BK1263" s="5">
        <v>147</v>
      </c>
      <c r="BL1263" s="5">
        <v>72</v>
      </c>
      <c r="BM1263" s="5">
        <v>40</v>
      </c>
      <c r="BN1263" s="5">
        <v>165</v>
      </c>
      <c r="BO1263" s="5">
        <f t="shared" si="19"/>
        <v>14.692378328742</v>
      </c>
      <c r="BP1263" s="5" t="s">
        <v>457</v>
      </c>
      <c r="BQ1263" s="5">
        <v>5.6</v>
      </c>
      <c r="BR1263" s="5">
        <v>11176</v>
      </c>
    </row>
    <row r="1264" s="1" customFormat="1" spans="1:70">
      <c r="A1264" s="1">
        <v>3508786</v>
      </c>
      <c r="B1264" s="1" t="s">
        <v>2871</v>
      </c>
      <c r="D1264" s="4">
        <v>45279</v>
      </c>
      <c r="E1264" s="4">
        <v>45297</v>
      </c>
      <c r="F1264" s="7">
        <v>27635</v>
      </c>
      <c r="G1264" s="1">
        <v>34</v>
      </c>
      <c r="H1264" s="1">
        <v>9</v>
      </c>
      <c r="I1264" s="1">
        <v>43</v>
      </c>
      <c r="J1264" s="1">
        <v>9</v>
      </c>
      <c r="K1264" s="1">
        <v>64</v>
      </c>
      <c r="L1264" s="1">
        <v>34</v>
      </c>
      <c r="M1264" s="1">
        <v>0.76</v>
      </c>
      <c r="O1264" s="7">
        <v>27635</v>
      </c>
      <c r="P1264" s="4">
        <v>45279</v>
      </c>
      <c r="Q1264" s="4">
        <v>45297</v>
      </c>
      <c r="R1264" s="1" t="s">
        <v>80</v>
      </c>
      <c r="AO1264" s="7">
        <v>27635</v>
      </c>
      <c r="AP1264" s="5">
        <v>8.9</v>
      </c>
      <c r="AQ1264" s="5">
        <v>99</v>
      </c>
      <c r="AR1264" s="5">
        <v>32.2</v>
      </c>
      <c r="AS1264" s="5">
        <v>89.5</v>
      </c>
      <c r="AT1264" s="5">
        <v>69</v>
      </c>
      <c r="AU1264" s="5">
        <v>76</v>
      </c>
      <c r="AV1264" s="5">
        <v>9.6</v>
      </c>
      <c r="AW1264" s="5">
        <v>34.68</v>
      </c>
      <c r="AX1264" s="5">
        <v>235</v>
      </c>
      <c r="AY1264" s="5">
        <v>61.35</v>
      </c>
      <c r="AZ1264" s="5" t="s">
        <v>75</v>
      </c>
      <c r="BA1264" s="5">
        <v>2.9</v>
      </c>
      <c r="BB1264" s="12" t="s">
        <v>76</v>
      </c>
      <c r="BC1264" s="5" t="s">
        <v>4</v>
      </c>
      <c r="BD1264" s="5">
        <v>99</v>
      </c>
      <c r="BE1264" s="5">
        <v>0.04</v>
      </c>
      <c r="BF1264" s="5" t="s">
        <v>2872</v>
      </c>
      <c r="BG1264" s="15">
        <v>37.8</v>
      </c>
      <c r="BH1264" s="5">
        <v>124</v>
      </c>
      <c r="BI1264" s="5">
        <v>124</v>
      </c>
      <c r="BJ1264" s="5">
        <v>20</v>
      </c>
      <c r="BK1264" s="5">
        <v>102</v>
      </c>
      <c r="BL1264" s="5">
        <v>56</v>
      </c>
      <c r="BM1264" s="5">
        <v>50</v>
      </c>
      <c r="BN1264" s="5">
        <v>170</v>
      </c>
      <c r="BO1264" s="5">
        <f t="shared" si="19"/>
        <v>17.3010380622837</v>
      </c>
      <c r="BP1264" s="5" t="s">
        <v>117</v>
      </c>
      <c r="BQ1264" s="5" t="s">
        <v>76</v>
      </c>
      <c r="BR1264" s="5" t="s">
        <v>118</v>
      </c>
    </row>
    <row r="1265" s="1" customFormat="1" spans="1:70">
      <c r="A1265" s="1">
        <v>3496274</v>
      </c>
      <c r="B1265" s="1" t="s">
        <v>2873</v>
      </c>
      <c r="D1265" s="4">
        <v>45261</v>
      </c>
      <c r="E1265" s="4">
        <v>45296</v>
      </c>
      <c r="F1265" s="7">
        <v>27651</v>
      </c>
      <c r="G1265" s="1">
        <v>31</v>
      </c>
      <c r="H1265" s="1">
        <v>9</v>
      </c>
      <c r="I1265" s="1">
        <v>47</v>
      </c>
      <c r="J1265" s="1">
        <v>9</v>
      </c>
      <c r="K1265" s="1">
        <v>65</v>
      </c>
      <c r="L1265" s="1">
        <v>35</v>
      </c>
      <c r="M1265" s="1">
        <v>0.84</v>
      </c>
      <c r="N1265" s="1">
        <v>7.4</v>
      </c>
      <c r="O1265" s="7">
        <v>27651</v>
      </c>
      <c r="P1265" s="4">
        <v>45261</v>
      </c>
      <c r="Q1265" s="4">
        <v>45296</v>
      </c>
      <c r="R1265" s="1" t="s">
        <v>73</v>
      </c>
      <c r="AO1265" s="7">
        <v>27651</v>
      </c>
      <c r="AP1265" s="5">
        <v>9.5</v>
      </c>
      <c r="AQ1265" s="5">
        <v>99</v>
      </c>
      <c r="AR1265" s="5">
        <v>44.6</v>
      </c>
      <c r="AS1265" s="5">
        <v>99.8</v>
      </c>
      <c r="AT1265" s="5">
        <v>95</v>
      </c>
      <c r="AU1265" s="5">
        <v>99</v>
      </c>
      <c r="AV1265" s="5">
        <v>42.2</v>
      </c>
      <c r="AW1265" s="5">
        <v>9.78</v>
      </c>
      <c r="AX1265" s="5">
        <v>96</v>
      </c>
      <c r="AY1265" s="5" t="s">
        <v>125</v>
      </c>
      <c r="AZ1265" s="5">
        <v>9.9</v>
      </c>
      <c r="BA1265" s="5">
        <v>1.48</v>
      </c>
      <c r="BB1265" s="12" t="s">
        <v>76</v>
      </c>
      <c r="BC1265" s="5">
        <v>5.48</v>
      </c>
      <c r="BD1265" s="5">
        <v>99</v>
      </c>
      <c r="BE1265" s="5" t="s">
        <v>76</v>
      </c>
      <c r="BF1265" s="5" t="s">
        <v>76</v>
      </c>
      <c r="BG1265" s="15">
        <v>36.5</v>
      </c>
      <c r="BH1265" s="5">
        <v>78</v>
      </c>
      <c r="BI1265" s="5">
        <v>78</v>
      </c>
      <c r="BJ1265" s="5">
        <v>20</v>
      </c>
      <c r="BK1265" s="5">
        <v>129</v>
      </c>
      <c r="BL1265" s="5">
        <v>89</v>
      </c>
      <c r="BM1265" s="5">
        <v>93</v>
      </c>
      <c r="BN1265" s="5">
        <v>154</v>
      </c>
      <c r="BO1265" s="5">
        <f t="shared" si="19"/>
        <v>39.2140327205262</v>
      </c>
      <c r="BP1265" s="5" t="s">
        <v>618</v>
      </c>
      <c r="BQ1265" s="5">
        <v>8.4</v>
      </c>
      <c r="BR1265" s="5">
        <v>944</v>
      </c>
    </row>
    <row r="1266" s="1" customFormat="1" spans="1:70">
      <c r="A1266" s="1">
        <v>3311108</v>
      </c>
      <c r="B1266" s="1" t="s">
        <v>2874</v>
      </c>
      <c r="D1266" s="4">
        <v>45005</v>
      </c>
      <c r="E1266" s="4">
        <v>45011</v>
      </c>
      <c r="F1266" s="7">
        <v>27653</v>
      </c>
      <c r="G1266" s="1">
        <v>41</v>
      </c>
      <c r="H1266" s="1">
        <v>9</v>
      </c>
      <c r="I1266" s="1">
        <v>48</v>
      </c>
      <c r="J1266" s="1">
        <v>9</v>
      </c>
      <c r="K1266" s="1">
        <v>57</v>
      </c>
      <c r="L1266" s="1">
        <v>30</v>
      </c>
      <c r="M1266" s="1">
        <v>2.36</v>
      </c>
      <c r="N1266" s="1">
        <v>15.3</v>
      </c>
      <c r="O1266" s="7">
        <v>27653</v>
      </c>
      <c r="P1266" s="4">
        <v>45005</v>
      </c>
      <c r="Q1266" s="4">
        <v>45011</v>
      </c>
      <c r="R1266" s="1" t="s">
        <v>80</v>
      </c>
      <c r="AO1266" s="7">
        <v>27653</v>
      </c>
      <c r="AP1266" s="5">
        <v>9.7</v>
      </c>
      <c r="AQ1266" s="5">
        <v>154</v>
      </c>
      <c r="AR1266" s="5">
        <v>47.5</v>
      </c>
      <c r="AS1266" s="5">
        <v>51.5</v>
      </c>
      <c r="AT1266" s="5">
        <v>82</v>
      </c>
      <c r="AU1266" s="5">
        <v>76</v>
      </c>
      <c r="AV1266" s="5">
        <v>39.9</v>
      </c>
      <c r="AW1266" s="5">
        <v>6.2</v>
      </c>
      <c r="AX1266" s="5">
        <v>93</v>
      </c>
      <c r="AY1266" s="5">
        <v>86.72</v>
      </c>
      <c r="AZ1266" s="5" t="s">
        <v>75</v>
      </c>
      <c r="BA1266" s="5">
        <v>5.05</v>
      </c>
      <c r="BB1266" s="12" t="s">
        <v>76</v>
      </c>
      <c r="BC1266" s="5">
        <v>4.58</v>
      </c>
      <c r="BD1266" s="5">
        <v>154</v>
      </c>
      <c r="BE1266" s="5">
        <v>1.19</v>
      </c>
      <c r="BF1266" s="5">
        <v>3.23</v>
      </c>
      <c r="BG1266" s="15">
        <v>36.6</v>
      </c>
      <c r="BH1266" s="5">
        <v>94</v>
      </c>
      <c r="BI1266" s="5">
        <v>94</v>
      </c>
      <c r="BJ1266" s="5">
        <v>16</v>
      </c>
      <c r="BK1266" s="5">
        <v>106</v>
      </c>
      <c r="BL1266" s="5">
        <v>60</v>
      </c>
      <c r="BM1266" s="5">
        <v>65</v>
      </c>
      <c r="BN1266" s="5">
        <v>174</v>
      </c>
      <c r="BO1266" s="5">
        <f t="shared" si="19"/>
        <v>21.4691504822301</v>
      </c>
      <c r="BP1266" s="5" t="s">
        <v>323</v>
      </c>
      <c r="BQ1266" s="5">
        <v>5.1</v>
      </c>
      <c r="BR1266" s="5">
        <v>929</v>
      </c>
    </row>
    <row r="1267" s="1" customFormat="1" spans="1:70">
      <c r="A1267" s="1">
        <v>3288122</v>
      </c>
      <c r="B1267" s="1" t="s">
        <v>2875</v>
      </c>
      <c r="D1267" s="4">
        <v>44974</v>
      </c>
      <c r="E1267" s="4">
        <v>44981</v>
      </c>
      <c r="F1267" s="7">
        <v>27681</v>
      </c>
      <c r="G1267" s="1">
        <v>37</v>
      </c>
      <c r="H1267" s="1">
        <v>10</v>
      </c>
      <c r="I1267" s="1">
        <v>49</v>
      </c>
      <c r="J1267" s="1">
        <v>9</v>
      </c>
      <c r="K1267" s="1">
        <v>61</v>
      </c>
      <c r="L1267" s="1">
        <v>33</v>
      </c>
      <c r="M1267" s="1">
        <v>0.71</v>
      </c>
      <c r="N1267" s="1">
        <v>8.6</v>
      </c>
      <c r="O1267" s="7">
        <v>27681</v>
      </c>
      <c r="P1267" s="4">
        <v>44974</v>
      </c>
      <c r="Q1267" s="4">
        <v>44981</v>
      </c>
      <c r="R1267" s="1" t="s">
        <v>80</v>
      </c>
      <c r="AO1267" s="7">
        <v>27681</v>
      </c>
      <c r="AP1267" s="5">
        <v>11.3</v>
      </c>
      <c r="AQ1267" s="5">
        <v>166</v>
      </c>
      <c r="AR1267" s="5">
        <v>48.5</v>
      </c>
      <c r="AS1267" s="5" t="s">
        <v>81</v>
      </c>
      <c r="AT1267" s="5">
        <v>32</v>
      </c>
      <c r="AU1267" s="5">
        <v>23</v>
      </c>
      <c r="AV1267" s="5">
        <v>47.1</v>
      </c>
      <c r="AW1267" s="5">
        <v>5.06</v>
      </c>
      <c r="AX1267" s="5">
        <v>56</v>
      </c>
      <c r="AY1267" s="5" t="s">
        <v>125</v>
      </c>
      <c r="AZ1267" s="5" t="s">
        <v>75</v>
      </c>
      <c r="BA1267" s="5">
        <v>5.34</v>
      </c>
      <c r="BB1267" s="12" t="s">
        <v>76</v>
      </c>
      <c r="BC1267" s="5">
        <v>3.81</v>
      </c>
      <c r="BD1267" s="5">
        <v>166</v>
      </c>
      <c r="BE1267" s="5">
        <v>1.07</v>
      </c>
      <c r="BF1267" s="5">
        <v>3.69</v>
      </c>
      <c r="BG1267" s="15">
        <v>36.6</v>
      </c>
      <c r="BH1267" s="5">
        <v>92</v>
      </c>
      <c r="BI1267" s="5" t="s">
        <v>76</v>
      </c>
      <c r="BJ1267" s="5">
        <v>17</v>
      </c>
      <c r="BK1267" s="5">
        <v>136</v>
      </c>
      <c r="BL1267" s="5">
        <v>102</v>
      </c>
      <c r="BM1267" s="5">
        <v>82</v>
      </c>
      <c r="BN1267" s="5">
        <v>175</v>
      </c>
      <c r="BO1267" s="5">
        <f t="shared" si="19"/>
        <v>26.7755102040816</v>
      </c>
      <c r="BP1267" s="5" t="s">
        <v>78</v>
      </c>
      <c r="BQ1267" s="5">
        <v>4.8</v>
      </c>
      <c r="BR1267" s="5">
        <v>613</v>
      </c>
    </row>
    <row r="1268" s="1" customFormat="1" spans="1:70">
      <c r="A1268" s="1">
        <v>3504385</v>
      </c>
      <c r="B1268" s="1" t="s">
        <v>2876</v>
      </c>
      <c r="D1268" s="4">
        <v>45272</v>
      </c>
      <c r="E1268" s="4">
        <v>45278</v>
      </c>
      <c r="F1268" s="7">
        <v>27729</v>
      </c>
      <c r="G1268" s="1">
        <v>35</v>
      </c>
      <c r="H1268" s="1">
        <v>10</v>
      </c>
      <c r="I1268" s="1">
        <v>50</v>
      </c>
      <c r="J1268" s="1">
        <v>10</v>
      </c>
      <c r="K1268" s="1">
        <v>56</v>
      </c>
      <c r="L1268" s="1">
        <v>29</v>
      </c>
      <c r="M1268" s="1">
        <v>1.12</v>
      </c>
      <c r="N1268" s="10">
        <v>14</v>
      </c>
      <c r="O1268" s="7">
        <v>27729</v>
      </c>
      <c r="P1268" s="4">
        <v>45272</v>
      </c>
      <c r="Q1268" s="4">
        <v>45278</v>
      </c>
      <c r="R1268" s="1" t="s">
        <v>80</v>
      </c>
      <c r="AO1268" s="7">
        <v>27729</v>
      </c>
      <c r="AP1268" s="5">
        <v>7.6</v>
      </c>
      <c r="AQ1268" s="5">
        <v>98</v>
      </c>
      <c r="AR1268" s="5">
        <v>29.8</v>
      </c>
      <c r="AS1268" s="5">
        <v>3.3</v>
      </c>
      <c r="AT1268" s="5">
        <v>22</v>
      </c>
      <c r="AU1268" s="5">
        <v>18</v>
      </c>
      <c r="AV1268" s="5">
        <v>33.7</v>
      </c>
      <c r="AW1268" s="5">
        <v>15.63</v>
      </c>
      <c r="AX1268" s="5">
        <v>121</v>
      </c>
      <c r="AY1268" s="5">
        <v>60.16</v>
      </c>
      <c r="AZ1268" s="5" t="s">
        <v>375</v>
      </c>
      <c r="BA1268" s="5">
        <v>6.55</v>
      </c>
      <c r="BB1268" s="12" t="s">
        <v>76</v>
      </c>
      <c r="BC1268" s="5" t="s">
        <v>4</v>
      </c>
      <c r="BD1268" s="5">
        <v>98</v>
      </c>
      <c r="BE1268" s="5" t="s">
        <v>76</v>
      </c>
      <c r="BF1268" s="5" t="s">
        <v>76</v>
      </c>
      <c r="BG1268" s="15">
        <v>36.8</v>
      </c>
      <c r="BH1268" s="5">
        <v>78</v>
      </c>
      <c r="BI1268" s="5">
        <v>78</v>
      </c>
      <c r="BJ1268" s="5">
        <v>18</v>
      </c>
      <c r="BK1268" s="5">
        <v>192</v>
      </c>
      <c r="BL1268" s="5">
        <v>112</v>
      </c>
      <c r="BM1268" s="5">
        <v>60</v>
      </c>
      <c r="BN1268" s="5">
        <v>172</v>
      </c>
      <c r="BO1268" s="5">
        <f t="shared" si="19"/>
        <v>20.2812330989724</v>
      </c>
      <c r="BP1268" s="5" t="s">
        <v>415</v>
      </c>
      <c r="BQ1268" s="5">
        <v>6.3</v>
      </c>
      <c r="BR1268" s="5">
        <v>9308</v>
      </c>
    </row>
    <row r="1269" s="1" customFormat="1" spans="1:70">
      <c r="A1269" s="1">
        <v>3259759</v>
      </c>
      <c r="B1269" s="1" t="s">
        <v>2877</v>
      </c>
      <c r="D1269" s="4">
        <v>44928</v>
      </c>
      <c r="E1269" s="4">
        <v>44934</v>
      </c>
      <c r="F1269" s="7">
        <v>27732</v>
      </c>
      <c r="G1269" s="1">
        <v>39</v>
      </c>
      <c r="H1269" s="1">
        <v>10</v>
      </c>
      <c r="I1269" s="1">
        <v>53</v>
      </c>
      <c r="J1269" s="1">
        <v>10</v>
      </c>
      <c r="K1269" s="1">
        <v>53</v>
      </c>
      <c r="L1269" s="1">
        <v>28</v>
      </c>
      <c r="M1269" s="1">
        <v>1.19</v>
      </c>
      <c r="N1269" s="1">
        <v>12.4</v>
      </c>
      <c r="O1269" s="7">
        <v>27732</v>
      </c>
      <c r="P1269" s="4">
        <v>44928</v>
      </c>
      <c r="Q1269" s="4">
        <v>44934</v>
      </c>
      <c r="R1269" s="1" t="s">
        <v>80</v>
      </c>
      <c r="AO1269" s="7">
        <v>27732</v>
      </c>
      <c r="AP1269" s="5">
        <v>9.8</v>
      </c>
      <c r="AQ1269" s="5">
        <v>145</v>
      </c>
      <c r="AR1269" s="5">
        <v>42</v>
      </c>
      <c r="AS1269" s="5">
        <v>5.6</v>
      </c>
      <c r="AT1269" s="5">
        <v>60</v>
      </c>
      <c r="AU1269" s="5">
        <v>43</v>
      </c>
      <c r="AV1269" s="5">
        <v>41.9</v>
      </c>
      <c r="AW1269" s="5">
        <v>4.42</v>
      </c>
      <c r="AX1269" s="5">
        <v>80</v>
      </c>
      <c r="AY1269" s="5" t="s">
        <v>125</v>
      </c>
      <c r="AZ1269" s="5" t="s">
        <v>75</v>
      </c>
      <c r="BA1269" s="5">
        <v>3.69</v>
      </c>
      <c r="BB1269" s="12" t="s">
        <v>76</v>
      </c>
      <c r="BC1269" s="5">
        <v>3.67</v>
      </c>
      <c r="BD1269" s="5">
        <v>145</v>
      </c>
      <c r="BE1269" s="5">
        <v>0.57</v>
      </c>
      <c r="BF1269" s="5">
        <v>2.53</v>
      </c>
      <c r="BG1269" s="15">
        <v>36.6</v>
      </c>
      <c r="BH1269" s="5">
        <v>79</v>
      </c>
      <c r="BI1269" s="5">
        <v>79</v>
      </c>
      <c r="BJ1269" s="5">
        <v>20</v>
      </c>
      <c r="BK1269" s="5">
        <v>165</v>
      </c>
      <c r="BL1269" s="5">
        <v>97</v>
      </c>
      <c r="BM1269" s="5">
        <v>90</v>
      </c>
      <c r="BN1269" s="5">
        <v>170</v>
      </c>
      <c r="BO1269" s="5">
        <f t="shared" si="19"/>
        <v>31.1418685121107</v>
      </c>
      <c r="BP1269" s="5" t="s">
        <v>323</v>
      </c>
      <c r="BQ1269" s="5">
        <v>5.5</v>
      </c>
      <c r="BR1269" s="5">
        <v>709</v>
      </c>
    </row>
    <row r="1270" s="1" customFormat="1" spans="1:70">
      <c r="A1270" s="1">
        <v>3273865</v>
      </c>
      <c r="B1270" s="1" t="s">
        <v>2878</v>
      </c>
      <c r="C1270" s="1" t="s">
        <v>273</v>
      </c>
      <c r="D1270" s="4">
        <v>44957</v>
      </c>
      <c r="E1270" s="4">
        <v>44985</v>
      </c>
      <c r="F1270" s="7">
        <v>27753</v>
      </c>
      <c r="G1270" s="1">
        <v>38</v>
      </c>
      <c r="H1270" s="1">
        <v>10</v>
      </c>
      <c r="I1270" s="1">
        <v>50</v>
      </c>
      <c r="J1270" s="1">
        <v>10</v>
      </c>
      <c r="K1270" s="1">
        <v>56</v>
      </c>
      <c r="L1270" s="1">
        <v>29</v>
      </c>
      <c r="M1270" s="1">
        <v>0.78</v>
      </c>
      <c r="N1270" s="1">
        <v>9.3</v>
      </c>
      <c r="O1270" s="7">
        <v>27753</v>
      </c>
      <c r="P1270" s="4">
        <v>44957</v>
      </c>
      <c r="Q1270" s="4">
        <v>44985</v>
      </c>
      <c r="R1270" s="1" t="s">
        <v>80</v>
      </c>
      <c r="S1270" s="1">
        <v>47</v>
      </c>
      <c r="T1270" s="1" t="s">
        <v>2879</v>
      </c>
      <c r="Z1270" s="1">
        <v>1</v>
      </c>
      <c r="AG1270" s="1">
        <v>1</v>
      </c>
      <c r="AH1270" s="1">
        <v>1</v>
      </c>
      <c r="AI1270" s="1">
        <v>1</v>
      </c>
      <c r="AM1270" s="1">
        <v>1</v>
      </c>
      <c r="AO1270" s="7">
        <v>27753</v>
      </c>
      <c r="AP1270" s="5">
        <v>8.4</v>
      </c>
      <c r="AQ1270" s="5">
        <v>150</v>
      </c>
      <c r="AR1270" s="5">
        <v>45</v>
      </c>
      <c r="AS1270" s="5" t="s">
        <v>81</v>
      </c>
      <c r="AT1270" s="5">
        <v>88</v>
      </c>
      <c r="AU1270" s="5">
        <v>65</v>
      </c>
      <c r="AV1270" s="5">
        <v>49.3</v>
      </c>
      <c r="AW1270" s="5">
        <v>6.59</v>
      </c>
      <c r="AX1270" s="5">
        <v>74</v>
      </c>
      <c r="AY1270" s="5" t="s">
        <v>125</v>
      </c>
      <c r="AZ1270" s="5" t="s">
        <v>75</v>
      </c>
      <c r="BA1270" s="5">
        <v>5.33</v>
      </c>
      <c r="BB1270" s="12" t="s">
        <v>76</v>
      </c>
      <c r="BC1270" s="5">
        <v>4.84</v>
      </c>
      <c r="BD1270" s="5">
        <v>150</v>
      </c>
      <c r="BE1270" s="5">
        <v>0.8</v>
      </c>
      <c r="BF1270" s="5">
        <v>3.9</v>
      </c>
      <c r="BG1270" s="15">
        <v>36.7</v>
      </c>
      <c r="BH1270" s="5">
        <v>92</v>
      </c>
      <c r="BI1270" s="5" t="s">
        <v>76</v>
      </c>
      <c r="BJ1270" s="5">
        <v>17</v>
      </c>
      <c r="BK1270" s="5">
        <v>127</v>
      </c>
      <c r="BL1270" s="5">
        <v>82</v>
      </c>
      <c r="BM1270" s="5">
        <v>103</v>
      </c>
      <c r="BN1270" s="5">
        <v>171</v>
      </c>
      <c r="BO1270" s="5">
        <f t="shared" si="19"/>
        <v>35.2245135255292</v>
      </c>
      <c r="BP1270" s="5" t="s">
        <v>1450</v>
      </c>
      <c r="BQ1270" s="5">
        <v>6.1</v>
      </c>
      <c r="BR1270" s="5">
        <v>603</v>
      </c>
    </row>
    <row r="1271" s="1" customFormat="1" spans="1:70">
      <c r="A1271" s="1">
        <v>3332509</v>
      </c>
      <c r="B1271" s="1" t="s">
        <v>2880</v>
      </c>
      <c r="D1271" s="4">
        <v>45037</v>
      </c>
      <c r="E1271" s="4">
        <v>45042</v>
      </c>
      <c r="F1271" s="7">
        <v>27761</v>
      </c>
      <c r="G1271" s="1">
        <v>35</v>
      </c>
      <c r="H1271" s="1">
        <v>8</v>
      </c>
      <c r="I1271" s="1">
        <v>47</v>
      </c>
      <c r="J1271" s="1">
        <v>8</v>
      </c>
      <c r="K1271" s="1">
        <v>66</v>
      </c>
      <c r="L1271" s="1">
        <v>36</v>
      </c>
      <c r="M1271" s="1">
        <v>1.38</v>
      </c>
      <c r="N1271" s="1">
        <v>10.6</v>
      </c>
      <c r="O1271" s="7">
        <v>27761</v>
      </c>
      <c r="P1271" s="4">
        <v>45037</v>
      </c>
      <c r="Q1271" s="4">
        <v>45042</v>
      </c>
      <c r="R1271" s="1" t="s">
        <v>73</v>
      </c>
      <c r="AO1271" s="7">
        <v>27761</v>
      </c>
      <c r="AP1271" s="5">
        <v>7.1</v>
      </c>
      <c r="AQ1271" s="5">
        <v>123</v>
      </c>
      <c r="AR1271" s="5">
        <v>38.5</v>
      </c>
      <c r="AS1271" s="5" t="s">
        <v>81</v>
      </c>
      <c r="AT1271" s="5">
        <v>20</v>
      </c>
      <c r="AU1271" s="5">
        <v>27</v>
      </c>
      <c r="AV1271" s="5">
        <v>36.2</v>
      </c>
      <c r="AW1271" s="5">
        <v>4.39</v>
      </c>
      <c r="AX1271" s="5">
        <v>35</v>
      </c>
      <c r="AY1271" s="5" t="s">
        <v>125</v>
      </c>
      <c r="AZ1271" s="5" t="s">
        <v>75</v>
      </c>
      <c r="BA1271" s="5">
        <v>2.61</v>
      </c>
      <c r="BB1271" s="12" t="s">
        <v>76</v>
      </c>
      <c r="BC1271" s="5">
        <v>3.76</v>
      </c>
      <c r="BD1271" s="5">
        <v>123</v>
      </c>
      <c r="BE1271" s="5">
        <v>0.8</v>
      </c>
      <c r="BF1271" s="5">
        <v>1.23</v>
      </c>
      <c r="BG1271" s="15">
        <v>36.3</v>
      </c>
      <c r="BH1271" s="5">
        <v>82</v>
      </c>
      <c r="BI1271" s="5">
        <v>82</v>
      </c>
      <c r="BJ1271" s="5">
        <v>18</v>
      </c>
      <c r="BK1271" s="5">
        <v>126</v>
      </c>
      <c r="BL1271" s="5">
        <v>72</v>
      </c>
      <c r="BM1271" s="5">
        <v>58</v>
      </c>
      <c r="BN1271" s="5">
        <v>164</v>
      </c>
      <c r="BO1271" s="5">
        <f t="shared" si="19"/>
        <v>21.5645449137418</v>
      </c>
      <c r="BP1271" s="5" t="s">
        <v>588</v>
      </c>
      <c r="BQ1271" s="5">
        <v>5.3</v>
      </c>
      <c r="BR1271" s="5">
        <v>810</v>
      </c>
    </row>
    <row r="1272" s="1" customFormat="1" spans="1:70">
      <c r="A1272" s="1">
        <v>3335675</v>
      </c>
      <c r="B1272" s="1" t="s">
        <v>2881</v>
      </c>
      <c r="D1272" s="4">
        <v>45041</v>
      </c>
      <c r="E1272" s="4">
        <v>45045</v>
      </c>
      <c r="F1272" s="7">
        <v>27791</v>
      </c>
      <c r="G1272" s="1">
        <v>47</v>
      </c>
      <c r="H1272" s="1">
        <v>9</v>
      </c>
      <c r="I1272" s="1">
        <v>67</v>
      </c>
      <c r="J1272" s="1">
        <v>7</v>
      </c>
      <c r="K1272" s="1">
        <v>44</v>
      </c>
      <c r="L1272" s="1">
        <v>22</v>
      </c>
      <c r="M1272" s="1">
        <v>0.58</v>
      </c>
      <c r="N1272" s="1">
        <v>8.7</v>
      </c>
      <c r="O1272" s="7">
        <v>27791</v>
      </c>
      <c r="P1272" s="4">
        <v>45041</v>
      </c>
      <c r="Q1272" s="4">
        <v>45045</v>
      </c>
      <c r="R1272" s="1" t="s">
        <v>80</v>
      </c>
      <c r="AO1272" s="7">
        <v>27791</v>
      </c>
      <c r="AP1272" s="5">
        <v>4.1</v>
      </c>
      <c r="AQ1272" s="5">
        <v>135</v>
      </c>
      <c r="AR1272" s="5">
        <v>41.3</v>
      </c>
      <c r="AS1272" s="5" t="s">
        <v>881</v>
      </c>
      <c r="AT1272" s="5">
        <v>35</v>
      </c>
      <c r="AU1272" s="5">
        <v>30</v>
      </c>
      <c r="AV1272" s="5">
        <v>43.8</v>
      </c>
      <c r="AW1272" s="5">
        <v>8.5</v>
      </c>
      <c r="AX1272" s="5">
        <v>75</v>
      </c>
      <c r="AY1272" s="5">
        <v>102.92</v>
      </c>
      <c r="AZ1272" s="5" t="s">
        <v>75</v>
      </c>
      <c r="BA1272" s="5">
        <v>3.89</v>
      </c>
      <c r="BB1272" s="12" t="s">
        <v>76</v>
      </c>
      <c r="BC1272" s="5">
        <v>4.57</v>
      </c>
      <c r="BD1272" s="5">
        <v>135</v>
      </c>
      <c r="BE1272" s="5">
        <v>1.17</v>
      </c>
      <c r="BF1272" s="5">
        <v>2.28</v>
      </c>
      <c r="BG1272" s="15">
        <v>36.6</v>
      </c>
      <c r="BH1272" s="5">
        <v>68</v>
      </c>
      <c r="BI1272" s="5">
        <v>68</v>
      </c>
      <c r="BJ1272" s="5">
        <v>19</v>
      </c>
      <c r="BK1272" s="5">
        <v>108</v>
      </c>
      <c r="BL1272" s="5">
        <v>68</v>
      </c>
      <c r="BM1272" s="5">
        <v>102</v>
      </c>
      <c r="BN1272" s="5">
        <v>180</v>
      </c>
      <c r="BO1272" s="5">
        <f t="shared" si="19"/>
        <v>31.4814814814815</v>
      </c>
      <c r="BP1272" s="5" t="s">
        <v>156</v>
      </c>
      <c r="BQ1272" s="5">
        <v>5.7</v>
      </c>
      <c r="BR1272" s="5">
        <v>422</v>
      </c>
    </row>
    <row r="1273" s="1" customFormat="1" spans="1:70">
      <c r="A1273" s="1">
        <v>3251456</v>
      </c>
      <c r="B1273" s="1" t="s">
        <v>2882</v>
      </c>
      <c r="D1273" s="4">
        <v>44903</v>
      </c>
      <c r="E1273" s="4">
        <v>44909</v>
      </c>
      <c r="F1273" s="7">
        <v>27799</v>
      </c>
      <c r="G1273" s="1">
        <v>31</v>
      </c>
      <c r="H1273" s="1">
        <v>8</v>
      </c>
      <c r="I1273" s="1">
        <v>42</v>
      </c>
      <c r="J1273" s="1">
        <v>8</v>
      </c>
      <c r="K1273" s="1">
        <v>57</v>
      </c>
      <c r="L1273" s="1">
        <v>30</v>
      </c>
      <c r="M1273" s="1">
        <v>1.95</v>
      </c>
      <c r="N1273" s="1">
        <v>5.6</v>
      </c>
      <c r="O1273" s="7">
        <v>27799</v>
      </c>
      <c r="P1273" s="4">
        <v>44903</v>
      </c>
      <c r="Q1273" s="4">
        <v>44909</v>
      </c>
      <c r="R1273" s="1" t="s">
        <v>73</v>
      </c>
      <c r="S1273" s="1">
        <v>46</v>
      </c>
      <c r="T1273" s="1" t="s">
        <v>2883</v>
      </c>
      <c r="AO1273" s="7">
        <v>27799</v>
      </c>
      <c r="AP1273" s="5">
        <v>9.6</v>
      </c>
      <c r="AQ1273" s="5">
        <v>127</v>
      </c>
      <c r="AR1273" s="5">
        <v>41.1</v>
      </c>
      <c r="AS1273" s="5">
        <v>1.8</v>
      </c>
      <c r="AT1273" s="5">
        <v>18</v>
      </c>
      <c r="AU1273" s="5">
        <v>16</v>
      </c>
      <c r="AV1273" s="5">
        <v>43.2</v>
      </c>
      <c r="AW1273" s="5">
        <v>6.36</v>
      </c>
      <c r="AX1273" s="5">
        <v>72</v>
      </c>
      <c r="AY1273" s="5">
        <v>80.4</v>
      </c>
      <c r="AZ1273" s="5" t="s">
        <v>75</v>
      </c>
      <c r="BA1273" s="5">
        <v>3.54</v>
      </c>
      <c r="BB1273" s="12" t="s">
        <v>76</v>
      </c>
      <c r="BC1273" s="5">
        <v>3.55</v>
      </c>
      <c r="BD1273" s="5">
        <v>127</v>
      </c>
      <c r="BE1273" s="5">
        <v>1.04</v>
      </c>
      <c r="BF1273" s="5">
        <v>1.98</v>
      </c>
      <c r="BG1273" s="15">
        <v>36.6</v>
      </c>
      <c r="BH1273" s="5">
        <v>82</v>
      </c>
      <c r="BI1273" s="5" t="s">
        <v>76</v>
      </c>
      <c r="BJ1273" s="5">
        <v>17</v>
      </c>
      <c r="BK1273" s="5">
        <v>118</v>
      </c>
      <c r="BL1273" s="5">
        <v>74</v>
      </c>
      <c r="BM1273" s="5">
        <v>52</v>
      </c>
      <c r="BN1273" s="5">
        <v>155</v>
      </c>
      <c r="BO1273" s="5">
        <f t="shared" si="19"/>
        <v>21.6441207075963</v>
      </c>
      <c r="BP1273" s="5" t="s">
        <v>78</v>
      </c>
      <c r="BQ1273" s="5">
        <v>5.7</v>
      </c>
      <c r="BR1273" s="5">
        <v>668</v>
      </c>
    </row>
    <row r="1274" s="1" customFormat="1" spans="1:70">
      <c r="A1274" s="1">
        <v>3250143</v>
      </c>
      <c r="B1274" s="1" t="s">
        <v>2884</v>
      </c>
      <c r="D1274" s="4">
        <v>44901</v>
      </c>
      <c r="E1274" s="4">
        <v>44964</v>
      </c>
      <c r="F1274" s="7">
        <v>27810</v>
      </c>
      <c r="G1274" s="1">
        <v>31</v>
      </c>
      <c r="H1274" s="1">
        <v>9</v>
      </c>
      <c r="I1274" s="1">
        <v>44</v>
      </c>
      <c r="J1274" s="1">
        <v>9</v>
      </c>
      <c r="K1274" s="1">
        <v>57</v>
      </c>
      <c r="L1274" s="1">
        <v>30</v>
      </c>
      <c r="M1274" s="1">
        <v>1.16</v>
      </c>
      <c r="N1274" s="1">
        <v>7.9</v>
      </c>
      <c r="O1274" s="7">
        <v>27810</v>
      </c>
      <c r="P1274" s="4">
        <v>44901</v>
      </c>
      <c r="Q1274" s="4">
        <v>44964</v>
      </c>
      <c r="R1274" s="1" t="s">
        <v>73</v>
      </c>
      <c r="AO1274" s="7">
        <v>27810</v>
      </c>
      <c r="AP1274" s="5">
        <v>8.9</v>
      </c>
      <c r="AQ1274" s="5">
        <v>99</v>
      </c>
      <c r="AR1274" s="5">
        <v>42.6</v>
      </c>
      <c r="AS1274" s="5" t="s">
        <v>81</v>
      </c>
      <c r="AT1274" s="5">
        <v>80</v>
      </c>
      <c r="AU1274" s="5">
        <v>98</v>
      </c>
      <c r="AV1274" s="5">
        <v>45.2</v>
      </c>
      <c r="AW1274" s="5">
        <v>8.35</v>
      </c>
      <c r="AX1274" s="5">
        <v>46</v>
      </c>
      <c r="AY1274" s="5" t="s">
        <v>125</v>
      </c>
      <c r="AZ1274" s="5" t="s">
        <v>75</v>
      </c>
      <c r="BA1274" s="5" t="s">
        <v>76</v>
      </c>
      <c r="BB1274" s="12" t="s">
        <v>76</v>
      </c>
      <c r="BC1274" s="5">
        <v>4.58</v>
      </c>
      <c r="BD1274" s="5">
        <v>99</v>
      </c>
      <c r="BE1274" s="5" t="s">
        <v>76</v>
      </c>
      <c r="BF1274" s="5" t="s">
        <v>76</v>
      </c>
      <c r="BG1274" s="15">
        <v>36.5</v>
      </c>
      <c r="BH1274" s="5" t="s">
        <v>76</v>
      </c>
      <c r="BI1274" s="5">
        <v>75</v>
      </c>
      <c r="BJ1274" s="5">
        <v>28</v>
      </c>
      <c r="BK1274" s="5">
        <v>103</v>
      </c>
      <c r="BL1274" s="5">
        <v>69</v>
      </c>
      <c r="BM1274" s="5" t="s">
        <v>76</v>
      </c>
      <c r="BN1274" s="5" t="s">
        <v>76</v>
      </c>
      <c r="BO1274" s="5" t="e">
        <f t="shared" si="19"/>
        <v>#VALUE!</v>
      </c>
      <c r="BP1274" s="5" t="s">
        <v>113</v>
      </c>
      <c r="BQ1274" s="5">
        <v>5.8</v>
      </c>
      <c r="BR1274" s="5">
        <v>963</v>
      </c>
    </row>
    <row r="1275" s="1" customFormat="1" spans="1:70">
      <c r="A1275" s="1">
        <v>3493758</v>
      </c>
      <c r="B1275" s="1" t="s">
        <v>2885</v>
      </c>
      <c r="D1275" s="4">
        <v>45258</v>
      </c>
      <c r="E1275" s="4">
        <v>45264</v>
      </c>
      <c r="F1275" s="7">
        <v>27830</v>
      </c>
      <c r="G1275" s="1">
        <v>52</v>
      </c>
      <c r="H1275" s="1">
        <v>10</v>
      </c>
      <c r="I1275" s="1">
        <v>77</v>
      </c>
      <c r="J1275" s="1">
        <v>10</v>
      </c>
      <c r="K1275" s="1">
        <v>29</v>
      </c>
      <c r="L1275" s="1">
        <v>14</v>
      </c>
      <c r="N1275" s="1">
        <v>7.3</v>
      </c>
      <c r="O1275" s="7">
        <v>27830</v>
      </c>
      <c r="P1275" s="4">
        <v>45258</v>
      </c>
      <c r="Q1275" s="4">
        <v>45264</v>
      </c>
      <c r="R1275" s="1" t="s">
        <v>80</v>
      </c>
      <c r="AO1275" s="7">
        <v>27830</v>
      </c>
      <c r="AP1275" s="5">
        <v>6</v>
      </c>
      <c r="AQ1275" s="5">
        <v>145</v>
      </c>
      <c r="AR1275" s="5">
        <v>43</v>
      </c>
      <c r="AS1275" s="5" t="s">
        <v>81</v>
      </c>
      <c r="AT1275" s="5">
        <v>26</v>
      </c>
      <c r="AU1275" s="5">
        <v>23</v>
      </c>
      <c r="AV1275" s="5">
        <v>48</v>
      </c>
      <c r="AW1275" s="5">
        <v>5.66</v>
      </c>
      <c r="AX1275" s="5">
        <v>76</v>
      </c>
      <c r="AY1275" s="5">
        <v>101.36</v>
      </c>
      <c r="AZ1275" s="5" t="s">
        <v>75</v>
      </c>
      <c r="BA1275" s="5" t="s">
        <v>76</v>
      </c>
      <c r="BB1275" s="12" t="s">
        <v>76</v>
      </c>
      <c r="BC1275" s="5">
        <v>4.22</v>
      </c>
      <c r="BD1275" s="5">
        <v>145</v>
      </c>
      <c r="BE1275" s="5" t="s">
        <v>76</v>
      </c>
      <c r="BF1275" s="5" t="s">
        <v>76</v>
      </c>
      <c r="BG1275" s="15">
        <v>36.3</v>
      </c>
      <c r="BH1275" s="5">
        <v>44</v>
      </c>
      <c r="BI1275" s="5">
        <v>44</v>
      </c>
      <c r="BJ1275" s="5">
        <v>18</v>
      </c>
      <c r="BK1275" s="5">
        <v>130</v>
      </c>
      <c r="BL1275" s="5">
        <v>63</v>
      </c>
      <c r="BM1275" s="5">
        <v>65</v>
      </c>
      <c r="BN1275" s="5">
        <v>170</v>
      </c>
      <c r="BO1275" s="5">
        <f t="shared" si="19"/>
        <v>22.4913494809689</v>
      </c>
      <c r="BP1275" s="5" t="s">
        <v>78</v>
      </c>
      <c r="BQ1275" s="5">
        <v>5.7</v>
      </c>
      <c r="BR1275" s="5">
        <v>1074</v>
      </c>
    </row>
    <row r="1276" s="1" customFormat="1" spans="1:70">
      <c r="A1276" s="1">
        <v>3276770</v>
      </c>
      <c r="B1276" s="1" t="s">
        <v>2886</v>
      </c>
      <c r="D1276" s="4">
        <v>44958</v>
      </c>
      <c r="E1276" s="4">
        <v>44963</v>
      </c>
      <c r="F1276" s="7">
        <v>27830</v>
      </c>
      <c r="G1276" s="1">
        <v>33</v>
      </c>
      <c r="H1276" s="1">
        <v>9</v>
      </c>
      <c r="I1276" s="1">
        <v>49</v>
      </c>
      <c r="J1276" s="1">
        <v>9</v>
      </c>
      <c r="K1276" s="1">
        <v>64</v>
      </c>
      <c r="L1276" s="1">
        <v>35</v>
      </c>
      <c r="M1276" s="1">
        <v>1.17</v>
      </c>
      <c r="N1276" s="1">
        <v>8.6</v>
      </c>
      <c r="O1276" s="7">
        <v>27830</v>
      </c>
      <c r="P1276" s="4">
        <v>44958</v>
      </c>
      <c r="Q1276" s="4">
        <v>44963</v>
      </c>
      <c r="R1276" s="1" t="s">
        <v>80</v>
      </c>
      <c r="AO1276" s="7">
        <v>27830</v>
      </c>
      <c r="AP1276" s="5">
        <v>9.5</v>
      </c>
      <c r="AQ1276" s="5">
        <v>135</v>
      </c>
      <c r="AR1276" s="5">
        <v>43.4</v>
      </c>
      <c r="AS1276" s="5">
        <v>6.2</v>
      </c>
      <c r="AT1276" s="5">
        <v>68</v>
      </c>
      <c r="AU1276" s="5">
        <v>47</v>
      </c>
      <c r="AV1276" s="5">
        <v>40.5</v>
      </c>
      <c r="AW1276" s="5">
        <v>9.37</v>
      </c>
      <c r="AX1276" s="5">
        <v>80</v>
      </c>
      <c r="AY1276" s="5" t="s">
        <v>125</v>
      </c>
      <c r="AZ1276" s="5" t="s">
        <v>75</v>
      </c>
      <c r="BA1276" s="5">
        <v>5.23</v>
      </c>
      <c r="BB1276" s="12" t="s">
        <v>76</v>
      </c>
      <c r="BC1276" s="5">
        <v>4.48</v>
      </c>
      <c r="BD1276" s="5">
        <v>135</v>
      </c>
      <c r="BE1276" s="5">
        <v>1.1</v>
      </c>
      <c r="BF1276" s="5">
        <v>3.62</v>
      </c>
      <c r="BG1276" s="15">
        <v>36.5</v>
      </c>
      <c r="BH1276" s="5" t="s">
        <v>76</v>
      </c>
      <c r="BI1276" s="5">
        <v>94</v>
      </c>
      <c r="BJ1276" s="5">
        <v>16</v>
      </c>
      <c r="BK1276" s="5">
        <v>119</v>
      </c>
      <c r="BL1276" s="5">
        <v>76</v>
      </c>
      <c r="BM1276" s="5" t="s">
        <v>77</v>
      </c>
      <c r="BN1276" s="5" t="s">
        <v>77</v>
      </c>
      <c r="BO1276" s="5" t="e">
        <f t="shared" si="19"/>
        <v>#VALUE!</v>
      </c>
      <c r="BP1276" s="5" t="s">
        <v>323</v>
      </c>
      <c r="BQ1276" s="5">
        <v>5.9</v>
      </c>
      <c r="BR1276" s="5">
        <v>595</v>
      </c>
    </row>
    <row r="1277" s="1" customFormat="1" spans="1:70">
      <c r="A1277" s="1">
        <v>3323072</v>
      </c>
      <c r="B1277" s="1" t="s">
        <v>2887</v>
      </c>
      <c r="D1277" s="4">
        <v>45022</v>
      </c>
      <c r="E1277" s="4">
        <v>45027</v>
      </c>
      <c r="F1277" s="7">
        <v>27885</v>
      </c>
      <c r="G1277" s="1">
        <v>35</v>
      </c>
      <c r="H1277" s="1">
        <v>10</v>
      </c>
      <c r="I1277" s="1">
        <v>46</v>
      </c>
      <c r="J1277" s="1">
        <v>9</v>
      </c>
      <c r="K1277" s="1">
        <v>51</v>
      </c>
      <c r="L1277" s="1">
        <v>26</v>
      </c>
      <c r="M1277" s="9">
        <v>1.3</v>
      </c>
      <c r="N1277" s="1">
        <v>12.4</v>
      </c>
      <c r="O1277" s="7">
        <v>27885</v>
      </c>
      <c r="P1277" s="4">
        <v>45022</v>
      </c>
      <c r="Q1277" s="4">
        <v>45027</v>
      </c>
      <c r="R1277" s="1" t="s">
        <v>80</v>
      </c>
      <c r="AO1277" s="7">
        <v>27885</v>
      </c>
      <c r="AP1277" s="5">
        <v>9.7</v>
      </c>
      <c r="AQ1277" s="5">
        <v>154</v>
      </c>
      <c r="AR1277" s="5">
        <v>45.9</v>
      </c>
      <c r="AS1277" s="5">
        <v>40</v>
      </c>
      <c r="AT1277" s="5">
        <v>57</v>
      </c>
      <c r="AU1277" s="5">
        <v>41</v>
      </c>
      <c r="AV1277" s="5">
        <v>42.9</v>
      </c>
      <c r="AW1277" s="5">
        <v>8.32</v>
      </c>
      <c r="AX1277" s="5">
        <v>90</v>
      </c>
      <c r="AY1277" s="5">
        <v>90.7</v>
      </c>
      <c r="AZ1277" s="5" t="s">
        <v>76</v>
      </c>
      <c r="BA1277" s="5">
        <v>3.25</v>
      </c>
      <c r="BB1277" s="12" t="s">
        <v>76</v>
      </c>
      <c r="BC1277" s="5">
        <v>4.27</v>
      </c>
      <c r="BD1277" s="5">
        <v>154</v>
      </c>
      <c r="BE1277" s="5">
        <v>0.71</v>
      </c>
      <c r="BF1277" s="5">
        <v>1.84</v>
      </c>
      <c r="BG1277" s="15">
        <v>36.8</v>
      </c>
      <c r="BH1277" s="5">
        <v>76</v>
      </c>
      <c r="BI1277" s="5">
        <v>76</v>
      </c>
      <c r="BJ1277" s="5">
        <v>18</v>
      </c>
      <c r="BK1277" s="5">
        <v>151</v>
      </c>
      <c r="BL1277" s="5">
        <v>107</v>
      </c>
      <c r="BM1277" s="5">
        <v>71</v>
      </c>
      <c r="BN1277" s="5">
        <v>164</v>
      </c>
      <c r="BO1277" s="5">
        <f t="shared" si="19"/>
        <v>26.3979773944081</v>
      </c>
      <c r="BP1277" s="5" t="s">
        <v>323</v>
      </c>
      <c r="BQ1277" s="5">
        <v>8.5</v>
      </c>
      <c r="BR1277" s="5">
        <v>690</v>
      </c>
    </row>
    <row r="1278" s="1" customFormat="1" spans="1:70">
      <c r="A1278" s="1">
        <v>3275439</v>
      </c>
      <c r="B1278" s="1" t="s">
        <v>2888</v>
      </c>
      <c r="D1278" s="4">
        <v>44957</v>
      </c>
      <c r="E1278" s="4">
        <v>44966</v>
      </c>
      <c r="F1278" s="7">
        <v>27890</v>
      </c>
      <c r="G1278" s="1">
        <v>33</v>
      </c>
      <c r="H1278" s="1">
        <v>9</v>
      </c>
      <c r="I1278" s="1">
        <v>43</v>
      </c>
      <c r="J1278" s="1">
        <v>9</v>
      </c>
      <c r="K1278" s="1">
        <v>59</v>
      </c>
      <c r="L1278" s="1">
        <v>31</v>
      </c>
      <c r="M1278" s="1">
        <v>1.07</v>
      </c>
      <c r="N1278" s="1">
        <v>8.4</v>
      </c>
      <c r="O1278" s="7">
        <v>27890</v>
      </c>
      <c r="P1278" s="4">
        <v>44957</v>
      </c>
      <c r="Q1278" s="4">
        <v>44966</v>
      </c>
      <c r="R1278" s="1" t="s">
        <v>73</v>
      </c>
      <c r="AO1278" s="7">
        <v>27890</v>
      </c>
      <c r="AP1278" s="5">
        <v>9.3</v>
      </c>
      <c r="AQ1278" s="5">
        <v>137</v>
      </c>
      <c r="AR1278" s="5">
        <v>40.8</v>
      </c>
      <c r="AS1278" s="5" t="s">
        <v>76</v>
      </c>
      <c r="AT1278" s="5">
        <v>19</v>
      </c>
      <c r="AU1278" s="5">
        <v>15</v>
      </c>
      <c r="AV1278" s="5">
        <v>34.3</v>
      </c>
      <c r="AW1278" s="5">
        <v>7.69</v>
      </c>
      <c r="AX1278" s="5">
        <v>72</v>
      </c>
      <c r="AY1278" s="5" t="s">
        <v>125</v>
      </c>
      <c r="AZ1278" s="5" t="s">
        <v>375</v>
      </c>
      <c r="BA1278" s="5">
        <v>6.15</v>
      </c>
      <c r="BB1278" s="12" t="s">
        <v>76</v>
      </c>
      <c r="BC1278" s="5">
        <v>4.1</v>
      </c>
      <c r="BD1278" s="5">
        <v>137</v>
      </c>
      <c r="BE1278" s="5">
        <v>0.56</v>
      </c>
      <c r="BF1278" s="5">
        <v>3.3</v>
      </c>
      <c r="BG1278" s="15">
        <v>36.5</v>
      </c>
      <c r="BH1278" s="5" t="s">
        <v>76</v>
      </c>
      <c r="BI1278" s="5">
        <v>90</v>
      </c>
      <c r="BJ1278" s="5">
        <v>13</v>
      </c>
      <c r="BK1278" s="5">
        <v>119</v>
      </c>
      <c r="BL1278" s="5">
        <v>66</v>
      </c>
      <c r="BM1278" s="5">
        <v>45</v>
      </c>
      <c r="BN1278" s="5">
        <v>160</v>
      </c>
      <c r="BO1278" s="5">
        <f t="shared" si="19"/>
        <v>17.578125</v>
      </c>
      <c r="BP1278" s="5" t="s">
        <v>258</v>
      </c>
      <c r="BQ1278" s="5">
        <v>13.1</v>
      </c>
      <c r="BR1278" s="5">
        <v>443</v>
      </c>
    </row>
    <row r="1279" s="1" customFormat="1" spans="1:70">
      <c r="A1279" s="1">
        <v>3495632</v>
      </c>
      <c r="B1279" s="1" t="s">
        <v>2889</v>
      </c>
      <c r="D1279" s="4">
        <v>45260</v>
      </c>
      <c r="E1279" s="4">
        <v>45287</v>
      </c>
      <c r="F1279" s="7">
        <v>27918</v>
      </c>
      <c r="G1279" s="1">
        <v>40</v>
      </c>
      <c r="H1279" s="1">
        <v>12</v>
      </c>
      <c r="I1279" s="1">
        <v>53</v>
      </c>
      <c r="J1279" s="1">
        <v>11</v>
      </c>
      <c r="K1279" s="1">
        <v>57</v>
      </c>
      <c r="L1279" s="1">
        <v>30</v>
      </c>
      <c r="M1279" s="1">
        <v>1.42</v>
      </c>
      <c r="N1279" s="10">
        <v>9</v>
      </c>
      <c r="O1279" s="7">
        <v>27918</v>
      </c>
      <c r="P1279" s="4">
        <v>45260</v>
      </c>
      <c r="Q1279" s="4">
        <v>45287</v>
      </c>
      <c r="R1279" s="1" t="s">
        <v>80</v>
      </c>
      <c r="AO1279" s="7">
        <v>27918</v>
      </c>
      <c r="AP1279" s="5">
        <v>8.7</v>
      </c>
      <c r="AQ1279" s="5">
        <v>85</v>
      </c>
      <c r="AR1279" s="5">
        <v>30</v>
      </c>
      <c r="AS1279" s="5">
        <v>92.4</v>
      </c>
      <c r="AT1279" s="5" t="s">
        <v>171</v>
      </c>
      <c r="AU1279" s="5" t="s">
        <v>171</v>
      </c>
      <c r="AV1279" s="5">
        <v>26.3</v>
      </c>
      <c r="AW1279" s="5">
        <v>30.25</v>
      </c>
      <c r="AX1279" s="5">
        <v>460</v>
      </c>
      <c r="AY1279" s="5">
        <v>21.11</v>
      </c>
      <c r="AZ1279" s="5">
        <v>5.77</v>
      </c>
      <c r="BA1279" s="5">
        <v>2.08</v>
      </c>
      <c r="BB1279" s="12" t="s">
        <v>76</v>
      </c>
      <c r="BC1279" s="5">
        <v>5.2</v>
      </c>
      <c r="BD1279" s="5">
        <v>85</v>
      </c>
      <c r="BE1279" s="5">
        <v>0.32</v>
      </c>
      <c r="BF1279" s="5">
        <v>0.91</v>
      </c>
      <c r="BG1279" s="15">
        <v>36.6</v>
      </c>
      <c r="BH1279" s="5">
        <v>88</v>
      </c>
      <c r="BI1279" s="5">
        <v>88</v>
      </c>
      <c r="BJ1279" s="5">
        <v>16</v>
      </c>
      <c r="BK1279" s="5">
        <v>142</v>
      </c>
      <c r="BL1279" s="5">
        <v>68</v>
      </c>
      <c r="BM1279" s="5">
        <v>46.5</v>
      </c>
      <c r="BN1279" s="5">
        <v>170</v>
      </c>
      <c r="BO1279" s="5">
        <f t="shared" si="19"/>
        <v>16.0899653979239</v>
      </c>
      <c r="BP1279" s="5" t="s">
        <v>415</v>
      </c>
      <c r="BQ1279" s="5">
        <v>5.1</v>
      </c>
      <c r="BR1279" s="5" t="s">
        <v>118</v>
      </c>
    </row>
    <row r="1280" s="1" customFormat="1" spans="1:70">
      <c r="A1280" s="1">
        <v>3508201</v>
      </c>
      <c r="B1280" s="1" t="s">
        <v>2890</v>
      </c>
      <c r="D1280" s="4">
        <v>45278</v>
      </c>
      <c r="E1280" s="4">
        <v>45280</v>
      </c>
      <c r="F1280" s="7">
        <v>27923</v>
      </c>
      <c r="G1280" s="1">
        <v>39</v>
      </c>
      <c r="H1280" s="1">
        <v>8</v>
      </c>
      <c r="I1280" s="1">
        <v>52</v>
      </c>
      <c r="J1280" s="1">
        <v>8</v>
      </c>
      <c r="K1280" s="1">
        <v>58</v>
      </c>
      <c r="L1280" s="1">
        <v>31</v>
      </c>
      <c r="M1280" s="9">
        <v>1.8</v>
      </c>
      <c r="N1280" s="10">
        <v>11</v>
      </c>
      <c r="O1280" s="7">
        <v>27923</v>
      </c>
      <c r="P1280" s="4">
        <v>45278</v>
      </c>
      <c r="Q1280" s="4">
        <v>45280</v>
      </c>
      <c r="R1280" s="1" t="s">
        <v>80</v>
      </c>
      <c r="AO1280" s="7">
        <v>27923</v>
      </c>
      <c r="AP1280" s="5">
        <v>6.2</v>
      </c>
      <c r="AQ1280" s="5">
        <v>116</v>
      </c>
      <c r="AR1280" s="5">
        <v>35.8</v>
      </c>
      <c r="AS1280" s="5">
        <v>15</v>
      </c>
      <c r="AT1280" s="5">
        <v>22</v>
      </c>
      <c r="AU1280" s="5">
        <v>31</v>
      </c>
      <c r="AV1280" s="5">
        <v>34.4</v>
      </c>
      <c r="AW1280" s="5">
        <v>3.97</v>
      </c>
      <c r="AX1280" s="5">
        <v>72</v>
      </c>
      <c r="AY1280" s="5">
        <v>107.89</v>
      </c>
      <c r="AZ1280" s="5" t="s">
        <v>75</v>
      </c>
      <c r="BA1280" s="5" t="s">
        <v>76</v>
      </c>
      <c r="BB1280" s="12" t="s">
        <v>76</v>
      </c>
      <c r="BC1280" s="5">
        <v>3.64</v>
      </c>
      <c r="BD1280" s="5">
        <v>116</v>
      </c>
      <c r="BE1280" s="5" t="s">
        <v>76</v>
      </c>
      <c r="BF1280" s="5" t="s">
        <v>76</v>
      </c>
      <c r="BG1280" s="15">
        <v>36.6</v>
      </c>
      <c r="BH1280" s="5">
        <v>73</v>
      </c>
      <c r="BI1280" s="5">
        <v>73</v>
      </c>
      <c r="BJ1280" s="5">
        <v>18</v>
      </c>
      <c r="BK1280" s="5">
        <v>127</v>
      </c>
      <c r="BL1280" s="5">
        <v>93</v>
      </c>
      <c r="BM1280" s="5">
        <v>71</v>
      </c>
      <c r="BN1280" s="5">
        <v>168</v>
      </c>
      <c r="BO1280" s="5">
        <f t="shared" si="19"/>
        <v>25.15589569161</v>
      </c>
      <c r="BP1280" s="5" t="s">
        <v>78</v>
      </c>
      <c r="BQ1280" s="5">
        <v>4.9</v>
      </c>
      <c r="BR1280" s="5">
        <v>957</v>
      </c>
    </row>
    <row r="1281" s="1" customFormat="1" spans="1:70">
      <c r="A1281" s="1">
        <v>3254816</v>
      </c>
      <c r="B1281" s="1" t="s">
        <v>2891</v>
      </c>
      <c r="C1281" s="1">
        <v>1</v>
      </c>
      <c r="D1281" s="4">
        <v>44916</v>
      </c>
      <c r="E1281" s="4">
        <v>44925</v>
      </c>
      <c r="F1281" s="7">
        <v>27931</v>
      </c>
      <c r="G1281" s="1">
        <v>45</v>
      </c>
      <c r="H1281" s="1">
        <v>10</v>
      </c>
      <c r="I1281" s="1">
        <v>63</v>
      </c>
      <c r="J1281" s="1">
        <v>8</v>
      </c>
      <c r="K1281" s="1">
        <v>34</v>
      </c>
      <c r="L1281" s="1">
        <v>17</v>
      </c>
      <c r="M1281" s="1">
        <v>2.64</v>
      </c>
      <c r="N1281" s="1">
        <v>16.9</v>
      </c>
      <c r="O1281" s="7">
        <v>27931</v>
      </c>
      <c r="P1281" s="4">
        <v>44916</v>
      </c>
      <c r="Q1281" s="4">
        <v>44925</v>
      </c>
      <c r="R1281" s="1" t="s">
        <v>80</v>
      </c>
      <c r="AO1281" s="7">
        <v>27931</v>
      </c>
      <c r="AP1281" s="5">
        <v>7.8</v>
      </c>
      <c r="AQ1281" s="5">
        <v>126</v>
      </c>
      <c r="AR1281" s="5">
        <v>41.1</v>
      </c>
      <c r="AS1281" s="5" t="s">
        <v>81</v>
      </c>
      <c r="AT1281" s="5">
        <v>56</v>
      </c>
      <c r="AU1281" s="5">
        <v>79</v>
      </c>
      <c r="AV1281" s="5">
        <v>38</v>
      </c>
      <c r="AW1281" s="5">
        <v>24.3</v>
      </c>
      <c r="AX1281" s="5">
        <v>393</v>
      </c>
      <c r="AY1281" s="5">
        <v>17.59</v>
      </c>
      <c r="AZ1281" s="5" t="s">
        <v>75</v>
      </c>
      <c r="BA1281" s="5">
        <v>4.53</v>
      </c>
      <c r="BB1281" s="12" t="s">
        <v>76</v>
      </c>
      <c r="BC1281" s="5">
        <v>5.16</v>
      </c>
      <c r="BD1281" s="5">
        <v>126</v>
      </c>
      <c r="BE1281" s="5">
        <v>0.66</v>
      </c>
      <c r="BF1281" s="5">
        <v>3.01</v>
      </c>
      <c r="BG1281" s="15">
        <v>36.5</v>
      </c>
      <c r="BH1281" s="5">
        <v>96</v>
      </c>
      <c r="BI1281" s="5">
        <v>96</v>
      </c>
      <c r="BJ1281" s="5">
        <v>20</v>
      </c>
      <c r="BK1281" s="5">
        <v>145</v>
      </c>
      <c r="BL1281" s="5">
        <v>107</v>
      </c>
      <c r="BM1281" s="5">
        <v>65</v>
      </c>
      <c r="BN1281" s="5">
        <v>167</v>
      </c>
      <c r="BO1281" s="5">
        <f t="shared" si="19"/>
        <v>23.3066800530675</v>
      </c>
      <c r="BP1281" s="5" t="s">
        <v>107</v>
      </c>
      <c r="BQ1281" s="5">
        <v>6.4</v>
      </c>
      <c r="BR1281" s="5" t="s">
        <v>118</v>
      </c>
    </row>
    <row r="1282" s="1" customFormat="1" spans="1:70">
      <c r="A1282" s="1">
        <v>3240306</v>
      </c>
      <c r="B1282" s="1" t="s">
        <v>2892</v>
      </c>
      <c r="D1282" s="4">
        <v>44883</v>
      </c>
      <c r="E1282" s="4">
        <v>44894</v>
      </c>
      <c r="F1282" s="7">
        <v>27931</v>
      </c>
      <c r="G1282" s="1">
        <v>43</v>
      </c>
      <c r="H1282" s="1">
        <v>8</v>
      </c>
      <c r="I1282" s="1">
        <v>64</v>
      </c>
      <c r="J1282" s="1">
        <v>8</v>
      </c>
      <c r="K1282" s="1">
        <v>17</v>
      </c>
      <c r="L1282" s="1">
        <v>8</v>
      </c>
      <c r="M1282" s="1">
        <v>2.43</v>
      </c>
      <c r="N1282" s="10">
        <v>15</v>
      </c>
      <c r="O1282" s="7">
        <v>27931</v>
      </c>
      <c r="P1282" s="4">
        <v>44883</v>
      </c>
      <c r="Q1282" s="4">
        <v>44894</v>
      </c>
      <c r="R1282" s="1" t="s">
        <v>73</v>
      </c>
      <c r="AO1282" s="7">
        <v>27931</v>
      </c>
      <c r="AP1282" s="5">
        <v>7.3</v>
      </c>
      <c r="AQ1282" s="5">
        <v>161</v>
      </c>
      <c r="AR1282" s="5">
        <v>49.7</v>
      </c>
      <c r="AS1282" s="5">
        <v>8.1</v>
      </c>
      <c r="AT1282" s="5">
        <v>49</v>
      </c>
      <c r="AU1282" s="5" t="s">
        <v>76</v>
      </c>
      <c r="AV1282" s="5" t="s">
        <v>76</v>
      </c>
      <c r="AW1282" s="5">
        <v>5.8</v>
      </c>
      <c r="AX1282" s="5">
        <v>54</v>
      </c>
      <c r="AY1282" s="5" t="s">
        <v>125</v>
      </c>
      <c r="AZ1282" s="5">
        <v>6.78</v>
      </c>
      <c r="BA1282" s="5">
        <v>3.37</v>
      </c>
      <c r="BB1282" s="12" t="s">
        <v>76</v>
      </c>
      <c r="BC1282" s="5">
        <v>4.49</v>
      </c>
      <c r="BD1282" s="5">
        <v>161</v>
      </c>
      <c r="BE1282" s="5">
        <v>0.57</v>
      </c>
      <c r="BF1282" s="5">
        <v>2.1</v>
      </c>
      <c r="BG1282" s="15">
        <v>36.6</v>
      </c>
      <c r="BH1282" s="5">
        <v>69</v>
      </c>
      <c r="BI1282" s="5">
        <v>69</v>
      </c>
      <c r="BJ1282" s="5">
        <v>1</v>
      </c>
      <c r="BK1282" s="5">
        <v>89</v>
      </c>
      <c r="BL1282" s="5">
        <v>63</v>
      </c>
      <c r="BM1282" s="5">
        <v>54</v>
      </c>
      <c r="BN1282" s="5">
        <v>160</v>
      </c>
      <c r="BO1282" s="5">
        <f t="shared" si="19"/>
        <v>21.09375</v>
      </c>
      <c r="BP1282" s="5" t="s">
        <v>156</v>
      </c>
      <c r="BQ1282" s="5">
        <v>6.7</v>
      </c>
      <c r="BR1282" s="5">
        <v>7288</v>
      </c>
    </row>
    <row r="1283" s="1" customFormat="1" spans="1:70">
      <c r="A1283" s="1">
        <v>3300226</v>
      </c>
      <c r="B1283" s="1" t="s">
        <v>2893</v>
      </c>
      <c r="D1283" s="4">
        <v>44999</v>
      </c>
      <c r="E1283" s="4">
        <v>45006</v>
      </c>
      <c r="F1283" s="7">
        <v>27931</v>
      </c>
      <c r="G1283" s="1">
        <v>48</v>
      </c>
      <c r="H1283" s="1">
        <v>9</v>
      </c>
      <c r="I1283" s="1">
        <v>82</v>
      </c>
      <c r="J1283" s="1">
        <v>9</v>
      </c>
      <c r="K1283" s="1">
        <v>28</v>
      </c>
      <c r="L1283" s="1">
        <v>14</v>
      </c>
      <c r="M1283" s="1">
        <v>0.61</v>
      </c>
      <c r="N1283" s="1">
        <v>14.7</v>
      </c>
      <c r="O1283" s="7">
        <v>27931</v>
      </c>
      <c r="P1283" s="4">
        <v>44999</v>
      </c>
      <c r="Q1283" s="4">
        <v>45006</v>
      </c>
      <c r="R1283" s="1" t="s">
        <v>80</v>
      </c>
      <c r="AO1283" s="7">
        <v>27931</v>
      </c>
      <c r="AP1283" s="5">
        <v>5.4</v>
      </c>
      <c r="AQ1283" s="5">
        <v>147</v>
      </c>
      <c r="AR1283" s="5">
        <v>46.3</v>
      </c>
      <c r="AS1283" s="5">
        <v>4.6</v>
      </c>
      <c r="AT1283" s="5">
        <v>21</v>
      </c>
      <c r="AU1283" s="5">
        <v>22</v>
      </c>
      <c r="AV1283" s="5">
        <v>44.6</v>
      </c>
      <c r="AW1283" s="5">
        <v>6.5</v>
      </c>
      <c r="AX1283" s="5">
        <v>79</v>
      </c>
      <c r="AY1283" s="5">
        <v>97.36</v>
      </c>
      <c r="AZ1283" s="5">
        <v>7.1</v>
      </c>
      <c r="BA1283" s="5">
        <v>5.46</v>
      </c>
      <c r="BB1283" s="12" t="s">
        <v>76</v>
      </c>
      <c r="BC1283" s="5">
        <v>4.32</v>
      </c>
      <c r="BD1283" s="5">
        <v>147</v>
      </c>
      <c r="BE1283" s="5">
        <v>0.92</v>
      </c>
      <c r="BF1283" s="5">
        <v>3.58</v>
      </c>
      <c r="BG1283" s="15">
        <v>36.5</v>
      </c>
      <c r="BH1283" s="5">
        <v>82</v>
      </c>
      <c r="BI1283" s="5">
        <v>82</v>
      </c>
      <c r="BJ1283" s="5">
        <v>20</v>
      </c>
      <c r="BK1283" s="5">
        <v>107</v>
      </c>
      <c r="BL1283" s="5">
        <v>71</v>
      </c>
      <c r="BM1283" s="5">
        <v>68</v>
      </c>
      <c r="BN1283" s="5">
        <v>168</v>
      </c>
      <c r="BO1283" s="5">
        <f t="shared" ref="BO1283:BO1346" si="20">BM1283/(BN1283/100)^2</f>
        <v>24.092970521542</v>
      </c>
      <c r="BP1283" s="5" t="s">
        <v>78</v>
      </c>
      <c r="BQ1283" s="5">
        <v>6.8</v>
      </c>
      <c r="BR1283" s="5">
        <v>3497</v>
      </c>
    </row>
    <row r="1284" s="1" customFormat="1" spans="1:70">
      <c r="A1284" s="1">
        <v>3268301</v>
      </c>
      <c r="B1284" s="1" t="s">
        <v>2894</v>
      </c>
      <c r="D1284" s="4">
        <v>44944</v>
      </c>
      <c r="E1284" s="4">
        <v>45001</v>
      </c>
      <c r="F1284" s="7">
        <v>27941</v>
      </c>
      <c r="G1284" s="1">
        <v>27</v>
      </c>
      <c r="H1284" s="1">
        <v>11</v>
      </c>
      <c r="I1284" s="1">
        <v>44</v>
      </c>
      <c r="J1284" s="1">
        <v>11</v>
      </c>
      <c r="K1284" s="1">
        <v>42</v>
      </c>
      <c r="L1284" s="1">
        <v>21</v>
      </c>
      <c r="M1284" s="1">
        <v>0.65</v>
      </c>
      <c r="N1284" s="1">
        <v>10.6</v>
      </c>
      <c r="O1284" s="7">
        <v>27941</v>
      </c>
      <c r="P1284" s="4">
        <v>44944</v>
      </c>
      <c r="Q1284" s="4">
        <v>45001</v>
      </c>
      <c r="R1284" s="1" t="s">
        <v>80</v>
      </c>
      <c r="AO1284" s="7">
        <v>27941</v>
      </c>
      <c r="AP1284" s="5">
        <v>9.5</v>
      </c>
      <c r="AQ1284" s="5">
        <v>98</v>
      </c>
      <c r="AR1284" s="5">
        <v>45.4</v>
      </c>
      <c r="AS1284" s="5">
        <v>80.8</v>
      </c>
      <c r="AT1284" s="5">
        <v>53</v>
      </c>
      <c r="AU1284" s="5">
        <v>74</v>
      </c>
      <c r="AV1284" s="5">
        <v>39.5</v>
      </c>
      <c r="AW1284" s="5">
        <v>9.8</v>
      </c>
      <c r="AX1284" s="5">
        <v>98</v>
      </c>
      <c r="AY1284" s="5">
        <v>115.75</v>
      </c>
      <c r="AZ1284" s="5">
        <v>9.9</v>
      </c>
      <c r="BA1284" s="5">
        <v>4.85</v>
      </c>
      <c r="BB1284" s="12" t="s">
        <v>76</v>
      </c>
      <c r="BC1284" s="5">
        <v>5.9</v>
      </c>
      <c r="BD1284" s="5">
        <v>98</v>
      </c>
      <c r="BE1284" s="5" t="s">
        <v>76</v>
      </c>
      <c r="BF1284" s="5" t="s">
        <v>76</v>
      </c>
      <c r="BG1284" s="15">
        <v>36.3</v>
      </c>
      <c r="BH1284" s="5">
        <v>123</v>
      </c>
      <c r="BI1284" s="5">
        <v>123</v>
      </c>
      <c r="BJ1284" s="5">
        <v>28</v>
      </c>
      <c r="BK1284" s="5">
        <v>164</v>
      </c>
      <c r="BL1284" s="5">
        <v>107</v>
      </c>
      <c r="BM1284" s="5">
        <v>70</v>
      </c>
      <c r="BN1284" s="5">
        <v>165</v>
      </c>
      <c r="BO1284" s="5">
        <f t="shared" si="20"/>
        <v>25.7116620752984</v>
      </c>
      <c r="BP1284" s="5" t="s">
        <v>113</v>
      </c>
      <c r="BQ1284" s="5" t="s">
        <v>76</v>
      </c>
      <c r="BR1284" s="5">
        <v>940</v>
      </c>
    </row>
    <row r="1285" s="1" customFormat="1" spans="1:70">
      <c r="A1285" s="1">
        <v>3269636</v>
      </c>
      <c r="B1285" s="1" t="s">
        <v>2895</v>
      </c>
      <c r="D1285" s="4">
        <v>44950</v>
      </c>
      <c r="E1285" s="4">
        <v>44959</v>
      </c>
      <c r="F1285" s="7">
        <v>27942</v>
      </c>
      <c r="G1285" s="1">
        <v>42</v>
      </c>
      <c r="H1285" s="1">
        <v>11</v>
      </c>
      <c r="I1285" s="1">
        <v>58</v>
      </c>
      <c r="J1285" s="1">
        <v>10</v>
      </c>
      <c r="K1285" s="1">
        <v>51</v>
      </c>
      <c r="L1285" s="1">
        <v>26</v>
      </c>
      <c r="M1285" s="1">
        <v>1.33</v>
      </c>
      <c r="N1285" s="1">
        <v>11.8</v>
      </c>
      <c r="O1285" s="7">
        <v>27942</v>
      </c>
      <c r="P1285" s="4">
        <v>44950</v>
      </c>
      <c r="Q1285" s="4">
        <v>44959</v>
      </c>
      <c r="R1285" s="1" t="s">
        <v>80</v>
      </c>
      <c r="AO1285" s="7">
        <v>27942</v>
      </c>
      <c r="AP1285" s="5">
        <v>8.3</v>
      </c>
      <c r="AQ1285" s="5">
        <v>161</v>
      </c>
      <c r="AR1285" s="5">
        <v>48</v>
      </c>
      <c r="AS1285" s="5" t="s">
        <v>81</v>
      </c>
      <c r="AT1285" s="5">
        <v>83</v>
      </c>
      <c r="AU1285" s="5">
        <v>32</v>
      </c>
      <c r="AV1285" s="5">
        <v>41.1</v>
      </c>
      <c r="AW1285" s="5">
        <v>5.38</v>
      </c>
      <c r="AX1285" s="5">
        <v>79</v>
      </c>
      <c r="AY1285" s="5">
        <v>97.36</v>
      </c>
      <c r="AZ1285" s="5" t="s">
        <v>75</v>
      </c>
      <c r="BA1285" s="5">
        <v>4.45</v>
      </c>
      <c r="BB1285" s="12" t="s">
        <v>76</v>
      </c>
      <c r="BC1285" s="5">
        <v>4.29</v>
      </c>
      <c r="BD1285" s="5">
        <v>161</v>
      </c>
      <c r="BE1285" s="5">
        <v>0.76</v>
      </c>
      <c r="BF1285" s="5">
        <v>3.37</v>
      </c>
      <c r="BG1285" s="15">
        <v>36.6</v>
      </c>
      <c r="BH1285" s="5">
        <v>74</v>
      </c>
      <c r="BI1285" s="5">
        <v>74</v>
      </c>
      <c r="BJ1285" s="5">
        <v>18</v>
      </c>
      <c r="BK1285" s="5">
        <v>87</v>
      </c>
      <c r="BL1285" s="5">
        <v>55</v>
      </c>
      <c r="BM1285" s="5">
        <v>105</v>
      </c>
      <c r="BN1285" s="5">
        <v>172</v>
      </c>
      <c r="BO1285" s="5">
        <f t="shared" si="20"/>
        <v>35.4921579232017</v>
      </c>
      <c r="BP1285" s="5" t="s">
        <v>78</v>
      </c>
      <c r="BQ1285" s="5">
        <v>5.6</v>
      </c>
      <c r="BR1285" s="5">
        <v>862</v>
      </c>
    </row>
    <row r="1286" s="1" customFormat="1" spans="1:70">
      <c r="A1286" s="1">
        <v>3271215</v>
      </c>
      <c r="B1286" s="1" t="s">
        <v>2896</v>
      </c>
      <c r="D1286" s="4">
        <v>44958</v>
      </c>
      <c r="E1286" s="4">
        <v>44966</v>
      </c>
      <c r="F1286" s="7">
        <v>27948</v>
      </c>
      <c r="G1286" s="1">
        <v>40</v>
      </c>
      <c r="H1286" s="1">
        <v>10</v>
      </c>
      <c r="I1286" s="1">
        <v>49</v>
      </c>
      <c r="J1286" s="1">
        <v>10</v>
      </c>
      <c r="K1286" s="1">
        <v>67</v>
      </c>
      <c r="L1286" s="1">
        <v>37</v>
      </c>
      <c r="M1286" s="1">
        <v>2.36</v>
      </c>
      <c r="N1286" s="1">
        <v>7.8</v>
      </c>
      <c r="O1286" s="7">
        <v>27948</v>
      </c>
      <c r="P1286" s="4">
        <v>44958</v>
      </c>
      <c r="Q1286" s="4">
        <v>44966</v>
      </c>
      <c r="R1286" s="1" t="s">
        <v>80</v>
      </c>
      <c r="S1286" s="1">
        <v>46</v>
      </c>
      <c r="T1286" s="1" t="s">
        <v>2897</v>
      </c>
      <c r="Y1286" s="1">
        <v>1</v>
      </c>
      <c r="AI1286" s="1">
        <v>1</v>
      </c>
      <c r="AO1286" s="7">
        <v>27948</v>
      </c>
      <c r="AP1286" s="5">
        <v>6.9</v>
      </c>
      <c r="AQ1286" s="5">
        <v>171</v>
      </c>
      <c r="AR1286" s="5">
        <v>55.2</v>
      </c>
      <c r="AS1286" s="5" t="s">
        <v>881</v>
      </c>
      <c r="AT1286" s="5">
        <v>17</v>
      </c>
      <c r="AU1286" s="5">
        <v>19</v>
      </c>
      <c r="AV1286" s="5">
        <v>50.8</v>
      </c>
      <c r="AW1286" s="5">
        <v>4.91</v>
      </c>
      <c r="AX1286" s="5">
        <v>58</v>
      </c>
      <c r="AY1286" s="5" t="s">
        <v>125</v>
      </c>
      <c r="AZ1286" s="5" t="s">
        <v>75</v>
      </c>
      <c r="BA1286" s="5">
        <v>4.68</v>
      </c>
      <c r="BB1286" s="12" t="s">
        <v>76</v>
      </c>
      <c r="BC1286" s="5">
        <v>4.41</v>
      </c>
      <c r="BD1286" s="5">
        <v>171</v>
      </c>
      <c r="BE1286" s="5">
        <v>1.08</v>
      </c>
      <c r="BF1286" s="5">
        <v>3.05</v>
      </c>
      <c r="BG1286" s="15">
        <v>36.6</v>
      </c>
      <c r="BH1286" s="5">
        <v>130</v>
      </c>
      <c r="BI1286" s="5">
        <v>155</v>
      </c>
      <c r="BJ1286" s="5">
        <v>20</v>
      </c>
      <c r="BK1286" s="5">
        <v>130</v>
      </c>
      <c r="BL1286" s="5">
        <v>90</v>
      </c>
      <c r="BM1286" s="5">
        <v>87</v>
      </c>
      <c r="BN1286" s="5">
        <v>176</v>
      </c>
      <c r="BO1286" s="5">
        <f t="shared" si="20"/>
        <v>28.0862603305785</v>
      </c>
      <c r="BP1286" s="5" t="s">
        <v>78</v>
      </c>
      <c r="BQ1286" s="5">
        <v>5.7</v>
      </c>
      <c r="BR1286" s="5">
        <v>350</v>
      </c>
    </row>
    <row r="1287" s="1" customFormat="1" spans="1:70">
      <c r="A1287" s="1" t="s">
        <v>2898</v>
      </c>
      <c r="B1287" s="1" t="s">
        <v>2899</v>
      </c>
      <c r="C1287" s="1">
        <v>1</v>
      </c>
      <c r="D1287" s="4">
        <v>45005</v>
      </c>
      <c r="E1287" s="4">
        <v>45016</v>
      </c>
      <c r="F1287" s="7">
        <v>28012</v>
      </c>
      <c r="G1287" s="1">
        <v>24</v>
      </c>
      <c r="H1287" s="1">
        <v>8</v>
      </c>
      <c r="I1287" s="1">
        <v>37</v>
      </c>
      <c r="J1287" s="1">
        <v>8</v>
      </c>
      <c r="K1287" s="1">
        <v>58</v>
      </c>
      <c r="L1287" s="1">
        <v>30</v>
      </c>
      <c r="M1287" s="1">
        <v>0.38</v>
      </c>
      <c r="N1287" s="1">
        <v>3.6</v>
      </c>
      <c r="O1287" s="7">
        <v>28012</v>
      </c>
      <c r="P1287" s="4">
        <v>45005</v>
      </c>
      <c r="Q1287" s="4">
        <v>45016</v>
      </c>
      <c r="R1287" s="1" t="s">
        <v>80</v>
      </c>
      <c r="AO1287" s="7">
        <v>28012</v>
      </c>
      <c r="AP1287" s="5" t="s">
        <v>237</v>
      </c>
      <c r="AQ1287" s="5" t="s">
        <v>243</v>
      </c>
      <c r="AR1287" s="5" t="s">
        <v>2418</v>
      </c>
      <c r="AS1287" s="5" t="s">
        <v>2900</v>
      </c>
      <c r="AT1287" s="5" t="s">
        <v>425</v>
      </c>
      <c r="AU1287" s="5" t="s">
        <v>1000</v>
      </c>
      <c r="AV1287" s="5" t="s">
        <v>2901</v>
      </c>
      <c r="AW1287" s="5" t="s">
        <v>2902</v>
      </c>
      <c r="AX1287" s="5" t="s">
        <v>290</v>
      </c>
      <c r="AY1287" s="5" t="s">
        <v>125</v>
      </c>
      <c r="AZ1287" s="5" t="s">
        <v>2398</v>
      </c>
      <c r="BA1287" s="5" t="s">
        <v>76</v>
      </c>
      <c r="BB1287" s="12" t="s">
        <v>76</v>
      </c>
      <c r="BC1287" s="5" t="s">
        <v>2903</v>
      </c>
      <c r="BD1287" s="5" t="s">
        <v>243</v>
      </c>
      <c r="BE1287" s="5" t="s">
        <v>76</v>
      </c>
      <c r="BF1287" s="5" t="s">
        <v>76</v>
      </c>
      <c r="BG1287" s="15">
        <v>36.6</v>
      </c>
      <c r="BH1287" s="5" t="s">
        <v>1006</v>
      </c>
      <c r="BI1287" s="5" t="s">
        <v>76</v>
      </c>
      <c r="BJ1287" s="5" t="s">
        <v>76</v>
      </c>
      <c r="BK1287" s="5" t="s">
        <v>429</v>
      </c>
      <c r="BL1287" s="5" t="s">
        <v>232</v>
      </c>
      <c r="BM1287" s="5" t="s">
        <v>1670</v>
      </c>
      <c r="BN1287" s="5">
        <v>0</v>
      </c>
      <c r="BO1287" s="5" t="e">
        <f t="shared" si="20"/>
        <v>#DIV/0!</v>
      </c>
      <c r="BP1287" s="5" t="s">
        <v>1167</v>
      </c>
      <c r="BQ1287" s="5" t="s">
        <v>76</v>
      </c>
      <c r="BR1287" s="5">
        <v>9443</v>
      </c>
    </row>
    <row r="1288" s="1" customFormat="1" spans="1:70">
      <c r="A1288" s="1">
        <v>3265439</v>
      </c>
      <c r="B1288" s="1" t="s">
        <v>2904</v>
      </c>
      <c r="D1288" s="4">
        <v>44937</v>
      </c>
      <c r="E1288" s="4">
        <v>44959</v>
      </c>
      <c r="F1288" s="7">
        <v>28235</v>
      </c>
      <c r="G1288" s="1">
        <v>33</v>
      </c>
      <c r="H1288" s="1">
        <v>10</v>
      </c>
      <c r="I1288" s="1">
        <v>46</v>
      </c>
      <c r="J1288" s="1">
        <v>9</v>
      </c>
      <c r="K1288" s="1">
        <v>57</v>
      </c>
      <c r="L1288" s="1">
        <v>30</v>
      </c>
      <c r="M1288" s="1">
        <v>0.72</v>
      </c>
      <c r="O1288" s="7">
        <v>28235</v>
      </c>
      <c r="P1288" s="4">
        <v>44937</v>
      </c>
      <c r="Q1288" s="4">
        <v>44959</v>
      </c>
      <c r="R1288" s="1" t="s">
        <v>80</v>
      </c>
      <c r="AO1288" s="7">
        <v>28235</v>
      </c>
      <c r="AP1288" s="5">
        <v>7.8</v>
      </c>
      <c r="AQ1288" s="5">
        <v>93</v>
      </c>
      <c r="AR1288" s="5" t="s">
        <v>2905</v>
      </c>
      <c r="AS1288" s="5">
        <v>9.1</v>
      </c>
      <c r="AT1288" s="5">
        <v>92</v>
      </c>
      <c r="AU1288" s="5">
        <v>87</v>
      </c>
      <c r="AV1288" s="5">
        <v>35.2</v>
      </c>
      <c r="AW1288" s="5">
        <v>8.81</v>
      </c>
      <c r="AX1288" s="5">
        <v>492</v>
      </c>
      <c r="AY1288" s="5">
        <v>74.5</v>
      </c>
      <c r="AZ1288" s="5" t="s">
        <v>75</v>
      </c>
      <c r="BA1288" s="5">
        <v>4.99</v>
      </c>
      <c r="BB1288" s="12" t="s">
        <v>76</v>
      </c>
      <c r="BC1288" s="5">
        <v>4.91</v>
      </c>
      <c r="BD1288" s="5">
        <v>93</v>
      </c>
      <c r="BE1288" s="5">
        <v>0.95</v>
      </c>
      <c r="BF1288" s="5">
        <v>1.85</v>
      </c>
      <c r="BG1288" s="15">
        <v>37</v>
      </c>
      <c r="BH1288" s="5" t="s">
        <v>76</v>
      </c>
      <c r="BI1288" s="5">
        <v>110</v>
      </c>
      <c r="BJ1288" s="5">
        <v>25</v>
      </c>
      <c r="BK1288" s="5">
        <v>104</v>
      </c>
      <c r="BL1288" s="5">
        <v>67</v>
      </c>
      <c r="BM1288" s="5" t="s">
        <v>77</v>
      </c>
      <c r="BN1288" s="5" t="s">
        <v>77</v>
      </c>
      <c r="BO1288" s="5" t="e">
        <f t="shared" si="20"/>
        <v>#VALUE!</v>
      </c>
      <c r="BP1288" s="5" t="s">
        <v>588</v>
      </c>
      <c r="BQ1288" s="5">
        <v>14.1</v>
      </c>
      <c r="BR1288" s="5">
        <v>763</v>
      </c>
    </row>
    <row r="1289" s="1" customFormat="1" spans="1:70">
      <c r="A1289" s="1" t="s">
        <v>2906</v>
      </c>
      <c r="B1289" s="1" t="s">
        <v>2907</v>
      </c>
      <c r="D1289" s="4">
        <v>45000</v>
      </c>
      <c r="E1289" s="4">
        <v>45009</v>
      </c>
      <c r="F1289" s="7">
        <v>28249</v>
      </c>
      <c r="G1289" s="1">
        <v>34</v>
      </c>
      <c r="H1289" s="1">
        <v>8</v>
      </c>
      <c r="I1289" s="1">
        <v>39</v>
      </c>
      <c r="J1289" s="1">
        <v>8</v>
      </c>
      <c r="K1289" s="1">
        <v>58</v>
      </c>
      <c r="L1289" s="1">
        <v>30</v>
      </c>
      <c r="M1289" s="1">
        <v>1.38</v>
      </c>
      <c r="N1289" s="1">
        <v>9.6</v>
      </c>
      <c r="O1289" s="7">
        <v>28249</v>
      </c>
      <c r="P1289" s="4">
        <v>45000</v>
      </c>
      <c r="Q1289" s="4">
        <v>45009</v>
      </c>
      <c r="R1289" s="1" t="s">
        <v>73</v>
      </c>
      <c r="AO1289" s="7">
        <v>28249</v>
      </c>
      <c r="AP1289" s="5" t="s">
        <v>1055</v>
      </c>
      <c r="AQ1289" s="5" t="s">
        <v>508</v>
      </c>
      <c r="AR1289" s="5" t="s">
        <v>2860</v>
      </c>
      <c r="AS1289" s="5" t="s">
        <v>76</v>
      </c>
      <c r="AT1289" s="5" t="s">
        <v>538</v>
      </c>
      <c r="AU1289" s="5" t="s">
        <v>512</v>
      </c>
      <c r="AV1289" s="5" t="s">
        <v>1083</v>
      </c>
      <c r="AW1289" s="5" t="s">
        <v>2908</v>
      </c>
      <c r="AX1289" s="5" t="s">
        <v>892</v>
      </c>
      <c r="AY1289" s="5" t="s">
        <v>125</v>
      </c>
      <c r="AZ1289" s="5" t="s">
        <v>75</v>
      </c>
      <c r="BA1289" s="5" t="s">
        <v>1147</v>
      </c>
      <c r="BB1289" s="12" t="s">
        <v>76</v>
      </c>
      <c r="BC1289" s="5" t="s">
        <v>2909</v>
      </c>
      <c r="BD1289" s="5" t="s">
        <v>508</v>
      </c>
      <c r="BE1289" s="5" t="s">
        <v>2910</v>
      </c>
      <c r="BF1289" s="5" t="s">
        <v>2911</v>
      </c>
      <c r="BG1289" s="15">
        <v>36.4</v>
      </c>
      <c r="BH1289" s="5" t="s">
        <v>232</v>
      </c>
      <c r="BI1289" s="5" t="s">
        <v>232</v>
      </c>
      <c r="BJ1289" s="5" t="s">
        <v>193</v>
      </c>
      <c r="BK1289" s="5" t="s">
        <v>499</v>
      </c>
      <c r="BL1289" s="5" t="s">
        <v>598</v>
      </c>
      <c r="BM1289" s="5" t="s">
        <v>195</v>
      </c>
      <c r="BN1289" s="5">
        <v>160</v>
      </c>
      <c r="BO1289" s="5">
        <f t="shared" si="20"/>
        <v>19.53125</v>
      </c>
      <c r="BP1289" s="5" t="s">
        <v>501</v>
      </c>
      <c r="BQ1289" s="5" t="s">
        <v>76</v>
      </c>
      <c r="BR1289" s="5">
        <v>1979</v>
      </c>
    </row>
    <row r="1290" s="1" customFormat="1" spans="1:70">
      <c r="A1290" s="1">
        <v>3304809</v>
      </c>
      <c r="B1290" s="1" t="s">
        <v>2912</v>
      </c>
      <c r="D1290" s="4">
        <v>44998</v>
      </c>
      <c r="E1290" s="4">
        <v>45001</v>
      </c>
      <c r="F1290" s="7">
        <v>28253</v>
      </c>
      <c r="G1290" s="1">
        <v>56</v>
      </c>
      <c r="H1290" s="1">
        <v>9</v>
      </c>
      <c r="I1290" s="1">
        <v>40</v>
      </c>
      <c r="J1290" s="1">
        <v>9</v>
      </c>
      <c r="K1290" s="1">
        <v>56</v>
      </c>
      <c r="L1290" s="1">
        <v>29</v>
      </c>
      <c r="O1290" s="7">
        <v>28253</v>
      </c>
      <c r="P1290" s="4">
        <v>44998</v>
      </c>
      <c r="Q1290" s="4">
        <v>45001</v>
      </c>
      <c r="R1290" s="1" t="s">
        <v>73</v>
      </c>
      <c r="AO1290" s="7">
        <v>28253</v>
      </c>
      <c r="AP1290" s="5">
        <v>7</v>
      </c>
      <c r="AQ1290" s="5">
        <v>151</v>
      </c>
      <c r="AR1290" s="5">
        <v>46.9</v>
      </c>
      <c r="AS1290" s="5">
        <v>11.6</v>
      </c>
      <c r="AT1290" s="5">
        <v>31</v>
      </c>
      <c r="AU1290" s="5">
        <v>28</v>
      </c>
      <c r="AV1290" s="5">
        <v>35.6</v>
      </c>
      <c r="AW1290" s="5">
        <v>5.31</v>
      </c>
      <c r="AX1290" s="5">
        <v>43</v>
      </c>
      <c r="AY1290" s="5" t="s">
        <v>125</v>
      </c>
      <c r="AZ1290" s="5" t="s">
        <v>375</v>
      </c>
      <c r="BA1290" s="5">
        <v>2.68</v>
      </c>
      <c r="BB1290" s="12" t="s">
        <v>76</v>
      </c>
      <c r="BC1290" s="5">
        <v>4.3</v>
      </c>
      <c r="BD1290" s="5">
        <v>151</v>
      </c>
      <c r="BE1290" s="5">
        <v>0.57</v>
      </c>
      <c r="BF1290" s="5">
        <v>1.25</v>
      </c>
      <c r="BG1290" s="15">
        <v>36.3</v>
      </c>
      <c r="BH1290" s="5">
        <v>138</v>
      </c>
      <c r="BI1290" s="5">
        <v>138</v>
      </c>
      <c r="BJ1290" s="5">
        <v>17</v>
      </c>
      <c r="BK1290" s="5">
        <v>102</v>
      </c>
      <c r="BL1290" s="5">
        <v>85</v>
      </c>
      <c r="BM1290" s="5">
        <v>60</v>
      </c>
      <c r="BN1290" s="5">
        <v>162</v>
      </c>
      <c r="BO1290" s="5">
        <f t="shared" si="20"/>
        <v>22.8623685413809</v>
      </c>
      <c r="BP1290" s="5" t="s">
        <v>121</v>
      </c>
      <c r="BQ1290" s="5">
        <v>11.6</v>
      </c>
      <c r="BR1290" s="5">
        <v>688</v>
      </c>
    </row>
    <row r="1291" s="1" customFormat="1" spans="1:70">
      <c r="A1291" s="1">
        <v>3477101</v>
      </c>
      <c r="B1291" s="1" t="s">
        <v>2913</v>
      </c>
      <c r="D1291" s="4">
        <v>45236</v>
      </c>
      <c r="E1291" s="4">
        <v>45264</v>
      </c>
      <c r="F1291" s="7">
        <v>28255</v>
      </c>
      <c r="G1291" s="1">
        <v>33</v>
      </c>
      <c r="H1291" s="1">
        <v>9</v>
      </c>
      <c r="I1291" s="1">
        <v>46</v>
      </c>
      <c r="J1291" s="1">
        <v>9</v>
      </c>
      <c r="K1291" s="1">
        <v>60</v>
      </c>
      <c r="L1291" s="1">
        <v>32</v>
      </c>
      <c r="M1291" s="9">
        <v>0.8</v>
      </c>
      <c r="N1291" s="1">
        <v>12.9</v>
      </c>
      <c r="O1291" s="7">
        <v>28255</v>
      </c>
      <c r="P1291" s="4">
        <v>45236</v>
      </c>
      <c r="Q1291" s="4">
        <v>45264</v>
      </c>
      <c r="R1291" s="1" t="s">
        <v>80</v>
      </c>
      <c r="AO1291" s="7">
        <v>28255</v>
      </c>
      <c r="AP1291" s="5">
        <v>9.8</v>
      </c>
      <c r="AQ1291" s="5">
        <v>97</v>
      </c>
      <c r="AR1291" s="5">
        <v>40.8</v>
      </c>
      <c r="AS1291" s="5">
        <v>297</v>
      </c>
      <c r="AT1291" s="5">
        <v>8</v>
      </c>
      <c r="AU1291" s="5">
        <v>9</v>
      </c>
      <c r="AV1291" s="5">
        <v>42.6</v>
      </c>
      <c r="AW1291" s="5">
        <v>9.54</v>
      </c>
      <c r="AX1291" s="5">
        <v>77</v>
      </c>
      <c r="AY1291" s="5" t="s">
        <v>125</v>
      </c>
      <c r="AZ1291" s="5" t="s">
        <v>75</v>
      </c>
      <c r="BA1291" s="5" t="s">
        <v>76</v>
      </c>
      <c r="BB1291" s="12" t="s">
        <v>76</v>
      </c>
      <c r="BC1291" s="5">
        <v>4.73</v>
      </c>
      <c r="BD1291" s="5">
        <v>97</v>
      </c>
      <c r="BE1291" s="5" t="s">
        <v>76</v>
      </c>
      <c r="BF1291" s="5" t="s">
        <v>76</v>
      </c>
      <c r="BG1291" s="15">
        <v>36.5</v>
      </c>
      <c r="BH1291" s="5">
        <v>78</v>
      </c>
      <c r="BI1291" s="5">
        <v>78</v>
      </c>
      <c r="BJ1291" s="5">
        <v>20</v>
      </c>
      <c r="BK1291" s="5">
        <v>120</v>
      </c>
      <c r="BL1291" s="5">
        <v>88</v>
      </c>
      <c r="BM1291" s="5">
        <v>79</v>
      </c>
      <c r="BN1291" s="5">
        <v>177</v>
      </c>
      <c r="BO1291" s="5">
        <f t="shared" si="20"/>
        <v>25.2162533116282</v>
      </c>
      <c r="BP1291" s="5" t="s">
        <v>618</v>
      </c>
      <c r="BQ1291" s="5" t="s">
        <v>76</v>
      </c>
      <c r="BR1291" s="5">
        <v>996</v>
      </c>
    </row>
    <row r="1292" s="1" customFormat="1" spans="1:70">
      <c r="A1292" s="1">
        <v>3268793</v>
      </c>
      <c r="B1292" s="1" t="s">
        <v>2914</v>
      </c>
      <c r="D1292" s="4">
        <v>44945</v>
      </c>
      <c r="E1292" s="4">
        <v>44957</v>
      </c>
      <c r="F1292" s="7">
        <v>28289</v>
      </c>
      <c r="G1292" s="1">
        <v>39</v>
      </c>
      <c r="H1292" s="1">
        <v>9</v>
      </c>
      <c r="I1292" s="1">
        <v>59</v>
      </c>
      <c r="J1292" s="1">
        <v>9</v>
      </c>
      <c r="K1292" s="1">
        <v>35</v>
      </c>
      <c r="L1292" s="1">
        <v>17</v>
      </c>
      <c r="M1292" s="1">
        <v>1.86</v>
      </c>
      <c r="N1292" s="1">
        <v>20.7</v>
      </c>
      <c r="O1292" s="7">
        <v>28289</v>
      </c>
      <c r="P1292" s="4">
        <v>44945</v>
      </c>
      <c r="Q1292" s="4">
        <v>44957</v>
      </c>
      <c r="R1292" s="1" t="s">
        <v>73</v>
      </c>
      <c r="AO1292" s="7">
        <v>28289</v>
      </c>
      <c r="AP1292" s="5">
        <v>9.3</v>
      </c>
      <c r="AQ1292" s="5">
        <v>140</v>
      </c>
      <c r="AR1292" s="5">
        <v>45</v>
      </c>
      <c r="AS1292" s="5">
        <v>79.9</v>
      </c>
      <c r="AT1292" s="5">
        <v>868</v>
      </c>
      <c r="AU1292" s="5">
        <v>74</v>
      </c>
      <c r="AV1292" s="5">
        <v>39.1</v>
      </c>
      <c r="AW1292" s="5">
        <v>8.85</v>
      </c>
      <c r="AX1292" s="5">
        <v>97</v>
      </c>
      <c r="AY1292" s="5">
        <v>92.52</v>
      </c>
      <c r="AZ1292" s="5">
        <v>5.71</v>
      </c>
      <c r="BA1292" s="5">
        <v>4.22</v>
      </c>
      <c r="BB1292" s="12" t="s">
        <v>76</v>
      </c>
      <c r="BC1292" s="5">
        <v>4.51</v>
      </c>
      <c r="BD1292" s="5">
        <v>140</v>
      </c>
      <c r="BE1292" s="5">
        <v>0.98</v>
      </c>
      <c r="BF1292" s="5">
        <v>2.73</v>
      </c>
      <c r="BG1292" s="15">
        <v>36.3</v>
      </c>
      <c r="BH1292" s="5">
        <v>98</v>
      </c>
      <c r="BI1292" s="5">
        <v>98</v>
      </c>
      <c r="BJ1292" s="5">
        <v>20</v>
      </c>
      <c r="BK1292" s="5">
        <v>116</v>
      </c>
      <c r="BL1292" s="5">
        <v>72</v>
      </c>
      <c r="BM1292" s="5">
        <v>60</v>
      </c>
      <c r="BN1292" s="5">
        <v>159</v>
      </c>
      <c r="BO1292" s="5">
        <f t="shared" si="20"/>
        <v>23.7332384003797</v>
      </c>
      <c r="BP1292" s="5" t="s">
        <v>323</v>
      </c>
      <c r="BQ1292" s="5">
        <v>5.4</v>
      </c>
      <c r="BR1292" s="5">
        <v>8989</v>
      </c>
    </row>
    <row r="1293" s="1" customFormat="1" spans="1:70">
      <c r="A1293" s="1">
        <v>3498193</v>
      </c>
      <c r="B1293" s="1" t="s">
        <v>2915</v>
      </c>
      <c r="D1293" s="4">
        <v>45264</v>
      </c>
      <c r="E1293" s="4">
        <v>45268</v>
      </c>
      <c r="F1293" s="7">
        <v>28304</v>
      </c>
      <c r="G1293" s="1">
        <v>38</v>
      </c>
      <c r="H1293" s="1">
        <v>8</v>
      </c>
      <c r="I1293" s="1">
        <v>48</v>
      </c>
      <c r="J1293" s="1">
        <v>8</v>
      </c>
      <c r="K1293" s="1">
        <v>62</v>
      </c>
      <c r="L1293" s="1">
        <v>34</v>
      </c>
      <c r="M1293" s="1">
        <v>0.79</v>
      </c>
      <c r="N1293" s="1">
        <v>11.2</v>
      </c>
      <c r="O1293" s="7">
        <v>28304</v>
      </c>
      <c r="P1293" s="4">
        <v>45264</v>
      </c>
      <c r="Q1293" s="4">
        <v>45268</v>
      </c>
      <c r="R1293" s="1" t="s">
        <v>73</v>
      </c>
      <c r="S1293" s="1">
        <v>46</v>
      </c>
      <c r="T1293" s="1" t="s">
        <v>2916</v>
      </c>
      <c r="AO1293" s="7">
        <v>28304</v>
      </c>
      <c r="AP1293" s="5">
        <v>6.1</v>
      </c>
      <c r="AQ1293" s="5">
        <v>126</v>
      </c>
      <c r="AR1293" s="5">
        <v>40</v>
      </c>
      <c r="AS1293" s="5">
        <v>1.8</v>
      </c>
      <c r="AT1293" s="5">
        <v>36</v>
      </c>
      <c r="AU1293" s="5">
        <v>48</v>
      </c>
      <c r="AV1293" s="5">
        <v>41.9</v>
      </c>
      <c r="AW1293" s="5">
        <v>3.95</v>
      </c>
      <c r="AX1293" s="5">
        <v>50</v>
      </c>
      <c r="AY1293" s="5" t="s">
        <v>125</v>
      </c>
      <c r="AZ1293" s="5" t="s">
        <v>75</v>
      </c>
      <c r="BA1293" s="5">
        <v>4.82</v>
      </c>
      <c r="BB1293" s="12" t="s">
        <v>76</v>
      </c>
      <c r="BC1293" s="5">
        <v>3.44</v>
      </c>
      <c r="BD1293" s="5">
        <v>126</v>
      </c>
      <c r="BE1293" s="5">
        <v>0.72</v>
      </c>
      <c r="BF1293" s="5">
        <v>3.08</v>
      </c>
      <c r="BG1293" s="15">
        <v>36.4</v>
      </c>
      <c r="BH1293" s="5">
        <v>64</v>
      </c>
      <c r="BI1293" s="5">
        <v>64</v>
      </c>
      <c r="BJ1293" s="5">
        <v>18</v>
      </c>
      <c r="BK1293" s="5">
        <v>128</v>
      </c>
      <c r="BL1293" s="5">
        <v>69</v>
      </c>
      <c r="BM1293" s="5">
        <v>72</v>
      </c>
      <c r="BN1293" s="5">
        <v>155</v>
      </c>
      <c r="BO1293" s="5">
        <f t="shared" si="20"/>
        <v>29.9687825182102</v>
      </c>
      <c r="BP1293" s="5" t="s">
        <v>78</v>
      </c>
      <c r="BQ1293" s="5">
        <v>5.8</v>
      </c>
      <c r="BR1293" s="5">
        <v>364</v>
      </c>
    </row>
    <row r="1294" s="1" customFormat="1" spans="1:70">
      <c r="A1294" s="1" t="s">
        <v>2917</v>
      </c>
      <c r="B1294" s="1" t="s">
        <v>2918</v>
      </c>
      <c r="D1294" s="4">
        <v>44963</v>
      </c>
      <c r="E1294" s="4">
        <v>44970</v>
      </c>
      <c r="F1294" s="7">
        <v>28320</v>
      </c>
      <c r="G1294" s="1">
        <v>38</v>
      </c>
      <c r="H1294" s="1">
        <v>10</v>
      </c>
      <c r="I1294" s="1">
        <v>46</v>
      </c>
      <c r="J1294" s="1">
        <v>10</v>
      </c>
      <c r="K1294" s="1">
        <v>60</v>
      </c>
      <c r="L1294" s="1">
        <v>31</v>
      </c>
      <c r="M1294" s="1">
        <v>0.66</v>
      </c>
      <c r="N1294" s="1">
        <v>8.4</v>
      </c>
      <c r="O1294" s="7">
        <v>28320</v>
      </c>
      <c r="P1294" s="4">
        <v>44963</v>
      </c>
      <c r="Q1294" s="4">
        <v>44970</v>
      </c>
      <c r="R1294" s="1" t="s">
        <v>73</v>
      </c>
      <c r="AO1294" s="7">
        <v>28320</v>
      </c>
      <c r="AP1294" s="5" t="s">
        <v>656</v>
      </c>
      <c r="AQ1294" s="5" t="s">
        <v>186</v>
      </c>
      <c r="AR1294" s="5" t="s">
        <v>130</v>
      </c>
      <c r="AS1294" s="5" t="s">
        <v>2919</v>
      </c>
      <c r="AT1294" s="5" t="s">
        <v>224</v>
      </c>
      <c r="AU1294" s="5" t="s">
        <v>129</v>
      </c>
      <c r="AV1294" s="5" t="s">
        <v>2049</v>
      </c>
      <c r="AW1294" s="5" t="s">
        <v>2920</v>
      </c>
      <c r="AX1294" s="5" t="s">
        <v>1161</v>
      </c>
      <c r="AY1294" s="5" t="s">
        <v>2921</v>
      </c>
      <c r="AZ1294" s="5" t="s">
        <v>75</v>
      </c>
      <c r="BA1294" s="5" t="s">
        <v>2922</v>
      </c>
      <c r="BB1294" s="12" t="s">
        <v>76</v>
      </c>
      <c r="BC1294" s="5" t="s">
        <v>2923</v>
      </c>
      <c r="BD1294" s="5" t="s">
        <v>186</v>
      </c>
      <c r="BE1294" s="5" t="s">
        <v>76</v>
      </c>
      <c r="BF1294" s="5" t="s">
        <v>76</v>
      </c>
      <c r="BG1294" s="15">
        <v>38.6</v>
      </c>
      <c r="BH1294" s="5" t="s">
        <v>825</v>
      </c>
      <c r="BI1294" s="5" t="s">
        <v>825</v>
      </c>
      <c r="BJ1294" s="5" t="s">
        <v>246</v>
      </c>
      <c r="BK1294" s="5" t="s">
        <v>508</v>
      </c>
      <c r="BL1294" s="5" t="s">
        <v>295</v>
      </c>
      <c r="BM1294" s="5" t="s">
        <v>195</v>
      </c>
      <c r="BN1294" s="5">
        <v>159</v>
      </c>
      <c r="BO1294" s="5">
        <f t="shared" si="20"/>
        <v>19.7776986669831</v>
      </c>
      <c r="BP1294" s="5" t="s">
        <v>501</v>
      </c>
      <c r="BQ1294" s="5" t="s">
        <v>1343</v>
      </c>
      <c r="BR1294" s="5">
        <v>2288</v>
      </c>
    </row>
    <row r="1295" s="1" customFormat="1" spans="1:70">
      <c r="A1295" s="1">
        <v>3268898</v>
      </c>
      <c r="B1295" s="1" t="s">
        <v>2924</v>
      </c>
      <c r="D1295" s="4">
        <v>44945</v>
      </c>
      <c r="E1295" s="4">
        <v>44963</v>
      </c>
      <c r="F1295" s="7">
        <v>28344</v>
      </c>
      <c r="G1295" s="1">
        <v>37</v>
      </c>
      <c r="H1295" s="1">
        <v>10</v>
      </c>
      <c r="I1295" s="1">
        <v>50</v>
      </c>
      <c r="J1295" s="1">
        <v>10</v>
      </c>
      <c r="K1295" s="1">
        <v>65</v>
      </c>
      <c r="L1295" s="1">
        <v>36</v>
      </c>
      <c r="M1295" s="1">
        <v>0.78</v>
      </c>
      <c r="N1295" s="1">
        <v>7.6</v>
      </c>
      <c r="O1295" s="7">
        <v>28344</v>
      </c>
      <c r="P1295" s="4">
        <v>44945</v>
      </c>
      <c r="Q1295" s="4">
        <v>44963</v>
      </c>
      <c r="R1295" s="1" t="s">
        <v>80</v>
      </c>
      <c r="S1295" s="1">
        <v>45</v>
      </c>
      <c r="T1295" s="1" t="s">
        <v>2925</v>
      </c>
      <c r="V1295" s="1">
        <v>1</v>
      </c>
      <c r="X1295" s="1">
        <v>1</v>
      </c>
      <c r="AA1295" s="1">
        <v>1</v>
      </c>
      <c r="AO1295" s="7">
        <v>28344</v>
      </c>
      <c r="AP1295" s="5">
        <v>8.3</v>
      </c>
      <c r="AQ1295" s="5">
        <v>182</v>
      </c>
      <c r="AR1295" s="5">
        <v>58.7</v>
      </c>
      <c r="AS1295" s="5">
        <v>3.1</v>
      </c>
      <c r="AT1295" s="5">
        <v>12</v>
      </c>
      <c r="AU1295" s="5">
        <v>14</v>
      </c>
      <c r="AV1295" s="5">
        <v>26.5</v>
      </c>
      <c r="AW1295" s="5">
        <v>4.77</v>
      </c>
      <c r="AX1295" s="5">
        <v>104</v>
      </c>
      <c r="AY1295" s="5">
        <v>71.21</v>
      </c>
      <c r="AZ1295" s="5" t="s">
        <v>375</v>
      </c>
      <c r="BA1295" s="5">
        <v>7.06</v>
      </c>
      <c r="BB1295" s="12" t="s">
        <v>76</v>
      </c>
      <c r="BC1295" s="5">
        <v>3.42</v>
      </c>
      <c r="BD1295" s="5">
        <v>182</v>
      </c>
      <c r="BE1295" s="5">
        <v>0.79</v>
      </c>
      <c r="BF1295" s="5">
        <v>5.03</v>
      </c>
      <c r="BG1295" s="15">
        <v>36.2</v>
      </c>
      <c r="BH1295" s="5">
        <v>67</v>
      </c>
      <c r="BI1295" s="5" t="s">
        <v>76</v>
      </c>
      <c r="BJ1295" s="5">
        <v>20</v>
      </c>
      <c r="BK1295" s="5">
        <v>162</v>
      </c>
      <c r="BL1295" s="5">
        <v>99</v>
      </c>
      <c r="BM1295" s="5">
        <v>75</v>
      </c>
      <c r="BN1295" s="5">
        <v>174</v>
      </c>
      <c r="BO1295" s="5">
        <f t="shared" si="20"/>
        <v>24.7720967102656</v>
      </c>
      <c r="BP1295" s="5" t="s">
        <v>438</v>
      </c>
      <c r="BQ1295" s="5" t="s">
        <v>76</v>
      </c>
      <c r="BR1295" s="5">
        <v>454</v>
      </c>
    </row>
    <row r="1296" s="1" customFormat="1" spans="1:70">
      <c r="A1296" s="1">
        <v>3266224</v>
      </c>
      <c r="B1296" s="1" t="s">
        <v>2926</v>
      </c>
      <c r="D1296" s="4">
        <v>44938</v>
      </c>
      <c r="E1296" s="4">
        <v>44945</v>
      </c>
      <c r="F1296" s="7">
        <v>28358</v>
      </c>
      <c r="G1296" s="1">
        <v>49</v>
      </c>
      <c r="H1296" s="1">
        <v>9</v>
      </c>
      <c r="I1296" s="1">
        <v>77</v>
      </c>
      <c r="J1296" s="1">
        <v>9</v>
      </c>
      <c r="K1296" s="1">
        <v>30</v>
      </c>
      <c r="L1296" s="1">
        <v>15</v>
      </c>
      <c r="M1296" s="1">
        <v>2.04</v>
      </c>
      <c r="N1296" s="10">
        <v>30</v>
      </c>
      <c r="O1296" s="7">
        <v>28358</v>
      </c>
      <c r="P1296" s="4">
        <v>44938</v>
      </c>
      <c r="Q1296" s="4">
        <v>44945</v>
      </c>
      <c r="R1296" s="1" t="s">
        <v>80</v>
      </c>
      <c r="AO1296" s="7">
        <v>28358</v>
      </c>
      <c r="AP1296" s="5">
        <v>5.4</v>
      </c>
      <c r="AQ1296" s="5">
        <v>136</v>
      </c>
      <c r="AR1296" s="5">
        <v>45.7</v>
      </c>
      <c r="AS1296" s="5">
        <v>4</v>
      </c>
      <c r="AT1296" s="5">
        <v>45</v>
      </c>
      <c r="AU1296" s="5">
        <v>34</v>
      </c>
      <c r="AV1296" s="5">
        <v>33.2</v>
      </c>
      <c r="AW1296" s="5">
        <v>8.77</v>
      </c>
      <c r="AX1296" s="5">
        <v>88</v>
      </c>
      <c r="AY1296" s="5">
        <v>86.35</v>
      </c>
      <c r="AZ1296" s="5" t="s">
        <v>75</v>
      </c>
      <c r="BA1296" s="5">
        <v>4.3</v>
      </c>
      <c r="BB1296" s="12" t="s">
        <v>76</v>
      </c>
      <c r="BC1296" s="5">
        <v>5.09</v>
      </c>
      <c r="BD1296" s="5">
        <v>136</v>
      </c>
      <c r="BE1296" s="5">
        <v>0.68</v>
      </c>
      <c r="BF1296" s="5">
        <v>2.99</v>
      </c>
      <c r="BG1296" s="15">
        <v>36.5</v>
      </c>
      <c r="BH1296" s="5">
        <v>92</v>
      </c>
      <c r="BI1296" s="5">
        <v>92</v>
      </c>
      <c r="BJ1296" s="5">
        <v>18</v>
      </c>
      <c r="BK1296" s="5">
        <v>91</v>
      </c>
      <c r="BL1296" s="5">
        <v>66</v>
      </c>
      <c r="BM1296" s="5">
        <v>70</v>
      </c>
      <c r="BN1296" s="5">
        <v>173</v>
      </c>
      <c r="BO1296" s="5">
        <f t="shared" si="20"/>
        <v>23.3886865581877</v>
      </c>
      <c r="BP1296" s="5" t="s">
        <v>121</v>
      </c>
      <c r="BQ1296" s="5">
        <v>5.8</v>
      </c>
      <c r="BR1296" s="5">
        <v>2605</v>
      </c>
    </row>
    <row r="1297" s="1" customFormat="1" spans="1:70">
      <c r="A1297" s="1">
        <v>3236697</v>
      </c>
      <c r="B1297" s="1" t="s">
        <v>2927</v>
      </c>
      <c r="D1297" s="4">
        <v>44878</v>
      </c>
      <c r="E1297" s="4">
        <v>44890</v>
      </c>
      <c r="F1297" s="7">
        <v>28407</v>
      </c>
      <c r="G1297" s="1">
        <v>39</v>
      </c>
      <c r="H1297" s="1">
        <v>9</v>
      </c>
      <c r="I1297" s="1">
        <v>45</v>
      </c>
      <c r="J1297" s="1">
        <v>9</v>
      </c>
      <c r="K1297" s="1">
        <v>57</v>
      </c>
      <c r="L1297" s="1">
        <v>30</v>
      </c>
      <c r="M1297" s="1">
        <v>2</v>
      </c>
      <c r="N1297" s="1">
        <v>10.4</v>
      </c>
      <c r="O1297" s="7">
        <v>28407</v>
      </c>
      <c r="P1297" s="4">
        <v>44878</v>
      </c>
      <c r="Q1297" s="4">
        <v>44890</v>
      </c>
      <c r="R1297" s="1" t="s">
        <v>80</v>
      </c>
      <c r="AO1297" s="7">
        <v>28407</v>
      </c>
      <c r="AP1297" s="5">
        <v>9.7</v>
      </c>
      <c r="AQ1297" s="5">
        <v>97</v>
      </c>
      <c r="AR1297" s="5">
        <v>54</v>
      </c>
      <c r="AS1297" s="5">
        <v>76.2</v>
      </c>
      <c r="AT1297" s="5">
        <v>58</v>
      </c>
      <c r="AU1297" s="5">
        <v>81</v>
      </c>
      <c r="AV1297" s="5">
        <v>44.9</v>
      </c>
      <c r="AW1297" s="5">
        <v>8.07</v>
      </c>
      <c r="AX1297" s="5">
        <v>66</v>
      </c>
      <c r="AY1297" s="5" t="s">
        <v>125</v>
      </c>
      <c r="AZ1297" s="5" t="s">
        <v>75</v>
      </c>
      <c r="BA1297" s="5" t="s">
        <v>76</v>
      </c>
      <c r="BB1297" s="12" t="s">
        <v>76</v>
      </c>
      <c r="BC1297" s="5">
        <v>4.87</v>
      </c>
      <c r="BD1297" s="5">
        <v>97</v>
      </c>
      <c r="BE1297" s="5" t="s">
        <v>76</v>
      </c>
      <c r="BF1297" s="5" t="s">
        <v>76</v>
      </c>
      <c r="BG1297" s="15">
        <v>37</v>
      </c>
      <c r="BH1297" s="5">
        <v>70</v>
      </c>
      <c r="BI1297" s="5" t="s">
        <v>76</v>
      </c>
      <c r="BJ1297" s="5">
        <v>16</v>
      </c>
      <c r="BK1297" s="5">
        <v>100</v>
      </c>
      <c r="BL1297" s="5">
        <v>50</v>
      </c>
      <c r="BM1297" s="5">
        <v>65</v>
      </c>
      <c r="BN1297" s="5">
        <v>178</v>
      </c>
      <c r="BO1297" s="5">
        <f t="shared" si="20"/>
        <v>20.5150864789799</v>
      </c>
      <c r="BP1297" s="5" t="s">
        <v>1450</v>
      </c>
      <c r="BQ1297" s="5">
        <v>5.5</v>
      </c>
      <c r="BR1297" s="5">
        <v>865</v>
      </c>
    </row>
    <row r="1298" s="1" customFormat="1" spans="1:70">
      <c r="A1298" s="1" t="s">
        <v>2928</v>
      </c>
      <c r="B1298" s="1" t="s">
        <v>2929</v>
      </c>
      <c r="D1298" s="4">
        <v>44980</v>
      </c>
      <c r="E1298" s="4">
        <v>44995</v>
      </c>
      <c r="F1298" s="7">
        <v>28445</v>
      </c>
      <c r="G1298" s="1">
        <v>44</v>
      </c>
      <c r="H1298" s="1">
        <v>10</v>
      </c>
      <c r="I1298" s="1">
        <v>52</v>
      </c>
      <c r="J1298" s="1">
        <v>10</v>
      </c>
      <c r="K1298" s="1">
        <v>60</v>
      </c>
      <c r="L1298" s="1">
        <v>32</v>
      </c>
      <c r="M1298" s="1">
        <v>1.2</v>
      </c>
      <c r="N1298" s="1">
        <v>21</v>
      </c>
      <c r="O1298" s="7">
        <v>28445</v>
      </c>
      <c r="P1298" s="4">
        <v>44980</v>
      </c>
      <c r="Q1298" s="4">
        <v>44995</v>
      </c>
      <c r="R1298" s="1" t="s">
        <v>73</v>
      </c>
      <c r="AO1298" s="7">
        <v>28445</v>
      </c>
      <c r="AP1298" s="5" t="s">
        <v>491</v>
      </c>
      <c r="AQ1298" s="5" t="s">
        <v>419</v>
      </c>
      <c r="AR1298" s="5" t="s">
        <v>768</v>
      </c>
      <c r="AS1298" s="5" t="s">
        <v>81</v>
      </c>
      <c r="AT1298" s="5" t="s">
        <v>319</v>
      </c>
      <c r="AU1298" s="5" t="s">
        <v>171</v>
      </c>
      <c r="AV1298" s="5" t="s">
        <v>1044</v>
      </c>
      <c r="AW1298" s="5" t="s">
        <v>2930</v>
      </c>
      <c r="AX1298" s="5" t="s">
        <v>2931</v>
      </c>
      <c r="AY1298" s="5" t="s">
        <v>2932</v>
      </c>
      <c r="AZ1298" s="5" t="s">
        <v>2933</v>
      </c>
      <c r="BA1298" s="5" t="s">
        <v>2934</v>
      </c>
      <c r="BB1298" s="12" t="s">
        <v>76</v>
      </c>
      <c r="BC1298" s="5" t="s">
        <v>786</v>
      </c>
      <c r="BD1298" s="5" t="s">
        <v>419</v>
      </c>
      <c r="BE1298" s="5" t="s">
        <v>2910</v>
      </c>
      <c r="BF1298" s="5" t="s">
        <v>2935</v>
      </c>
      <c r="BG1298" s="15">
        <v>36.6</v>
      </c>
      <c r="BH1298" s="5" t="s">
        <v>212</v>
      </c>
      <c r="BI1298" s="5" t="s">
        <v>173</v>
      </c>
      <c r="BJ1298" s="5" t="s">
        <v>319</v>
      </c>
      <c r="BK1298" s="5" t="s">
        <v>683</v>
      </c>
      <c r="BL1298" s="5" t="s">
        <v>205</v>
      </c>
      <c r="BM1298" s="5" t="s">
        <v>344</v>
      </c>
      <c r="BN1298" s="5">
        <v>160</v>
      </c>
      <c r="BO1298" s="5">
        <f t="shared" si="20"/>
        <v>21.09375</v>
      </c>
      <c r="BP1298" s="5" t="s">
        <v>542</v>
      </c>
      <c r="BQ1298" s="5" t="s">
        <v>979</v>
      </c>
      <c r="BR1298" s="5">
        <v>9775</v>
      </c>
    </row>
    <row r="1299" s="1" customFormat="1" spans="1:70">
      <c r="A1299" s="1">
        <v>3501569</v>
      </c>
      <c r="B1299" s="1" t="s">
        <v>2936</v>
      </c>
      <c r="D1299" s="4">
        <v>45268</v>
      </c>
      <c r="E1299" s="4">
        <v>45274</v>
      </c>
      <c r="F1299" s="7">
        <v>28692</v>
      </c>
      <c r="G1299" s="1">
        <v>49</v>
      </c>
      <c r="H1299" s="1">
        <v>12</v>
      </c>
      <c r="I1299" s="1">
        <v>52</v>
      </c>
      <c r="J1299" s="1">
        <v>12</v>
      </c>
      <c r="K1299" s="1">
        <v>62</v>
      </c>
      <c r="L1299" s="1">
        <v>34</v>
      </c>
      <c r="M1299" s="1">
        <v>1.33</v>
      </c>
      <c r="N1299" s="1">
        <v>10.8</v>
      </c>
      <c r="O1299" s="7">
        <v>28692</v>
      </c>
      <c r="P1299" s="4">
        <v>45268</v>
      </c>
      <c r="Q1299" s="4">
        <v>45274</v>
      </c>
      <c r="R1299" s="1" t="s">
        <v>80</v>
      </c>
      <c r="AO1299" s="7">
        <v>28692</v>
      </c>
      <c r="AP1299" s="5">
        <v>6.2</v>
      </c>
      <c r="AQ1299" s="5">
        <v>93</v>
      </c>
      <c r="AR1299" s="5">
        <v>33.9</v>
      </c>
      <c r="AS1299" s="5">
        <v>8.7</v>
      </c>
      <c r="AT1299" s="5">
        <v>27</v>
      </c>
      <c r="AU1299" s="5">
        <v>25</v>
      </c>
      <c r="AV1299" s="5">
        <v>34.1</v>
      </c>
      <c r="AW1299" s="5">
        <v>14.48</v>
      </c>
      <c r="AX1299" s="5">
        <v>238</v>
      </c>
      <c r="AY1299" s="5">
        <v>28.07</v>
      </c>
      <c r="AZ1299" s="5">
        <v>5.27</v>
      </c>
      <c r="BA1299" s="5">
        <v>4.59</v>
      </c>
      <c r="BB1299" s="12" t="s">
        <v>76</v>
      </c>
      <c r="BC1299" s="5" t="s">
        <v>4</v>
      </c>
      <c r="BD1299" s="5">
        <v>93</v>
      </c>
      <c r="BE1299" s="5" t="s">
        <v>76</v>
      </c>
      <c r="BF1299" s="5" t="s">
        <v>76</v>
      </c>
      <c r="BG1299" s="15">
        <v>36.6</v>
      </c>
      <c r="BH1299" s="5">
        <v>100</v>
      </c>
      <c r="BI1299" s="5">
        <v>100</v>
      </c>
      <c r="BJ1299" s="5">
        <v>18</v>
      </c>
      <c r="BK1299" s="5">
        <v>166</v>
      </c>
      <c r="BL1299" s="5">
        <v>68</v>
      </c>
      <c r="BM1299" s="5">
        <v>105</v>
      </c>
      <c r="BN1299" s="5">
        <v>175</v>
      </c>
      <c r="BO1299" s="5">
        <f t="shared" si="20"/>
        <v>34.2857142857143</v>
      </c>
      <c r="BP1299" s="5" t="s">
        <v>415</v>
      </c>
      <c r="BQ1299" s="5">
        <v>9</v>
      </c>
      <c r="BR1299" s="5">
        <v>767</v>
      </c>
    </row>
    <row r="1300" s="1" customFormat="1" spans="1:70">
      <c r="A1300" s="1">
        <v>3287999</v>
      </c>
      <c r="B1300" s="1" t="s">
        <v>2937</v>
      </c>
      <c r="D1300" s="4">
        <v>44974</v>
      </c>
      <c r="E1300" s="4">
        <v>45001</v>
      </c>
      <c r="F1300" s="7">
        <v>28779</v>
      </c>
      <c r="G1300" s="1">
        <v>32</v>
      </c>
      <c r="H1300" s="1">
        <v>8</v>
      </c>
      <c r="I1300" s="1">
        <v>44</v>
      </c>
      <c r="J1300" s="1">
        <v>8</v>
      </c>
      <c r="K1300" s="1">
        <v>63</v>
      </c>
      <c r="L1300" s="1">
        <v>34</v>
      </c>
      <c r="M1300" s="1">
        <v>0.57</v>
      </c>
      <c r="N1300" s="1">
        <v>6.1</v>
      </c>
      <c r="O1300" s="7">
        <v>28779</v>
      </c>
      <c r="P1300" s="4">
        <v>44974</v>
      </c>
      <c r="Q1300" s="4">
        <v>45001</v>
      </c>
      <c r="R1300" s="1" t="s">
        <v>73</v>
      </c>
      <c r="AO1300" s="7">
        <v>28779</v>
      </c>
      <c r="AP1300" s="5">
        <v>8.6</v>
      </c>
      <c r="AQ1300" s="5">
        <v>86</v>
      </c>
      <c r="AR1300" s="5">
        <v>28</v>
      </c>
      <c r="AS1300" s="5">
        <v>82</v>
      </c>
      <c r="AT1300" s="5">
        <v>51</v>
      </c>
      <c r="AU1300" s="5">
        <v>49</v>
      </c>
      <c r="AV1300" s="5">
        <v>43.2</v>
      </c>
      <c r="AW1300" s="5">
        <v>54.32</v>
      </c>
      <c r="AX1300" s="5">
        <v>433</v>
      </c>
      <c r="AY1300" s="5">
        <v>24.53</v>
      </c>
      <c r="AZ1300" s="5" t="s">
        <v>75</v>
      </c>
      <c r="BA1300" s="5" t="s">
        <v>76</v>
      </c>
      <c r="BB1300" s="12" t="s">
        <v>76</v>
      </c>
      <c r="BC1300" s="5" t="s">
        <v>4</v>
      </c>
      <c r="BD1300" s="5">
        <v>86</v>
      </c>
      <c r="BE1300" s="5" t="s">
        <v>76</v>
      </c>
      <c r="BF1300" s="5" t="s">
        <v>76</v>
      </c>
      <c r="BG1300" s="15">
        <v>36.5</v>
      </c>
      <c r="BH1300" s="5">
        <v>78</v>
      </c>
      <c r="BI1300" s="5">
        <v>78</v>
      </c>
      <c r="BJ1300" s="5">
        <v>14</v>
      </c>
      <c r="BK1300" s="5">
        <v>119</v>
      </c>
      <c r="BL1300" s="5">
        <v>67</v>
      </c>
      <c r="BM1300" s="5">
        <v>49</v>
      </c>
      <c r="BN1300" s="5">
        <v>163</v>
      </c>
      <c r="BO1300" s="5">
        <f t="shared" si="20"/>
        <v>18.4425458240807</v>
      </c>
      <c r="BP1300" s="5" t="s">
        <v>300</v>
      </c>
      <c r="BQ1300" s="5" t="s">
        <v>76</v>
      </c>
      <c r="BR1300" s="5">
        <v>552</v>
      </c>
    </row>
    <row r="1301" s="1" customFormat="1" spans="1:70">
      <c r="A1301" s="1" t="s">
        <v>2938</v>
      </c>
      <c r="B1301" s="1" t="s">
        <v>2939</v>
      </c>
      <c r="C1301" s="1">
        <v>1</v>
      </c>
      <c r="D1301" s="4">
        <v>44957</v>
      </c>
      <c r="E1301" s="4">
        <v>44971</v>
      </c>
      <c r="F1301" s="7">
        <v>28804</v>
      </c>
      <c r="G1301" s="1">
        <v>38</v>
      </c>
      <c r="H1301" s="1">
        <v>9</v>
      </c>
      <c r="I1301" s="1">
        <v>52</v>
      </c>
      <c r="J1301" s="1">
        <v>9</v>
      </c>
      <c r="K1301" s="1">
        <v>60</v>
      </c>
      <c r="L1301" s="1">
        <v>32</v>
      </c>
      <c r="M1301" s="1">
        <v>0.78</v>
      </c>
      <c r="N1301" s="1">
        <v>9.1</v>
      </c>
      <c r="O1301" s="7">
        <v>28804</v>
      </c>
      <c r="P1301" s="4">
        <v>44957</v>
      </c>
      <c r="Q1301" s="4">
        <v>44971</v>
      </c>
      <c r="R1301" s="1" t="s">
        <v>73</v>
      </c>
      <c r="AO1301" s="7">
        <v>28804</v>
      </c>
      <c r="AP1301" s="5" t="s">
        <v>2940</v>
      </c>
      <c r="AQ1301" s="5" t="s">
        <v>245</v>
      </c>
      <c r="AR1301" s="5" t="s">
        <v>781</v>
      </c>
      <c r="AS1301" s="5" t="s">
        <v>2941</v>
      </c>
      <c r="AT1301" s="5" t="s">
        <v>331</v>
      </c>
      <c r="AU1301" s="5" t="s">
        <v>225</v>
      </c>
      <c r="AV1301" s="5" t="s">
        <v>474</v>
      </c>
      <c r="AW1301" s="5" t="s">
        <v>2942</v>
      </c>
      <c r="AX1301" s="5" t="s">
        <v>2943</v>
      </c>
      <c r="AY1301" s="5" t="s">
        <v>2072</v>
      </c>
      <c r="AZ1301" s="5" t="s">
        <v>75</v>
      </c>
      <c r="BA1301" s="5" t="s">
        <v>76</v>
      </c>
      <c r="BB1301" s="12" t="s">
        <v>76</v>
      </c>
      <c r="BC1301" s="5" t="s">
        <v>466</v>
      </c>
      <c r="BD1301" s="5" t="s">
        <v>245</v>
      </c>
      <c r="BE1301" s="5" t="s">
        <v>76</v>
      </c>
      <c r="BF1301" s="5" t="s">
        <v>76</v>
      </c>
      <c r="BG1301" s="15">
        <v>36.5</v>
      </c>
      <c r="BH1301" s="5" t="s">
        <v>192</v>
      </c>
      <c r="BI1301" s="5" t="s">
        <v>192</v>
      </c>
      <c r="BJ1301" s="5" t="s">
        <v>101</v>
      </c>
      <c r="BK1301" s="5" t="s">
        <v>450</v>
      </c>
      <c r="BL1301" s="5" t="s">
        <v>350</v>
      </c>
      <c r="BM1301" s="5" t="s">
        <v>195</v>
      </c>
      <c r="BN1301" s="5">
        <v>163</v>
      </c>
      <c r="BO1301" s="5">
        <f t="shared" si="20"/>
        <v>18.8189243102864</v>
      </c>
      <c r="BP1301" s="5" t="s">
        <v>2944</v>
      </c>
      <c r="BQ1301" s="5" t="s">
        <v>76</v>
      </c>
      <c r="BR1301" s="5">
        <v>18023</v>
      </c>
    </row>
    <row r="1302" s="1" customFormat="1" spans="1:70">
      <c r="A1302" s="1">
        <v>3316620</v>
      </c>
      <c r="B1302" s="1" t="s">
        <v>2945</v>
      </c>
      <c r="D1302" s="4">
        <v>45013</v>
      </c>
      <c r="E1302" s="4">
        <v>45022</v>
      </c>
      <c r="F1302" s="7">
        <v>28850</v>
      </c>
      <c r="G1302" s="1">
        <v>36</v>
      </c>
      <c r="H1302" s="1">
        <v>8</v>
      </c>
      <c r="I1302" s="1">
        <v>44</v>
      </c>
      <c r="J1302" s="1">
        <v>8</v>
      </c>
      <c r="K1302" s="1">
        <v>64</v>
      </c>
      <c r="L1302" s="1">
        <v>35</v>
      </c>
      <c r="M1302" s="1">
        <v>0.75</v>
      </c>
      <c r="N1302" s="1">
        <v>18.9</v>
      </c>
      <c r="O1302" s="7">
        <v>28850</v>
      </c>
      <c r="P1302" s="4">
        <v>45013</v>
      </c>
      <c r="Q1302" s="4">
        <v>45022</v>
      </c>
      <c r="R1302" s="1" t="s">
        <v>73</v>
      </c>
      <c r="S1302" s="1">
        <v>44</v>
      </c>
      <c r="T1302" s="1" t="s">
        <v>2946</v>
      </c>
      <c r="V1302" s="1" t="s">
        <v>155</v>
      </c>
      <c r="X1302" s="1" t="s">
        <v>155</v>
      </c>
      <c r="AA1302" s="1" t="s">
        <v>155</v>
      </c>
      <c r="AM1302" s="1">
        <v>1</v>
      </c>
      <c r="AO1302" s="7">
        <v>28850</v>
      </c>
      <c r="AP1302" s="5">
        <v>959.2</v>
      </c>
      <c r="AQ1302" s="5">
        <v>87</v>
      </c>
      <c r="AR1302" s="5">
        <v>27.4</v>
      </c>
      <c r="AS1302" s="5">
        <v>2.3</v>
      </c>
      <c r="AT1302" s="5">
        <v>11</v>
      </c>
      <c r="AU1302" s="5">
        <v>9</v>
      </c>
      <c r="AV1302" s="5">
        <v>35.8</v>
      </c>
      <c r="AW1302" s="5">
        <v>11.19</v>
      </c>
      <c r="AX1302" s="5">
        <v>135</v>
      </c>
      <c r="AY1302" s="5">
        <v>45.88</v>
      </c>
      <c r="AZ1302" s="5" t="s">
        <v>75</v>
      </c>
      <c r="BA1302" s="5">
        <v>4.25</v>
      </c>
      <c r="BB1302" s="12" t="s">
        <v>76</v>
      </c>
      <c r="BC1302" s="5">
        <v>4.8</v>
      </c>
      <c r="BD1302" s="5">
        <v>87</v>
      </c>
      <c r="BE1302" s="5">
        <v>0.83</v>
      </c>
      <c r="BF1302" s="5">
        <v>2.56</v>
      </c>
      <c r="BG1302" s="15">
        <v>37</v>
      </c>
      <c r="BH1302" s="5">
        <v>101</v>
      </c>
      <c r="BI1302" s="5" t="s">
        <v>76</v>
      </c>
      <c r="BJ1302" s="5">
        <v>16</v>
      </c>
      <c r="BK1302" s="5">
        <v>192</v>
      </c>
      <c r="BL1302" s="5">
        <v>90</v>
      </c>
      <c r="BM1302" s="5">
        <v>70</v>
      </c>
      <c r="BN1302" s="5">
        <v>155</v>
      </c>
      <c r="BO1302" s="5">
        <f t="shared" si="20"/>
        <v>29.1363163371488</v>
      </c>
      <c r="BP1302" s="5" t="s">
        <v>415</v>
      </c>
      <c r="BQ1302" s="5">
        <v>7</v>
      </c>
      <c r="BR1302" s="5">
        <v>992</v>
      </c>
    </row>
    <row r="1303" s="1" customFormat="1" spans="1:70">
      <c r="A1303" s="1">
        <v>3503254</v>
      </c>
      <c r="B1303" s="1" t="s">
        <v>2947</v>
      </c>
      <c r="C1303" s="1">
        <v>1</v>
      </c>
      <c r="D1303" s="4">
        <v>45271</v>
      </c>
      <c r="E1303" s="4">
        <v>45285</v>
      </c>
      <c r="F1303" s="7">
        <v>28892</v>
      </c>
      <c r="G1303" s="1">
        <v>29</v>
      </c>
      <c r="H1303" s="1">
        <v>8</v>
      </c>
      <c r="I1303" s="1">
        <v>41</v>
      </c>
      <c r="J1303" s="1">
        <v>8</v>
      </c>
      <c r="K1303" s="1">
        <v>61</v>
      </c>
      <c r="L1303" s="1">
        <v>33</v>
      </c>
      <c r="M1303" s="1">
        <v>1.57</v>
      </c>
      <c r="N1303" s="1">
        <v>9.1</v>
      </c>
      <c r="O1303" s="7">
        <v>28892</v>
      </c>
      <c r="P1303" s="4">
        <v>45271</v>
      </c>
      <c r="Q1303" s="4">
        <v>45285</v>
      </c>
      <c r="R1303" s="1" t="s">
        <v>73</v>
      </c>
      <c r="AO1303" s="7">
        <v>28892</v>
      </c>
      <c r="AP1303" s="5">
        <v>9.8</v>
      </c>
      <c r="AQ1303" s="5">
        <v>81</v>
      </c>
      <c r="AR1303" s="5">
        <v>7.9</v>
      </c>
      <c r="AS1303" s="5">
        <v>251.5</v>
      </c>
      <c r="AT1303" s="5">
        <v>23</v>
      </c>
      <c r="AU1303" s="5" t="s">
        <v>171</v>
      </c>
      <c r="AV1303" s="5">
        <v>32.1</v>
      </c>
      <c r="AW1303" s="5">
        <v>34.4</v>
      </c>
      <c r="AX1303" s="5">
        <v>508</v>
      </c>
      <c r="AY1303" s="5">
        <v>21.78</v>
      </c>
      <c r="AZ1303" s="5" t="s">
        <v>75</v>
      </c>
      <c r="BA1303" s="5">
        <v>3.29</v>
      </c>
      <c r="BB1303" s="12" t="s">
        <v>76</v>
      </c>
      <c r="BC1303" s="5">
        <v>8.02</v>
      </c>
      <c r="BD1303" s="5">
        <v>81</v>
      </c>
      <c r="BE1303" s="5" t="s">
        <v>76</v>
      </c>
      <c r="BF1303" s="5" t="s">
        <v>76</v>
      </c>
      <c r="BG1303" s="15">
        <v>36.3</v>
      </c>
      <c r="BH1303" s="5">
        <v>77</v>
      </c>
      <c r="BI1303" s="5">
        <v>77</v>
      </c>
      <c r="BJ1303" s="5">
        <v>20</v>
      </c>
      <c r="BK1303" s="5">
        <v>137</v>
      </c>
      <c r="BL1303" s="5">
        <v>90</v>
      </c>
      <c r="BM1303" s="5">
        <v>65</v>
      </c>
      <c r="BN1303" s="5">
        <v>158</v>
      </c>
      <c r="BO1303" s="5">
        <f t="shared" si="20"/>
        <v>26.0374939913475</v>
      </c>
      <c r="BP1303" s="5" t="s">
        <v>622</v>
      </c>
      <c r="BQ1303" s="5" t="s">
        <v>76</v>
      </c>
      <c r="BR1303" s="5" t="s">
        <v>1423</v>
      </c>
    </row>
    <row r="1304" s="1" customFormat="1" spans="1:70">
      <c r="A1304" s="1" t="s">
        <v>2948</v>
      </c>
      <c r="B1304" s="1" t="s">
        <v>2949</v>
      </c>
      <c r="C1304" s="1">
        <v>1</v>
      </c>
      <c r="D1304" s="4">
        <v>44908</v>
      </c>
      <c r="E1304" s="4">
        <v>44932</v>
      </c>
      <c r="F1304" s="7">
        <v>28916</v>
      </c>
      <c r="G1304" s="1">
        <v>46</v>
      </c>
      <c r="H1304" s="1">
        <v>10</v>
      </c>
      <c r="I1304" s="1">
        <v>57</v>
      </c>
      <c r="J1304" s="1">
        <v>10</v>
      </c>
      <c r="K1304" s="1">
        <v>56</v>
      </c>
      <c r="L1304" s="1">
        <v>29</v>
      </c>
      <c r="M1304" s="1">
        <v>1.45</v>
      </c>
      <c r="N1304" s="1">
        <v>11</v>
      </c>
      <c r="O1304" s="7">
        <v>28916</v>
      </c>
      <c r="P1304" s="4">
        <v>44908</v>
      </c>
      <c r="Q1304" s="4">
        <v>44932</v>
      </c>
      <c r="R1304" s="1" t="s">
        <v>80</v>
      </c>
      <c r="S1304" s="1">
        <v>43</v>
      </c>
      <c r="T1304" s="1">
        <v>15738133595</v>
      </c>
      <c r="AA1304" s="1">
        <v>1</v>
      </c>
      <c r="AM1304" s="1">
        <v>1</v>
      </c>
      <c r="AN1304" s="1">
        <v>1</v>
      </c>
      <c r="AO1304" s="7">
        <v>28916</v>
      </c>
      <c r="AP1304" s="5" t="s">
        <v>889</v>
      </c>
      <c r="AQ1304" s="5" t="s">
        <v>207</v>
      </c>
      <c r="AR1304" s="5" t="s">
        <v>1432</v>
      </c>
      <c r="AS1304" s="5" t="s">
        <v>381</v>
      </c>
      <c r="AT1304" s="5" t="s">
        <v>195</v>
      </c>
      <c r="AU1304" s="5" t="s">
        <v>171</v>
      </c>
      <c r="AV1304" s="5" t="s">
        <v>423</v>
      </c>
      <c r="AW1304" s="5" t="s">
        <v>2950</v>
      </c>
      <c r="AX1304" s="5" t="s">
        <v>2951</v>
      </c>
      <c r="AY1304" s="5" t="s">
        <v>2952</v>
      </c>
      <c r="AZ1304" s="5" t="s">
        <v>2953</v>
      </c>
      <c r="BA1304" s="5" t="s">
        <v>2288</v>
      </c>
      <c r="BB1304" s="12" t="s">
        <v>76</v>
      </c>
      <c r="BC1304" s="5" t="s">
        <v>4</v>
      </c>
      <c r="BD1304" s="5" t="s">
        <v>207</v>
      </c>
      <c r="BE1304" s="5" t="s">
        <v>2954</v>
      </c>
      <c r="BF1304" s="5" t="s">
        <v>1912</v>
      </c>
      <c r="BG1304" s="15">
        <v>36.3</v>
      </c>
      <c r="BH1304" s="5" t="s">
        <v>204</v>
      </c>
      <c r="BI1304" s="5" t="s">
        <v>204</v>
      </c>
      <c r="BJ1304" s="5" t="s">
        <v>769</v>
      </c>
      <c r="BK1304" s="5" t="s">
        <v>473</v>
      </c>
      <c r="BL1304" s="5" t="s">
        <v>425</v>
      </c>
      <c r="BM1304" s="5" t="s">
        <v>96</v>
      </c>
      <c r="BN1304" s="5">
        <v>169</v>
      </c>
      <c r="BO1304" s="5">
        <f t="shared" si="20"/>
        <v>20.6575400021008</v>
      </c>
      <c r="BP1304" s="5" t="s">
        <v>1167</v>
      </c>
      <c r="BQ1304" s="5" t="s">
        <v>76</v>
      </c>
      <c r="BR1304" s="5" t="s">
        <v>118</v>
      </c>
    </row>
    <row r="1305" s="1" customFormat="1" spans="1:70">
      <c r="A1305" s="1">
        <v>3242333</v>
      </c>
      <c r="B1305" s="1" t="s">
        <v>2955</v>
      </c>
      <c r="D1305" s="4">
        <v>44886</v>
      </c>
      <c r="E1305" s="4">
        <v>44890</v>
      </c>
      <c r="F1305" s="7">
        <v>28961</v>
      </c>
      <c r="G1305" s="1">
        <v>34</v>
      </c>
      <c r="H1305" s="1">
        <v>9</v>
      </c>
      <c r="I1305" s="1">
        <v>46</v>
      </c>
      <c r="J1305" s="1">
        <v>9</v>
      </c>
      <c r="K1305" s="1">
        <v>64</v>
      </c>
      <c r="L1305" s="1">
        <v>35</v>
      </c>
      <c r="M1305" s="1">
        <v>0.87</v>
      </c>
      <c r="N1305" s="1">
        <v>5.6</v>
      </c>
      <c r="O1305" s="7">
        <v>28961</v>
      </c>
      <c r="P1305" s="4">
        <v>44886</v>
      </c>
      <c r="Q1305" s="4">
        <v>44890</v>
      </c>
      <c r="R1305" s="1" t="s">
        <v>73</v>
      </c>
      <c r="AO1305" s="7">
        <v>28961</v>
      </c>
      <c r="AP1305" s="5">
        <v>9.5</v>
      </c>
      <c r="AQ1305" s="5">
        <v>126</v>
      </c>
      <c r="AR1305" s="5">
        <v>40.6</v>
      </c>
      <c r="AS1305" s="5">
        <v>5.7</v>
      </c>
      <c r="AT1305" s="5">
        <v>22</v>
      </c>
      <c r="AU1305" s="5">
        <v>33</v>
      </c>
      <c r="AV1305" s="5">
        <v>37.5</v>
      </c>
      <c r="AW1305" s="5">
        <v>4.1</v>
      </c>
      <c r="AX1305" s="5">
        <v>65</v>
      </c>
      <c r="AY1305" s="5" t="s">
        <v>76</v>
      </c>
      <c r="AZ1305" s="5" t="s">
        <v>75</v>
      </c>
      <c r="BA1305" s="5">
        <v>4.73</v>
      </c>
      <c r="BB1305" s="12" t="s">
        <v>76</v>
      </c>
      <c r="BC1305" s="5">
        <v>3.97</v>
      </c>
      <c r="BD1305" s="5">
        <v>126</v>
      </c>
      <c r="BE1305" s="5" t="s">
        <v>76</v>
      </c>
      <c r="BF1305" s="5" t="s">
        <v>76</v>
      </c>
      <c r="BG1305" s="15">
        <v>36.6</v>
      </c>
      <c r="BH1305" s="5" t="s">
        <v>76</v>
      </c>
      <c r="BI1305" s="5">
        <v>75</v>
      </c>
      <c r="BJ1305" s="5">
        <v>16</v>
      </c>
      <c r="BK1305" s="5">
        <v>120</v>
      </c>
      <c r="BL1305" s="5">
        <v>75</v>
      </c>
      <c r="BM1305" s="5">
        <v>75</v>
      </c>
      <c r="BN1305" s="5">
        <v>150</v>
      </c>
      <c r="BO1305" s="5">
        <f t="shared" si="20"/>
        <v>33.3333333333333</v>
      </c>
      <c r="BP1305" s="5" t="s">
        <v>164</v>
      </c>
      <c r="BQ1305" s="5">
        <v>5.2</v>
      </c>
      <c r="BR1305" s="5">
        <v>326.5</v>
      </c>
    </row>
    <row r="1306" s="1" customFormat="1" spans="1:70">
      <c r="A1306" s="1">
        <v>3255132</v>
      </c>
      <c r="B1306" s="1" t="s">
        <v>2956</v>
      </c>
      <c r="D1306" s="4">
        <v>44917</v>
      </c>
      <c r="E1306" s="4">
        <v>44929</v>
      </c>
      <c r="F1306" s="7">
        <v>28982</v>
      </c>
      <c r="G1306" s="1">
        <v>32</v>
      </c>
      <c r="H1306" s="1">
        <v>9</v>
      </c>
      <c r="I1306" s="1">
        <v>41</v>
      </c>
      <c r="J1306" s="1">
        <v>9</v>
      </c>
      <c r="K1306" s="1">
        <v>63</v>
      </c>
      <c r="L1306" s="1">
        <v>34</v>
      </c>
      <c r="M1306" s="1">
        <v>1.67</v>
      </c>
      <c r="N1306" s="1">
        <v>9.7</v>
      </c>
      <c r="O1306" s="7">
        <v>28982</v>
      </c>
      <c r="P1306" s="4">
        <v>44917</v>
      </c>
      <c r="Q1306" s="4">
        <v>44929</v>
      </c>
      <c r="R1306" s="1" t="s">
        <v>80</v>
      </c>
      <c r="AO1306" s="7">
        <v>28982</v>
      </c>
      <c r="AP1306" s="5">
        <v>6.8</v>
      </c>
      <c r="AQ1306" s="5">
        <v>98</v>
      </c>
      <c r="AR1306" s="5">
        <v>36.7</v>
      </c>
      <c r="AS1306" s="5">
        <v>286</v>
      </c>
      <c r="AT1306" s="5">
        <v>95</v>
      </c>
      <c r="AU1306" s="5">
        <v>63</v>
      </c>
      <c r="AV1306" s="5">
        <v>29</v>
      </c>
      <c r="AW1306" s="5">
        <v>47.48</v>
      </c>
      <c r="AX1306" s="5">
        <v>413</v>
      </c>
      <c r="AY1306" s="5">
        <v>21.33</v>
      </c>
      <c r="AZ1306" s="5">
        <v>9.4</v>
      </c>
      <c r="BA1306" s="5" t="s">
        <v>2309</v>
      </c>
      <c r="BB1306" s="12" t="s">
        <v>76</v>
      </c>
      <c r="BC1306" s="5">
        <v>4.69</v>
      </c>
      <c r="BD1306" s="5">
        <v>98</v>
      </c>
      <c r="BE1306" s="5" t="s">
        <v>76</v>
      </c>
      <c r="BF1306" s="5" t="s">
        <v>76</v>
      </c>
      <c r="BG1306" s="15">
        <v>36.3</v>
      </c>
      <c r="BH1306" s="5" t="s">
        <v>76</v>
      </c>
      <c r="BI1306" s="5">
        <v>112</v>
      </c>
      <c r="BJ1306" s="5">
        <v>12</v>
      </c>
      <c r="BK1306" s="5">
        <v>80</v>
      </c>
      <c r="BL1306" s="5">
        <v>48</v>
      </c>
      <c r="BM1306" s="5" t="s">
        <v>77</v>
      </c>
      <c r="BN1306" s="5" t="s">
        <v>77</v>
      </c>
      <c r="BO1306" s="5" t="e">
        <f t="shared" si="20"/>
        <v>#VALUE!</v>
      </c>
      <c r="BP1306" s="5" t="s">
        <v>117</v>
      </c>
      <c r="BQ1306" s="5">
        <v>11.6</v>
      </c>
      <c r="BR1306" s="5">
        <v>8762</v>
      </c>
    </row>
    <row r="1307" s="1" customFormat="1" spans="1:70">
      <c r="A1307" s="1">
        <v>3274614</v>
      </c>
      <c r="B1307" s="1" t="s">
        <v>2957</v>
      </c>
      <c r="D1307" s="4">
        <v>44956</v>
      </c>
      <c r="E1307" s="4">
        <v>44962</v>
      </c>
      <c r="F1307" s="7">
        <v>29063</v>
      </c>
      <c r="G1307" s="1">
        <v>36</v>
      </c>
      <c r="H1307" s="1">
        <v>9</v>
      </c>
      <c r="I1307" s="1">
        <v>51</v>
      </c>
      <c r="J1307" s="1">
        <v>9</v>
      </c>
      <c r="K1307" s="1">
        <v>49</v>
      </c>
      <c r="L1307" s="1">
        <v>25</v>
      </c>
      <c r="M1307" s="1">
        <v>1.16</v>
      </c>
      <c r="N1307" s="10">
        <v>12</v>
      </c>
      <c r="O1307" s="7">
        <v>29063</v>
      </c>
      <c r="P1307" s="4">
        <v>44956</v>
      </c>
      <c r="Q1307" s="4">
        <v>44962</v>
      </c>
      <c r="R1307" s="1" t="s">
        <v>80</v>
      </c>
      <c r="AO1307" s="7">
        <v>29063</v>
      </c>
      <c r="AP1307" s="5">
        <v>9.4</v>
      </c>
      <c r="AQ1307" s="5">
        <v>152</v>
      </c>
      <c r="AR1307" s="5">
        <v>46.3</v>
      </c>
      <c r="AS1307" s="5">
        <v>98</v>
      </c>
      <c r="AT1307" s="5">
        <v>66</v>
      </c>
      <c r="AU1307" s="5">
        <v>52</v>
      </c>
      <c r="AV1307" s="5">
        <v>49.7</v>
      </c>
      <c r="AW1307" s="5">
        <v>4.51</v>
      </c>
      <c r="AX1307" s="5">
        <v>46</v>
      </c>
      <c r="AY1307" s="5" t="s">
        <v>125</v>
      </c>
      <c r="AZ1307" s="5">
        <v>9.32</v>
      </c>
      <c r="BA1307" s="5">
        <v>4.76</v>
      </c>
      <c r="BB1307" s="12" t="s">
        <v>76</v>
      </c>
      <c r="BC1307" s="5">
        <v>4.39</v>
      </c>
      <c r="BD1307" s="5">
        <v>152</v>
      </c>
      <c r="BE1307" s="5">
        <v>0.72</v>
      </c>
      <c r="BF1307" s="5" t="s">
        <v>2872</v>
      </c>
      <c r="BG1307" s="15">
        <v>36.3</v>
      </c>
      <c r="BH1307" s="5">
        <v>113</v>
      </c>
      <c r="BI1307" s="5">
        <v>113</v>
      </c>
      <c r="BJ1307" s="5">
        <v>20</v>
      </c>
      <c r="BK1307" s="5">
        <v>102</v>
      </c>
      <c r="BL1307" s="5">
        <v>65</v>
      </c>
      <c r="BM1307" s="5">
        <v>100</v>
      </c>
      <c r="BN1307" s="5">
        <v>175</v>
      </c>
      <c r="BO1307" s="5">
        <f t="shared" si="20"/>
        <v>32.6530612244898</v>
      </c>
      <c r="BP1307" s="5" t="s">
        <v>323</v>
      </c>
      <c r="BQ1307" s="5">
        <v>8.2</v>
      </c>
      <c r="BR1307" s="5">
        <v>914</v>
      </c>
    </row>
    <row r="1308" s="1" customFormat="1" spans="1:70">
      <c r="A1308" s="1">
        <v>3309148</v>
      </c>
      <c r="B1308" s="1" t="s">
        <v>2958</v>
      </c>
      <c r="D1308" s="4">
        <v>45002</v>
      </c>
      <c r="E1308" s="4">
        <v>45014</v>
      </c>
      <c r="F1308" s="7">
        <v>29079</v>
      </c>
      <c r="G1308" s="1">
        <v>37</v>
      </c>
      <c r="H1308" s="1">
        <v>10</v>
      </c>
      <c r="I1308" s="1">
        <v>47</v>
      </c>
      <c r="J1308" s="1">
        <v>10</v>
      </c>
      <c r="K1308" s="1">
        <v>58</v>
      </c>
      <c r="L1308" s="1">
        <v>31</v>
      </c>
      <c r="M1308" s="1">
        <v>1.58</v>
      </c>
      <c r="N1308" s="1">
        <v>16.7</v>
      </c>
      <c r="O1308" s="7">
        <v>29079</v>
      </c>
      <c r="P1308" s="4">
        <v>45002</v>
      </c>
      <c r="Q1308" s="4">
        <v>45014</v>
      </c>
      <c r="R1308" s="1" t="s">
        <v>73</v>
      </c>
      <c r="AO1308" s="7">
        <v>29079</v>
      </c>
      <c r="AP1308" s="5">
        <v>933.8</v>
      </c>
      <c r="AQ1308" s="5">
        <v>96</v>
      </c>
      <c r="AR1308" s="5">
        <v>29.4</v>
      </c>
      <c r="AS1308" s="5">
        <v>4.1</v>
      </c>
      <c r="AT1308" s="5">
        <v>14</v>
      </c>
      <c r="AU1308" s="5">
        <v>8</v>
      </c>
      <c r="AV1308" s="5">
        <v>35</v>
      </c>
      <c r="AW1308" s="5">
        <v>7.35</v>
      </c>
      <c r="AX1308" s="5">
        <v>93</v>
      </c>
      <c r="AY1308" s="5">
        <v>62.21</v>
      </c>
      <c r="AZ1308" s="5" t="s">
        <v>75</v>
      </c>
      <c r="BA1308" s="5">
        <v>6.76</v>
      </c>
      <c r="BB1308" s="12" t="s">
        <v>76</v>
      </c>
      <c r="BC1308" s="5" t="s">
        <v>4</v>
      </c>
      <c r="BD1308" s="5">
        <v>96</v>
      </c>
      <c r="BE1308" s="5">
        <v>1.26</v>
      </c>
      <c r="BF1308" s="5">
        <v>4.86</v>
      </c>
      <c r="BG1308" s="15">
        <v>36.6</v>
      </c>
      <c r="BH1308" s="5">
        <v>88</v>
      </c>
      <c r="BI1308" s="5">
        <v>88</v>
      </c>
      <c r="BJ1308" s="5">
        <v>18</v>
      </c>
      <c r="BK1308" s="5">
        <v>170</v>
      </c>
      <c r="BL1308" s="5">
        <v>106</v>
      </c>
      <c r="BM1308" s="5">
        <v>59</v>
      </c>
      <c r="BN1308" s="5">
        <v>165</v>
      </c>
      <c r="BO1308" s="5">
        <f t="shared" si="20"/>
        <v>21.6712580348944</v>
      </c>
      <c r="BP1308" s="5" t="s">
        <v>300</v>
      </c>
      <c r="BQ1308" s="5">
        <v>10.1</v>
      </c>
      <c r="BR1308" s="5">
        <v>1041</v>
      </c>
    </row>
    <row r="1309" s="1" customFormat="1" spans="1:70">
      <c r="A1309" s="1">
        <v>3239865</v>
      </c>
      <c r="B1309" s="1" t="s">
        <v>2959</v>
      </c>
      <c r="D1309" s="4">
        <v>44882</v>
      </c>
      <c r="E1309" s="4">
        <v>44895</v>
      </c>
      <c r="F1309" s="7">
        <v>29104</v>
      </c>
      <c r="G1309" s="1">
        <v>39</v>
      </c>
      <c r="H1309" s="1">
        <v>7</v>
      </c>
      <c r="I1309" s="1">
        <v>45</v>
      </c>
      <c r="J1309" s="1">
        <v>7</v>
      </c>
      <c r="K1309" s="1">
        <v>61</v>
      </c>
      <c r="L1309" s="1">
        <v>32</v>
      </c>
      <c r="M1309" s="1">
        <v>2.08</v>
      </c>
      <c r="N1309" s="1">
        <v>11</v>
      </c>
      <c r="O1309" s="7">
        <v>29104</v>
      </c>
      <c r="P1309" s="4">
        <v>44882</v>
      </c>
      <c r="Q1309" s="4">
        <v>44895</v>
      </c>
      <c r="R1309" s="1" t="s">
        <v>73</v>
      </c>
      <c r="AO1309" s="7">
        <v>29104</v>
      </c>
      <c r="AP1309" s="5">
        <v>9.4</v>
      </c>
      <c r="AQ1309" s="5">
        <v>99</v>
      </c>
      <c r="AR1309" s="5">
        <v>39</v>
      </c>
      <c r="AS1309" s="5">
        <v>42.3</v>
      </c>
      <c r="AT1309" s="5">
        <v>77</v>
      </c>
      <c r="AU1309" s="5">
        <v>79</v>
      </c>
      <c r="AV1309" s="5">
        <v>45.7</v>
      </c>
      <c r="AW1309" s="5">
        <v>7.11</v>
      </c>
      <c r="AX1309" s="5">
        <v>49</v>
      </c>
      <c r="AY1309" s="5" t="s">
        <v>125</v>
      </c>
      <c r="AZ1309" s="5" t="s">
        <v>75</v>
      </c>
      <c r="BA1309" s="5">
        <v>4.45</v>
      </c>
      <c r="BB1309" s="12" t="s">
        <v>76</v>
      </c>
      <c r="BC1309" s="5">
        <v>4.34</v>
      </c>
      <c r="BD1309" s="5">
        <v>99</v>
      </c>
      <c r="BE1309" s="5">
        <v>0.93</v>
      </c>
      <c r="BF1309" s="5">
        <v>2.76</v>
      </c>
      <c r="BG1309" s="15">
        <v>36.2</v>
      </c>
      <c r="BH1309" s="5">
        <v>87</v>
      </c>
      <c r="BI1309" s="5">
        <v>87</v>
      </c>
      <c r="BJ1309" s="5">
        <v>18</v>
      </c>
      <c r="BK1309" s="5">
        <v>97</v>
      </c>
      <c r="BL1309" s="5">
        <v>59</v>
      </c>
      <c r="BM1309" s="5">
        <v>65</v>
      </c>
      <c r="BN1309" s="5">
        <v>160</v>
      </c>
      <c r="BO1309" s="5">
        <f t="shared" si="20"/>
        <v>25.390625</v>
      </c>
      <c r="BP1309" s="5" t="s">
        <v>1450</v>
      </c>
      <c r="BQ1309" s="5" t="s">
        <v>76</v>
      </c>
      <c r="BR1309" s="5">
        <v>912</v>
      </c>
    </row>
    <row r="1310" s="1" customFormat="1" spans="1:70">
      <c r="A1310" s="1">
        <v>3256628</v>
      </c>
      <c r="B1310" s="1" t="s">
        <v>2960</v>
      </c>
      <c r="D1310" s="4">
        <v>44922</v>
      </c>
      <c r="E1310" s="4">
        <v>44938</v>
      </c>
      <c r="F1310" s="7">
        <v>29246</v>
      </c>
      <c r="G1310" s="1">
        <v>35</v>
      </c>
      <c r="H1310" s="1">
        <v>10</v>
      </c>
      <c r="I1310" s="1">
        <v>47</v>
      </c>
      <c r="J1310" s="1">
        <v>10</v>
      </c>
      <c r="K1310" s="1">
        <v>33</v>
      </c>
      <c r="L1310" s="1">
        <v>33</v>
      </c>
      <c r="M1310" s="1">
        <v>0.87</v>
      </c>
      <c r="N1310" s="1">
        <v>6.3</v>
      </c>
      <c r="O1310" s="7">
        <v>29246</v>
      </c>
      <c r="P1310" s="4">
        <v>44922</v>
      </c>
      <c r="Q1310" s="4">
        <v>44938</v>
      </c>
      <c r="R1310" s="1" t="s">
        <v>80</v>
      </c>
      <c r="AO1310" s="7">
        <v>29246</v>
      </c>
      <c r="AP1310" s="5">
        <v>9.2</v>
      </c>
      <c r="AQ1310" s="5">
        <v>148</v>
      </c>
      <c r="AR1310" s="5">
        <v>47.4</v>
      </c>
      <c r="AS1310" s="5" t="s">
        <v>81</v>
      </c>
      <c r="AT1310" s="5">
        <v>45</v>
      </c>
      <c r="AU1310" s="5">
        <v>56</v>
      </c>
      <c r="AV1310" s="5">
        <v>38.6</v>
      </c>
      <c r="AW1310" s="5">
        <v>4.51</v>
      </c>
      <c r="AX1310" s="5">
        <v>63</v>
      </c>
      <c r="AY1310" s="5" t="s">
        <v>125</v>
      </c>
      <c r="AZ1310" s="5" t="s">
        <v>75</v>
      </c>
      <c r="BA1310" s="5">
        <v>3.35</v>
      </c>
      <c r="BB1310" s="12" t="s">
        <v>76</v>
      </c>
      <c r="BC1310" s="5">
        <v>4.32</v>
      </c>
      <c r="BD1310" s="5">
        <v>148</v>
      </c>
      <c r="BE1310" s="5">
        <v>1.04</v>
      </c>
      <c r="BF1310" s="5">
        <v>1.89</v>
      </c>
      <c r="BG1310" s="15">
        <v>36.6</v>
      </c>
      <c r="BH1310" s="5">
        <v>110</v>
      </c>
      <c r="BI1310" s="5">
        <v>110</v>
      </c>
      <c r="BJ1310" s="5">
        <v>18</v>
      </c>
      <c r="BK1310" s="5">
        <v>119</v>
      </c>
      <c r="BL1310" s="5">
        <v>78</v>
      </c>
      <c r="BM1310" s="5">
        <v>74</v>
      </c>
      <c r="BN1310" s="5">
        <v>175</v>
      </c>
      <c r="BO1310" s="5">
        <f t="shared" si="20"/>
        <v>24.1632653061224</v>
      </c>
      <c r="BP1310" s="5" t="s">
        <v>78</v>
      </c>
      <c r="BQ1310" s="5">
        <v>5.6</v>
      </c>
      <c r="BR1310" s="5">
        <v>388.2</v>
      </c>
    </row>
    <row r="1311" s="1" customFormat="1" spans="1:70">
      <c r="A1311" s="1">
        <v>3314067</v>
      </c>
      <c r="B1311" s="1" t="s">
        <v>2363</v>
      </c>
      <c r="D1311" s="4">
        <v>45009</v>
      </c>
      <c r="E1311" s="4">
        <v>45014</v>
      </c>
      <c r="F1311" s="7">
        <v>29254</v>
      </c>
      <c r="G1311" s="1">
        <v>33</v>
      </c>
      <c r="H1311" s="1">
        <v>9</v>
      </c>
      <c r="I1311" s="1">
        <v>49</v>
      </c>
      <c r="J1311" s="1">
        <v>9</v>
      </c>
      <c r="K1311" s="1">
        <v>56</v>
      </c>
      <c r="L1311" s="1">
        <v>29</v>
      </c>
      <c r="M1311" s="1">
        <v>0.89</v>
      </c>
      <c r="N1311" s="1">
        <v>11.7</v>
      </c>
      <c r="O1311" s="7">
        <v>29254</v>
      </c>
      <c r="P1311" s="4">
        <v>45009</v>
      </c>
      <c r="Q1311" s="4">
        <v>45014</v>
      </c>
      <c r="R1311" s="1" t="s">
        <v>73</v>
      </c>
      <c r="S1311" s="1">
        <v>43</v>
      </c>
      <c r="T1311" s="1" t="s">
        <v>2961</v>
      </c>
      <c r="AG1311" s="1">
        <v>1</v>
      </c>
      <c r="AH1311" s="1">
        <v>1</v>
      </c>
      <c r="AK1311" s="1">
        <v>1</v>
      </c>
      <c r="AO1311" s="7">
        <v>29254</v>
      </c>
      <c r="AP1311" s="5">
        <v>7.5</v>
      </c>
      <c r="AQ1311" s="5">
        <v>130</v>
      </c>
      <c r="AR1311" s="5">
        <v>40.6</v>
      </c>
      <c r="AS1311" s="5">
        <v>9.8</v>
      </c>
      <c r="AT1311" s="5">
        <v>22</v>
      </c>
      <c r="AU1311" s="5">
        <v>23</v>
      </c>
      <c r="AV1311" s="5">
        <v>40</v>
      </c>
      <c r="AW1311" s="5">
        <v>8.24</v>
      </c>
      <c r="AX1311" s="5">
        <v>80</v>
      </c>
      <c r="AY1311" s="5">
        <v>72.18</v>
      </c>
      <c r="AZ1311" s="5">
        <v>4.26</v>
      </c>
      <c r="BA1311" s="5">
        <v>4.97</v>
      </c>
      <c r="BB1311" s="12" t="s">
        <v>76</v>
      </c>
      <c r="BC1311" s="5">
        <v>4.65</v>
      </c>
      <c r="BD1311" s="5">
        <v>130</v>
      </c>
      <c r="BE1311" s="5">
        <v>1.14</v>
      </c>
      <c r="BF1311" s="5">
        <v>3.29</v>
      </c>
      <c r="BG1311" s="15">
        <v>36.2</v>
      </c>
      <c r="BH1311" s="5">
        <v>63</v>
      </c>
      <c r="BI1311" s="5">
        <v>63</v>
      </c>
      <c r="BJ1311" s="5">
        <v>18</v>
      </c>
      <c r="BK1311" s="5">
        <v>138</v>
      </c>
      <c r="BL1311" s="5">
        <v>77</v>
      </c>
      <c r="BM1311" s="5">
        <v>65</v>
      </c>
      <c r="BN1311" s="5">
        <v>155</v>
      </c>
      <c r="BO1311" s="5">
        <f t="shared" si="20"/>
        <v>27.0551508844953</v>
      </c>
      <c r="BP1311" s="5" t="s">
        <v>121</v>
      </c>
      <c r="BQ1311" s="5">
        <v>5.9</v>
      </c>
      <c r="BR1311" s="5">
        <v>721</v>
      </c>
    </row>
    <row r="1312" s="1" customFormat="1" spans="1:70">
      <c r="A1312" s="1">
        <v>3505053</v>
      </c>
      <c r="B1312" s="1" t="s">
        <v>2363</v>
      </c>
      <c r="D1312" s="4">
        <v>45273</v>
      </c>
      <c r="E1312" s="4">
        <v>45278</v>
      </c>
      <c r="F1312" s="7">
        <v>29254</v>
      </c>
      <c r="G1312" s="1">
        <v>33</v>
      </c>
      <c r="H1312" s="1">
        <v>9</v>
      </c>
      <c r="I1312" s="1">
        <v>45</v>
      </c>
      <c r="J1312" s="1">
        <v>9</v>
      </c>
      <c r="K1312" s="1">
        <v>62</v>
      </c>
      <c r="L1312" s="1">
        <v>33</v>
      </c>
      <c r="M1312" s="9">
        <v>0.8</v>
      </c>
      <c r="N1312" s="1">
        <v>10.5</v>
      </c>
      <c r="O1312" s="7">
        <v>29254</v>
      </c>
      <c r="P1312" s="4">
        <v>45273</v>
      </c>
      <c r="Q1312" s="4">
        <v>45278</v>
      </c>
      <c r="R1312" s="1" t="s">
        <v>73</v>
      </c>
      <c r="AO1312" s="7">
        <v>29254</v>
      </c>
      <c r="AP1312" s="5">
        <v>9.1</v>
      </c>
      <c r="AQ1312" s="5">
        <v>99</v>
      </c>
      <c r="AR1312" s="5">
        <v>33.2</v>
      </c>
      <c r="AS1312" s="5">
        <v>32.7</v>
      </c>
      <c r="AT1312" s="5">
        <v>61</v>
      </c>
      <c r="AU1312" s="5">
        <v>85</v>
      </c>
      <c r="AV1312" s="5">
        <v>40.2</v>
      </c>
      <c r="AW1312" s="5">
        <v>23.78</v>
      </c>
      <c r="AX1312" s="5">
        <v>220</v>
      </c>
      <c r="AY1312" s="5">
        <v>52.74</v>
      </c>
      <c r="AZ1312" s="5" t="s">
        <v>804</v>
      </c>
      <c r="BA1312" s="5" t="s">
        <v>76</v>
      </c>
      <c r="BB1312" s="12" t="s">
        <v>76</v>
      </c>
      <c r="BC1312" s="5" t="s">
        <v>4</v>
      </c>
      <c r="BD1312" s="5">
        <v>99</v>
      </c>
      <c r="BE1312" s="5" t="s">
        <v>76</v>
      </c>
      <c r="BF1312" s="5" t="s">
        <v>76</v>
      </c>
      <c r="BG1312" s="15">
        <v>38.2</v>
      </c>
      <c r="BH1312" s="5">
        <v>93</v>
      </c>
      <c r="BI1312" s="5">
        <v>93</v>
      </c>
      <c r="BJ1312" s="5">
        <v>17</v>
      </c>
      <c r="BK1312" s="5">
        <v>87</v>
      </c>
      <c r="BL1312" s="5">
        <v>56</v>
      </c>
      <c r="BM1312" s="5">
        <v>62.5</v>
      </c>
      <c r="BN1312" s="5">
        <v>155</v>
      </c>
      <c r="BO1312" s="5">
        <f t="shared" si="20"/>
        <v>26.0145681581686</v>
      </c>
      <c r="BP1312" s="5" t="s">
        <v>415</v>
      </c>
      <c r="BQ1312" s="5">
        <v>5.8</v>
      </c>
      <c r="BR1312" s="5">
        <v>692</v>
      </c>
    </row>
    <row r="1313" s="1" customFormat="1" spans="1:70">
      <c r="A1313" s="1">
        <v>3264885</v>
      </c>
      <c r="B1313" s="1" t="s">
        <v>2962</v>
      </c>
      <c r="D1313" s="4">
        <v>44936</v>
      </c>
      <c r="E1313" s="4">
        <v>44941</v>
      </c>
      <c r="F1313" s="7">
        <v>29317</v>
      </c>
      <c r="G1313" s="1">
        <v>35</v>
      </c>
      <c r="H1313" s="1">
        <v>9</v>
      </c>
      <c r="I1313" s="1">
        <v>49</v>
      </c>
      <c r="J1313" s="1">
        <v>9</v>
      </c>
      <c r="K1313" s="1">
        <v>47</v>
      </c>
      <c r="L1313" s="1">
        <v>24</v>
      </c>
      <c r="M1313" s="1">
        <v>1.33</v>
      </c>
      <c r="N1313" s="1">
        <v>9.2</v>
      </c>
      <c r="O1313" s="7">
        <v>29317</v>
      </c>
      <c r="P1313" s="4">
        <v>44936</v>
      </c>
      <c r="Q1313" s="4">
        <v>44941</v>
      </c>
      <c r="R1313" s="1" t="s">
        <v>80</v>
      </c>
      <c r="AO1313" s="7">
        <v>29317</v>
      </c>
      <c r="AP1313" s="5">
        <v>7.8</v>
      </c>
      <c r="AQ1313" s="5">
        <v>148</v>
      </c>
      <c r="AR1313" s="5">
        <v>46.1</v>
      </c>
      <c r="AS1313" s="5" t="s">
        <v>81</v>
      </c>
      <c r="AT1313" s="5">
        <v>91</v>
      </c>
      <c r="AU1313" s="5">
        <v>54</v>
      </c>
      <c r="AV1313" s="5">
        <v>41.8</v>
      </c>
      <c r="AW1313" s="5">
        <v>3.57</v>
      </c>
      <c r="AX1313" s="5">
        <v>72</v>
      </c>
      <c r="AY1313" s="5" t="s">
        <v>125</v>
      </c>
      <c r="AZ1313" s="5">
        <v>5.65</v>
      </c>
      <c r="BA1313" s="5">
        <v>5.67</v>
      </c>
      <c r="BB1313" s="12" t="s">
        <v>76</v>
      </c>
      <c r="BC1313" s="5">
        <v>3.99</v>
      </c>
      <c r="BD1313" s="5">
        <v>148</v>
      </c>
      <c r="BE1313" s="5">
        <v>1.09</v>
      </c>
      <c r="BF1313" s="5">
        <v>4.15</v>
      </c>
      <c r="BG1313" s="15">
        <v>36.7</v>
      </c>
      <c r="BH1313" s="5">
        <v>103</v>
      </c>
      <c r="BI1313" s="5">
        <v>103</v>
      </c>
      <c r="BJ1313" s="5">
        <v>17</v>
      </c>
      <c r="BK1313" s="5">
        <v>127</v>
      </c>
      <c r="BL1313" s="5">
        <v>91</v>
      </c>
      <c r="BM1313" s="5">
        <v>83</v>
      </c>
      <c r="BN1313" s="5">
        <v>183</v>
      </c>
      <c r="BO1313" s="5">
        <f t="shared" si="20"/>
        <v>24.7842575173938</v>
      </c>
      <c r="BP1313" s="5" t="s">
        <v>323</v>
      </c>
      <c r="BQ1313" s="5">
        <v>5.8</v>
      </c>
      <c r="BR1313" s="5">
        <v>913</v>
      </c>
    </row>
    <row r="1314" s="1" customFormat="1" spans="1:70">
      <c r="A1314" s="1">
        <v>3495758</v>
      </c>
      <c r="B1314" s="1" t="s">
        <v>2963</v>
      </c>
      <c r="D1314" s="4">
        <v>45260</v>
      </c>
      <c r="E1314" s="4">
        <v>45282</v>
      </c>
      <c r="F1314" s="7">
        <v>29370</v>
      </c>
      <c r="G1314" s="1">
        <v>29</v>
      </c>
      <c r="H1314" s="1">
        <v>9</v>
      </c>
      <c r="I1314" s="1">
        <v>45</v>
      </c>
      <c r="J1314" s="1">
        <v>9</v>
      </c>
      <c r="K1314" s="1">
        <v>59</v>
      </c>
      <c r="L1314" s="1">
        <v>31</v>
      </c>
      <c r="M1314" s="9">
        <v>0.8</v>
      </c>
      <c r="O1314" s="7">
        <v>29370</v>
      </c>
      <c r="P1314" s="4">
        <v>45260</v>
      </c>
      <c r="Q1314" s="4">
        <v>45282</v>
      </c>
      <c r="R1314" s="1" t="s">
        <v>80</v>
      </c>
      <c r="AO1314" s="7">
        <v>29370</v>
      </c>
      <c r="AP1314" s="5">
        <v>9.9</v>
      </c>
      <c r="AQ1314" s="5">
        <v>97</v>
      </c>
      <c r="AR1314" s="5">
        <v>44.7</v>
      </c>
      <c r="AS1314" s="5">
        <v>9.4</v>
      </c>
      <c r="AT1314" s="5">
        <v>85</v>
      </c>
      <c r="AU1314" s="5">
        <v>94</v>
      </c>
      <c r="AV1314" s="5">
        <v>42.5</v>
      </c>
      <c r="AW1314" s="5">
        <v>8.81</v>
      </c>
      <c r="AX1314" s="5">
        <v>81</v>
      </c>
      <c r="AY1314" s="5" t="s">
        <v>125</v>
      </c>
      <c r="AZ1314" s="5" t="s">
        <v>75</v>
      </c>
      <c r="BA1314" s="5">
        <v>4.09</v>
      </c>
      <c r="BB1314" s="12" t="s">
        <v>76</v>
      </c>
      <c r="BC1314" s="5">
        <v>4.52</v>
      </c>
      <c r="BD1314" s="5">
        <v>97</v>
      </c>
      <c r="BE1314" s="5">
        <v>0.81</v>
      </c>
      <c r="BF1314" s="5">
        <v>1.87</v>
      </c>
      <c r="BG1314" s="5" t="s">
        <v>76</v>
      </c>
      <c r="BH1314" s="5" t="s">
        <v>76</v>
      </c>
      <c r="BI1314" s="5" t="s">
        <v>76</v>
      </c>
      <c r="BJ1314" s="5" t="s">
        <v>76</v>
      </c>
      <c r="BK1314" s="5" t="s">
        <v>76</v>
      </c>
      <c r="BL1314" s="5" t="s">
        <v>76</v>
      </c>
      <c r="BM1314" s="5" t="s">
        <v>76</v>
      </c>
      <c r="BN1314" s="5" t="s">
        <v>76</v>
      </c>
      <c r="BO1314" s="5" t="e">
        <f t="shared" si="20"/>
        <v>#VALUE!</v>
      </c>
      <c r="BP1314" s="5" t="s">
        <v>117</v>
      </c>
      <c r="BQ1314" s="5" t="s">
        <v>76</v>
      </c>
      <c r="BR1314" s="5">
        <v>615.65</v>
      </c>
    </row>
    <row r="1315" s="1" customFormat="1" spans="1:70">
      <c r="A1315" s="1">
        <v>3509613</v>
      </c>
      <c r="B1315" s="1" t="s">
        <v>2964</v>
      </c>
      <c r="D1315" s="4">
        <v>45279</v>
      </c>
      <c r="E1315" s="4">
        <v>45287</v>
      </c>
      <c r="F1315" s="7">
        <v>29435</v>
      </c>
      <c r="G1315" s="1">
        <v>35</v>
      </c>
      <c r="H1315" s="1">
        <v>10</v>
      </c>
      <c r="I1315" s="1">
        <v>49</v>
      </c>
      <c r="J1315" s="1">
        <v>10</v>
      </c>
      <c r="K1315" s="1">
        <v>51</v>
      </c>
      <c r="L1315" s="1">
        <v>26</v>
      </c>
      <c r="M1315" s="1">
        <v>0.81</v>
      </c>
      <c r="N1315" s="1">
        <v>19.2</v>
      </c>
      <c r="O1315" s="7">
        <v>29435</v>
      </c>
      <c r="P1315" s="4">
        <v>45279</v>
      </c>
      <c r="Q1315" s="4">
        <v>45287</v>
      </c>
      <c r="R1315" s="1" t="s">
        <v>80</v>
      </c>
      <c r="AO1315" s="7">
        <v>29435</v>
      </c>
      <c r="AP1315" s="5">
        <v>9.3</v>
      </c>
      <c r="AQ1315" s="5">
        <v>143</v>
      </c>
      <c r="AR1315" s="5">
        <v>44.2</v>
      </c>
      <c r="AS1315" s="5">
        <v>92.4</v>
      </c>
      <c r="AT1315" s="5">
        <v>53</v>
      </c>
      <c r="AU1315" s="5">
        <v>91</v>
      </c>
      <c r="AV1315" s="5">
        <v>44.8</v>
      </c>
      <c r="AW1315" s="5">
        <v>7.76</v>
      </c>
      <c r="AX1315" s="5">
        <v>130</v>
      </c>
      <c r="AY1315" s="5">
        <v>75.19</v>
      </c>
      <c r="AZ1315" s="5" t="s">
        <v>75</v>
      </c>
      <c r="BA1315" s="5">
        <v>8.27</v>
      </c>
      <c r="BB1315" s="12" t="s">
        <v>76</v>
      </c>
      <c r="BC1315" s="5">
        <v>4.34</v>
      </c>
      <c r="BD1315" s="5">
        <v>143</v>
      </c>
      <c r="BE1315" s="5">
        <v>0.95</v>
      </c>
      <c r="BF1315" s="5">
        <v>4.35</v>
      </c>
      <c r="BG1315" s="5" t="s">
        <v>76</v>
      </c>
      <c r="BH1315" s="5" t="s">
        <v>76</v>
      </c>
      <c r="BI1315" s="5" t="s">
        <v>76</v>
      </c>
      <c r="BJ1315" s="5" t="s">
        <v>76</v>
      </c>
      <c r="BK1315" s="5" t="s">
        <v>76</v>
      </c>
      <c r="BL1315" s="5" t="s">
        <v>76</v>
      </c>
      <c r="BM1315" s="5" t="s">
        <v>76</v>
      </c>
      <c r="BN1315" s="5" t="s">
        <v>76</v>
      </c>
      <c r="BO1315" s="5" t="e">
        <f t="shared" si="20"/>
        <v>#VALUE!</v>
      </c>
      <c r="BP1315" s="5" t="s">
        <v>78</v>
      </c>
      <c r="BQ1315" s="5">
        <v>6.3</v>
      </c>
      <c r="BR1315" s="5">
        <v>844.82</v>
      </c>
    </row>
    <row r="1316" s="1" customFormat="1" spans="1:70">
      <c r="A1316" s="1">
        <v>3298676</v>
      </c>
      <c r="B1316" s="1" t="s">
        <v>2965</v>
      </c>
      <c r="D1316" s="4">
        <v>44988</v>
      </c>
      <c r="E1316" s="4">
        <v>44991</v>
      </c>
      <c r="F1316" s="7">
        <v>29522</v>
      </c>
      <c r="G1316" s="1">
        <v>34</v>
      </c>
      <c r="H1316" s="1">
        <v>10</v>
      </c>
      <c r="I1316" s="1">
        <v>51</v>
      </c>
      <c r="J1316" s="1">
        <v>10</v>
      </c>
      <c r="K1316" s="1">
        <v>56</v>
      </c>
      <c r="L1316" s="1">
        <v>30</v>
      </c>
      <c r="M1316" s="1">
        <v>1.12</v>
      </c>
      <c r="N1316" s="1">
        <v>8.5</v>
      </c>
      <c r="O1316" s="7">
        <v>29522</v>
      </c>
      <c r="P1316" s="4">
        <v>44988</v>
      </c>
      <c r="Q1316" s="4">
        <v>44991</v>
      </c>
      <c r="R1316" s="1" t="s">
        <v>80</v>
      </c>
      <c r="AO1316" s="7">
        <v>29522</v>
      </c>
      <c r="AP1316" s="5">
        <v>30</v>
      </c>
      <c r="AQ1316" s="5">
        <v>149</v>
      </c>
      <c r="AR1316" s="5">
        <v>46</v>
      </c>
      <c r="AS1316" s="5">
        <v>288.8</v>
      </c>
      <c r="AT1316" s="5">
        <v>42</v>
      </c>
      <c r="AU1316" s="5">
        <v>774</v>
      </c>
      <c r="AV1316" s="5">
        <v>37</v>
      </c>
      <c r="AW1316" s="5">
        <v>7.2</v>
      </c>
      <c r="AX1316" s="5">
        <v>88</v>
      </c>
      <c r="AY1316" s="5" t="s">
        <v>76</v>
      </c>
      <c r="AZ1316" s="5" t="s">
        <v>75</v>
      </c>
      <c r="BA1316" s="5">
        <v>3.55</v>
      </c>
      <c r="BB1316" s="12" t="s">
        <v>76</v>
      </c>
      <c r="BC1316" s="5">
        <v>4.79</v>
      </c>
      <c r="BD1316" s="5">
        <v>149</v>
      </c>
      <c r="BE1316" s="5" t="s">
        <v>76</v>
      </c>
      <c r="BF1316" s="5" t="s">
        <v>76</v>
      </c>
      <c r="BG1316" s="15">
        <v>39.5</v>
      </c>
      <c r="BH1316" s="5">
        <v>136</v>
      </c>
      <c r="BI1316" s="5">
        <v>136</v>
      </c>
      <c r="BJ1316" s="5">
        <v>16</v>
      </c>
      <c r="BK1316" s="5">
        <v>120</v>
      </c>
      <c r="BL1316" s="5">
        <v>77</v>
      </c>
      <c r="BM1316" s="5">
        <v>84</v>
      </c>
      <c r="BN1316" s="5">
        <v>173</v>
      </c>
      <c r="BO1316" s="5">
        <f t="shared" si="20"/>
        <v>28.0664238698253</v>
      </c>
      <c r="BP1316" s="5" t="s">
        <v>622</v>
      </c>
      <c r="BQ1316" s="5" t="s">
        <v>76</v>
      </c>
      <c r="BR1316" s="5" t="s">
        <v>118</v>
      </c>
    </row>
    <row r="1317" s="1" customFormat="1" spans="1:70">
      <c r="A1317" s="1">
        <v>3312162</v>
      </c>
      <c r="B1317" s="1" t="s">
        <v>2966</v>
      </c>
      <c r="D1317" s="4">
        <v>45007</v>
      </c>
      <c r="E1317" s="4">
        <v>45014</v>
      </c>
      <c r="F1317" s="7">
        <v>29554</v>
      </c>
      <c r="G1317" s="1">
        <v>34</v>
      </c>
      <c r="H1317" s="1">
        <v>9</v>
      </c>
      <c r="I1317" s="1">
        <v>49</v>
      </c>
      <c r="J1317" s="1">
        <v>9</v>
      </c>
      <c r="K1317" s="1">
        <v>57</v>
      </c>
      <c r="L1317" s="1">
        <v>30</v>
      </c>
      <c r="M1317" s="9">
        <v>0.9</v>
      </c>
      <c r="N1317" s="10">
        <v>10</v>
      </c>
      <c r="O1317" s="7">
        <v>29554</v>
      </c>
      <c r="P1317" s="4">
        <v>45007</v>
      </c>
      <c r="Q1317" s="4">
        <v>45014</v>
      </c>
      <c r="R1317" s="1" t="s">
        <v>73</v>
      </c>
      <c r="AO1317" s="7">
        <v>29554</v>
      </c>
      <c r="AP1317" s="5">
        <v>9.7</v>
      </c>
      <c r="AQ1317" s="5">
        <v>76</v>
      </c>
      <c r="AR1317" s="5">
        <v>25.2</v>
      </c>
      <c r="AS1317" s="5" t="s">
        <v>76</v>
      </c>
      <c r="AT1317" s="5">
        <v>15</v>
      </c>
      <c r="AU1317" s="5">
        <v>9</v>
      </c>
      <c r="AV1317" s="5">
        <v>27.7</v>
      </c>
      <c r="AW1317" s="5">
        <v>15.73</v>
      </c>
      <c r="AX1317" s="5">
        <v>216</v>
      </c>
      <c r="AY1317" s="5">
        <v>27.91</v>
      </c>
      <c r="AZ1317" s="5" t="s">
        <v>75</v>
      </c>
      <c r="BA1317" s="5">
        <v>6.68</v>
      </c>
      <c r="BB1317" s="12" t="s">
        <v>76</v>
      </c>
      <c r="BC1317" s="5">
        <v>4.64</v>
      </c>
      <c r="BD1317" s="5">
        <v>76</v>
      </c>
      <c r="BE1317" s="5">
        <v>1.73</v>
      </c>
      <c r="BF1317" s="5">
        <v>4.1</v>
      </c>
      <c r="BG1317" s="15">
        <v>36.5</v>
      </c>
      <c r="BH1317" s="5">
        <v>80</v>
      </c>
      <c r="BI1317" s="5" t="s">
        <v>76</v>
      </c>
      <c r="BJ1317" s="5">
        <v>20</v>
      </c>
      <c r="BK1317" s="5">
        <v>193</v>
      </c>
      <c r="BL1317" s="5">
        <v>121</v>
      </c>
      <c r="BM1317" s="5">
        <v>56</v>
      </c>
      <c r="BN1317" s="5">
        <v>155</v>
      </c>
      <c r="BO1317" s="5">
        <f t="shared" si="20"/>
        <v>23.309053069719</v>
      </c>
      <c r="BP1317" s="5" t="s">
        <v>300</v>
      </c>
      <c r="BQ1317" s="5">
        <v>4.8</v>
      </c>
      <c r="BR1317" s="5">
        <v>26552</v>
      </c>
    </row>
    <row r="1318" s="1" customFormat="1" spans="1:70">
      <c r="A1318" s="1">
        <v>3329431</v>
      </c>
      <c r="B1318" s="1" t="s">
        <v>2967</v>
      </c>
      <c r="D1318" s="4">
        <v>45031</v>
      </c>
      <c r="E1318" s="4">
        <v>45037</v>
      </c>
      <c r="F1318" s="7">
        <v>29560</v>
      </c>
      <c r="G1318" s="1">
        <v>31</v>
      </c>
      <c r="H1318" s="1">
        <v>8</v>
      </c>
      <c r="I1318" s="1">
        <v>45</v>
      </c>
      <c r="J1318" s="1">
        <v>8</v>
      </c>
      <c r="K1318" s="1">
        <v>64</v>
      </c>
      <c r="L1318" s="1">
        <v>34</v>
      </c>
      <c r="M1318" s="1">
        <v>1.87</v>
      </c>
      <c r="N1318" s="1">
        <v>9.4</v>
      </c>
      <c r="O1318" s="7">
        <v>29560</v>
      </c>
      <c r="P1318" s="4">
        <v>45031</v>
      </c>
      <c r="Q1318" s="4">
        <v>45037</v>
      </c>
      <c r="R1318" s="1" t="s">
        <v>73</v>
      </c>
      <c r="AO1318" s="7">
        <v>29560</v>
      </c>
      <c r="AP1318" s="5">
        <v>7</v>
      </c>
      <c r="AQ1318" s="5">
        <v>98</v>
      </c>
      <c r="AR1318" s="5">
        <v>33.2</v>
      </c>
      <c r="AS1318" s="5" t="s">
        <v>881</v>
      </c>
      <c r="AT1318" s="5">
        <v>25</v>
      </c>
      <c r="AU1318" s="5">
        <v>24</v>
      </c>
      <c r="AV1318" s="5">
        <v>40.5</v>
      </c>
      <c r="AW1318" s="5">
        <v>6.8</v>
      </c>
      <c r="AX1318" s="5">
        <v>58</v>
      </c>
      <c r="AY1318" s="5" t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 <c r="BD1318" s="5">
        <v>98</v>
      </c>
      <c r="BE1318" s="5" t="s">
        <v>76</v>
      </c>
      <c r="BF1318" s="5" t="s">
        <v>76</v>
      </c>
      <c r="BG1318" s="15">
        <v>36.7</v>
      </c>
      <c r="BH1318" s="5">
        <v>64</v>
      </c>
      <c r="BI1318" s="5">
        <v>64</v>
      </c>
      <c r="BJ1318" s="5">
        <v>18</v>
      </c>
      <c r="BK1318" s="5">
        <v>96</v>
      </c>
      <c r="BL1318" s="5">
        <v>65</v>
      </c>
      <c r="BM1318" s="5">
        <v>45</v>
      </c>
      <c r="BN1318" s="5">
        <v>156</v>
      </c>
      <c r="BO1318" s="5">
        <f t="shared" si="20"/>
        <v>18.491124260355</v>
      </c>
      <c r="BP1318" s="5" t="s">
        <v>149</v>
      </c>
      <c r="BQ1318" s="5" t="s">
        <v>76</v>
      </c>
      <c r="BR1318" s="5">
        <v>329</v>
      </c>
    </row>
    <row r="1319" s="1" customFormat="1" spans="1:70">
      <c r="A1319" s="1">
        <v>3317568</v>
      </c>
      <c r="B1319" s="1" t="s">
        <v>2968</v>
      </c>
      <c r="D1319" s="4">
        <v>45014</v>
      </c>
      <c r="E1319" s="4">
        <v>45018</v>
      </c>
      <c r="F1319" s="7">
        <v>29696</v>
      </c>
      <c r="G1319" s="1">
        <v>23</v>
      </c>
      <c r="H1319" s="1">
        <v>7</v>
      </c>
      <c r="I1319" s="1">
        <v>44</v>
      </c>
      <c r="J1319" s="1">
        <v>7</v>
      </c>
      <c r="K1319" s="1">
        <v>69</v>
      </c>
      <c r="L1319" s="1">
        <v>39</v>
      </c>
      <c r="M1319" s="1">
        <v>1.83</v>
      </c>
      <c r="O1319" s="7">
        <v>29696</v>
      </c>
      <c r="P1319" s="4">
        <v>45014</v>
      </c>
      <c r="Q1319" s="4">
        <v>45018</v>
      </c>
      <c r="R1319" s="1" t="s">
        <v>73</v>
      </c>
      <c r="AO1319" s="7">
        <v>29696</v>
      </c>
      <c r="AP1319" s="5">
        <v>9.3</v>
      </c>
      <c r="AQ1319" s="5">
        <v>99</v>
      </c>
      <c r="AR1319" s="5">
        <v>43.8</v>
      </c>
      <c r="AS1319" s="5">
        <v>5.5</v>
      </c>
      <c r="AT1319" s="5">
        <v>51</v>
      </c>
      <c r="AU1319" s="5">
        <v>37</v>
      </c>
      <c r="AV1319" s="5">
        <v>37.6</v>
      </c>
      <c r="AW1319" s="5">
        <v>3.95</v>
      </c>
      <c r="AX1319" s="5">
        <v>38</v>
      </c>
      <c r="AY1319" s="5" t="s">
        <v>125</v>
      </c>
      <c r="AZ1319" s="5">
        <v>7.8</v>
      </c>
      <c r="BA1319" s="5" t="s">
        <v>76</v>
      </c>
      <c r="BB1319" s="12" t="s">
        <v>76</v>
      </c>
      <c r="BC1319" s="5">
        <v>3.81</v>
      </c>
      <c r="BD1319" s="5">
        <v>99</v>
      </c>
      <c r="BE1319" s="5" t="s">
        <v>76</v>
      </c>
      <c r="BF1319" s="5" t="s">
        <v>76</v>
      </c>
      <c r="BG1319" s="15">
        <v>36.5</v>
      </c>
      <c r="BH1319" s="5">
        <v>66</v>
      </c>
      <c r="BI1319" s="5">
        <v>66</v>
      </c>
      <c r="BJ1319" s="5">
        <v>22</v>
      </c>
      <c r="BK1319" s="5">
        <v>123</v>
      </c>
      <c r="BL1319" s="5">
        <v>77</v>
      </c>
      <c r="BM1319" s="5" t="s">
        <v>77</v>
      </c>
      <c r="BN1319" s="5" t="s">
        <v>77</v>
      </c>
      <c r="BO1319" s="5" t="e">
        <f t="shared" si="20"/>
        <v>#VALUE!</v>
      </c>
      <c r="BP1319" s="5" t="s">
        <v>117</v>
      </c>
      <c r="BQ1319" s="5" t="s">
        <v>76</v>
      </c>
      <c r="BR1319" s="5">
        <v>489</v>
      </c>
    </row>
    <row r="1320" s="1" customFormat="1" spans="1:70">
      <c r="A1320" s="1">
        <v>3269155</v>
      </c>
      <c r="B1320" s="1" t="s">
        <v>2969</v>
      </c>
      <c r="D1320" s="4">
        <v>44947</v>
      </c>
      <c r="E1320" s="4">
        <v>44959</v>
      </c>
      <c r="F1320" s="7">
        <v>29742</v>
      </c>
      <c r="G1320" s="1">
        <v>38</v>
      </c>
      <c r="H1320" s="1">
        <v>10</v>
      </c>
      <c r="I1320" s="1">
        <v>51</v>
      </c>
      <c r="J1320" s="1">
        <v>10</v>
      </c>
      <c r="K1320" s="1">
        <v>53</v>
      </c>
      <c r="L1320" s="1">
        <v>27</v>
      </c>
      <c r="M1320" s="1">
        <v>1.13</v>
      </c>
      <c r="N1320" s="1">
        <v>8.4</v>
      </c>
      <c r="O1320" s="7">
        <v>29742</v>
      </c>
      <c r="P1320" s="4">
        <v>44947</v>
      </c>
      <c r="Q1320" s="4">
        <v>44959</v>
      </c>
      <c r="R1320" s="1" t="s">
        <v>80</v>
      </c>
      <c r="AO1320" s="7">
        <v>29742</v>
      </c>
      <c r="AP1320" s="5">
        <v>8.4</v>
      </c>
      <c r="AQ1320" s="5">
        <v>153</v>
      </c>
      <c r="AR1320" s="5">
        <v>44.8</v>
      </c>
      <c r="AS1320" s="5">
        <v>11.4</v>
      </c>
      <c r="AT1320" s="5">
        <v>305</v>
      </c>
      <c r="AU1320" s="5" t="s">
        <v>76</v>
      </c>
      <c r="AV1320" s="5" t="s">
        <v>76</v>
      </c>
      <c r="AW1320" s="5">
        <v>7.5</v>
      </c>
      <c r="AX1320" s="5">
        <v>71</v>
      </c>
      <c r="AY1320" s="5">
        <v>75.92</v>
      </c>
      <c r="AZ1320" s="5" t="s">
        <v>75</v>
      </c>
      <c r="BA1320" s="5">
        <v>4.23</v>
      </c>
      <c r="BB1320" s="12" t="s">
        <v>76</v>
      </c>
      <c r="BC1320" s="5">
        <v>4.75</v>
      </c>
      <c r="BD1320" s="5">
        <v>153</v>
      </c>
      <c r="BE1320" s="5">
        <v>1.2</v>
      </c>
      <c r="BF1320" s="5">
        <v>2.77</v>
      </c>
      <c r="BG1320" s="15">
        <v>36.6</v>
      </c>
      <c r="BH1320" s="5">
        <v>85</v>
      </c>
      <c r="BI1320" s="5">
        <v>85</v>
      </c>
      <c r="BJ1320" s="5">
        <v>18</v>
      </c>
      <c r="BK1320" s="5">
        <v>106</v>
      </c>
      <c r="BL1320" s="5">
        <v>75</v>
      </c>
      <c r="BM1320" s="5">
        <v>80</v>
      </c>
      <c r="BN1320" s="5">
        <v>173</v>
      </c>
      <c r="BO1320" s="5">
        <f t="shared" si="20"/>
        <v>26.7299274950717</v>
      </c>
      <c r="BP1320" s="5" t="s">
        <v>156</v>
      </c>
      <c r="BQ1320" s="5" t="s">
        <v>76</v>
      </c>
      <c r="BR1320" s="5">
        <v>2389</v>
      </c>
    </row>
    <row r="1321" s="1" customFormat="1" spans="1:70">
      <c r="A1321" s="1">
        <v>3264439</v>
      </c>
      <c r="B1321" s="1" t="s">
        <v>2970</v>
      </c>
      <c r="D1321" s="4">
        <v>44935</v>
      </c>
      <c r="E1321" s="4">
        <v>44946</v>
      </c>
      <c r="F1321" s="7">
        <v>29759</v>
      </c>
      <c r="G1321" s="1">
        <v>35</v>
      </c>
      <c r="H1321" s="1">
        <v>10</v>
      </c>
      <c r="I1321" s="1">
        <v>51</v>
      </c>
      <c r="J1321" s="1">
        <v>10</v>
      </c>
      <c r="K1321" s="1">
        <v>59</v>
      </c>
      <c r="L1321" s="1">
        <v>32</v>
      </c>
      <c r="M1321" s="1">
        <v>0.71</v>
      </c>
      <c r="N1321" s="1">
        <v>6.6</v>
      </c>
      <c r="O1321" s="7">
        <v>29759</v>
      </c>
      <c r="P1321" s="4">
        <v>44935</v>
      </c>
      <c r="Q1321" s="4">
        <v>44946</v>
      </c>
      <c r="R1321" s="1" t="s">
        <v>80</v>
      </c>
      <c r="AO1321" s="7">
        <v>29759</v>
      </c>
      <c r="AP1321" s="5">
        <v>8.7</v>
      </c>
      <c r="AQ1321" s="5">
        <v>65</v>
      </c>
      <c r="AR1321" s="5">
        <v>21.1</v>
      </c>
      <c r="AS1321" s="5">
        <v>106.7</v>
      </c>
      <c r="AT1321" s="5">
        <v>16</v>
      </c>
      <c r="AU1321" s="5">
        <v>19</v>
      </c>
      <c r="AV1321" s="5">
        <v>23.1</v>
      </c>
      <c r="AW1321" s="5">
        <v>9.85</v>
      </c>
      <c r="AX1321" s="5">
        <v>78</v>
      </c>
      <c r="AY1321" s="5">
        <v>101.14</v>
      </c>
      <c r="AZ1321" s="5" t="s">
        <v>75</v>
      </c>
      <c r="BA1321" s="5">
        <v>2</v>
      </c>
      <c r="BB1321" s="12" t="s">
        <v>76</v>
      </c>
      <c r="BC1321" s="5">
        <v>3.74</v>
      </c>
      <c r="BD1321" s="5">
        <v>65</v>
      </c>
      <c r="BE1321" s="5" t="s">
        <v>76</v>
      </c>
      <c r="BF1321" s="5" t="s">
        <v>76</v>
      </c>
      <c r="BG1321" s="15">
        <v>39.3</v>
      </c>
      <c r="BH1321" s="5">
        <v>122</v>
      </c>
      <c r="BI1321" s="5" t="s">
        <v>76</v>
      </c>
      <c r="BJ1321" s="5">
        <v>21</v>
      </c>
      <c r="BK1321" s="5">
        <v>107</v>
      </c>
      <c r="BL1321" s="5">
        <v>66</v>
      </c>
      <c r="BM1321" s="5">
        <v>95</v>
      </c>
      <c r="BN1321" s="5">
        <v>178</v>
      </c>
      <c r="BO1321" s="5">
        <f t="shared" si="20"/>
        <v>29.9835879308168</v>
      </c>
      <c r="BP1321" s="5" t="s">
        <v>300</v>
      </c>
      <c r="BQ1321" s="5">
        <v>8</v>
      </c>
      <c r="BR1321" s="5">
        <v>447</v>
      </c>
    </row>
    <row r="1322" s="1" customFormat="1" spans="1:70">
      <c r="A1322" s="1">
        <v>3297747</v>
      </c>
      <c r="B1322" s="1" t="s">
        <v>2971</v>
      </c>
      <c r="D1322" s="4">
        <v>44987</v>
      </c>
      <c r="E1322" s="4">
        <v>45016</v>
      </c>
      <c r="F1322" s="7">
        <v>29859</v>
      </c>
      <c r="G1322" s="1">
        <v>36</v>
      </c>
      <c r="H1322" s="1">
        <v>7</v>
      </c>
      <c r="I1322" s="1">
        <v>52</v>
      </c>
      <c r="J1322" s="1">
        <v>7</v>
      </c>
      <c r="K1322" s="1">
        <v>60</v>
      </c>
      <c r="L1322" s="1">
        <v>32</v>
      </c>
      <c r="M1322" s="1">
        <v>1.24</v>
      </c>
      <c r="O1322" s="7">
        <v>29859</v>
      </c>
      <c r="P1322" s="4">
        <v>44987</v>
      </c>
      <c r="Q1322" s="4">
        <v>45016</v>
      </c>
      <c r="R1322" s="1" t="s">
        <v>80</v>
      </c>
      <c r="AO1322" s="7">
        <v>29859</v>
      </c>
      <c r="AP1322" s="5">
        <v>9.3</v>
      </c>
      <c r="AQ1322" s="5">
        <v>95</v>
      </c>
      <c r="AR1322" s="5">
        <v>38.8</v>
      </c>
      <c r="AS1322" s="5" t="s">
        <v>81</v>
      </c>
      <c r="AT1322" s="5">
        <v>85</v>
      </c>
      <c r="AU1322" s="5">
        <v>9</v>
      </c>
      <c r="AV1322" s="5">
        <v>48.6</v>
      </c>
      <c r="AW1322" s="5">
        <v>9.91</v>
      </c>
      <c r="AX1322" s="5">
        <v>90</v>
      </c>
      <c r="AY1322" s="5" t="s">
        <v>125</v>
      </c>
      <c r="AZ1322" s="5" t="s">
        <v>75</v>
      </c>
      <c r="BA1322" s="5">
        <v>4.71</v>
      </c>
      <c r="BB1322" s="12" t="s">
        <v>76</v>
      </c>
      <c r="BC1322" s="5">
        <v>4.19</v>
      </c>
      <c r="BD1322" s="5">
        <v>95</v>
      </c>
      <c r="BE1322" s="5">
        <v>0.98</v>
      </c>
      <c r="BF1322" s="5">
        <v>2.79</v>
      </c>
      <c r="BG1322" s="15">
        <v>36.5</v>
      </c>
      <c r="BH1322" s="5">
        <v>84</v>
      </c>
      <c r="BI1322" s="5">
        <v>84</v>
      </c>
      <c r="BJ1322" s="5" t="s">
        <v>76</v>
      </c>
      <c r="BK1322" s="5">
        <v>110</v>
      </c>
      <c r="BL1322" s="5">
        <v>70</v>
      </c>
      <c r="BM1322" s="5">
        <v>68</v>
      </c>
      <c r="BN1322" s="5">
        <v>175</v>
      </c>
      <c r="BO1322" s="5">
        <f t="shared" si="20"/>
        <v>22.2040816326531</v>
      </c>
      <c r="BP1322" s="5" t="s">
        <v>117</v>
      </c>
      <c r="BQ1322" s="5" t="s">
        <v>76</v>
      </c>
      <c r="BR1322" s="5">
        <v>654</v>
      </c>
    </row>
    <row r="1323" s="1" customFormat="1" spans="1:70">
      <c r="A1323" s="1">
        <v>3501076</v>
      </c>
      <c r="B1323" s="1" t="s">
        <v>2972</v>
      </c>
      <c r="D1323" s="4">
        <v>45268</v>
      </c>
      <c r="E1323" s="4">
        <v>45278</v>
      </c>
      <c r="F1323" s="7">
        <v>29877</v>
      </c>
      <c r="G1323" s="1">
        <v>44</v>
      </c>
      <c r="H1323" s="1">
        <v>10</v>
      </c>
      <c r="I1323" s="1">
        <v>64</v>
      </c>
      <c r="J1323" s="1">
        <v>9</v>
      </c>
      <c r="K1323" s="1">
        <v>37</v>
      </c>
      <c r="L1323" s="1">
        <v>18</v>
      </c>
      <c r="M1323" s="1">
        <v>1.84</v>
      </c>
      <c r="N1323" s="10">
        <v>21</v>
      </c>
      <c r="O1323" s="7">
        <v>29877</v>
      </c>
      <c r="P1323" s="4">
        <v>45268</v>
      </c>
      <c r="Q1323" s="4">
        <v>45278</v>
      </c>
      <c r="R1323" s="1" t="s">
        <v>80</v>
      </c>
      <c r="AO1323" s="7">
        <v>29877</v>
      </c>
      <c r="AP1323" s="5">
        <v>7.4</v>
      </c>
      <c r="AQ1323" s="5">
        <v>184</v>
      </c>
      <c r="AR1323" s="5">
        <v>56.7</v>
      </c>
      <c r="AS1323" s="5" t="s">
        <v>76</v>
      </c>
      <c r="AT1323" s="5">
        <v>31</v>
      </c>
      <c r="AU1323" s="5">
        <v>39</v>
      </c>
      <c r="AV1323" s="5">
        <v>46.2</v>
      </c>
      <c r="AW1323" s="5">
        <v>6.64</v>
      </c>
      <c r="AX1323" s="5">
        <v>74</v>
      </c>
      <c r="AY1323" s="5">
        <v>106.95</v>
      </c>
      <c r="AZ1323" s="5">
        <v>5.68</v>
      </c>
      <c r="BA1323" s="5">
        <v>3.64</v>
      </c>
      <c r="BB1323" s="12" t="s">
        <v>76</v>
      </c>
      <c r="BC1323" s="5">
        <v>4.35</v>
      </c>
      <c r="BD1323" s="5">
        <v>184</v>
      </c>
      <c r="BE1323" s="5">
        <v>0.93</v>
      </c>
      <c r="BF1323" s="5">
        <v>1.93</v>
      </c>
      <c r="BG1323" s="15">
        <v>36.5</v>
      </c>
      <c r="BH1323" s="5">
        <v>78</v>
      </c>
      <c r="BI1323" s="5">
        <v>78</v>
      </c>
      <c r="BJ1323" s="5">
        <v>19</v>
      </c>
      <c r="BK1323" s="5">
        <v>91</v>
      </c>
      <c r="BL1323" s="5">
        <v>58</v>
      </c>
      <c r="BM1323" s="5">
        <v>91</v>
      </c>
      <c r="BN1323" s="5">
        <v>165</v>
      </c>
      <c r="BO1323" s="5">
        <f t="shared" si="20"/>
        <v>33.425160697888</v>
      </c>
      <c r="BP1323" s="5" t="s">
        <v>107</v>
      </c>
      <c r="BQ1323" s="5">
        <v>6.5</v>
      </c>
      <c r="BR1323" s="5">
        <v>1981</v>
      </c>
    </row>
    <row r="1324" s="1" customFormat="1" spans="1:70">
      <c r="A1324" s="1">
        <v>3497004</v>
      </c>
      <c r="B1324" s="1" t="s">
        <v>2973</v>
      </c>
      <c r="D1324" s="4">
        <v>45263</v>
      </c>
      <c r="E1324" s="4">
        <v>45281</v>
      </c>
      <c r="F1324" s="7">
        <v>29915</v>
      </c>
      <c r="G1324" s="1">
        <v>30</v>
      </c>
      <c r="H1324" s="1">
        <v>10</v>
      </c>
      <c r="I1324" s="1">
        <v>47</v>
      </c>
      <c r="J1324" s="1">
        <v>10</v>
      </c>
      <c r="K1324" s="1">
        <v>61</v>
      </c>
      <c r="L1324" s="1">
        <v>33</v>
      </c>
      <c r="M1324" s="1">
        <v>1.96</v>
      </c>
      <c r="O1324" s="7">
        <v>29915</v>
      </c>
      <c r="P1324" s="4">
        <v>45263</v>
      </c>
      <c r="Q1324" s="4">
        <v>45281</v>
      </c>
      <c r="R1324" s="1" t="s">
        <v>80</v>
      </c>
      <c r="AO1324" s="7">
        <v>29915</v>
      </c>
      <c r="AP1324" s="5">
        <v>9.9</v>
      </c>
      <c r="AQ1324" s="5">
        <v>133</v>
      </c>
      <c r="AR1324" s="5">
        <v>70.9</v>
      </c>
      <c r="AS1324" s="5">
        <v>74.3</v>
      </c>
      <c r="AT1324" s="5">
        <v>74</v>
      </c>
      <c r="AU1324" s="5">
        <v>183</v>
      </c>
      <c r="AV1324" s="5">
        <v>42.5</v>
      </c>
      <c r="AW1324" s="5">
        <v>5.2</v>
      </c>
      <c r="AX1324" s="5">
        <v>70</v>
      </c>
      <c r="AY1324" s="5" t="s">
        <v>76</v>
      </c>
      <c r="AZ1324" s="5" t="s">
        <v>2974</v>
      </c>
      <c r="BA1324" s="5">
        <v>3.73</v>
      </c>
      <c r="BB1324" s="12" t="s">
        <v>76</v>
      </c>
      <c r="BC1324" s="5">
        <v>4.99</v>
      </c>
      <c r="BD1324" s="5">
        <v>133</v>
      </c>
      <c r="BE1324" s="5">
        <v>0.34</v>
      </c>
      <c r="BF1324" s="5">
        <v>1.7</v>
      </c>
      <c r="BG1324" s="15">
        <v>37</v>
      </c>
      <c r="BH1324" s="5" t="s">
        <v>76</v>
      </c>
      <c r="BI1324" s="5">
        <v>78</v>
      </c>
      <c r="BJ1324" s="5">
        <v>29</v>
      </c>
      <c r="BK1324" s="5">
        <v>116</v>
      </c>
      <c r="BL1324" s="5">
        <v>64</v>
      </c>
      <c r="BM1324" s="5">
        <v>70</v>
      </c>
      <c r="BN1324" s="5">
        <v>175</v>
      </c>
      <c r="BO1324" s="5">
        <f t="shared" si="20"/>
        <v>22.8571428571429</v>
      </c>
      <c r="BP1324" s="5" t="s">
        <v>164</v>
      </c>
      <c r="BQ1324" s="5" t="s">
        <v>76</v>
      </c>
      <c r="BR1324" s="5">
        <v>971.8</v>
      </c>
    </row>
    <row r="1325" s="1" customFormat="1" spans="1:70">
      <c r="A1325" s="1" t="s">
        <v>2975</v>
      </c>
      <c r="B1325" s="1" t="s">
        <v>2976</v>
      </c>
      <c r="C1325" s="1">
        <v>1</v>
      </c>
      <c r="D1325" s="4">
        <v>45013</v>
      </c>
      <c r="E1325" s="4">
        <v>45037</v>
      </c>
      <c r="F1325" s="7">
        <v>29921</v>
      </c>
      <c r="G1325" s="1">
        <v>36</v>
      </c>
      <c r="H1325" s="1">
        <v>10</v>
      </c>
      <c r="I1325" s="1">
        <v>47</v>
      </c>
      <c r="J1325" s="1">
        <v>10</v>
      </c>
      <c r="K1325" s="1">
        <v>63</v>
      </c>
      <c r="L1325" s="1">
        <v>34</v>
      </c>
      <c r="M1325" s="1">
        <v>1.19</v>
      </c>
      <c r="O1325" s="7">
        <v>29921</v>
      </c>
      <c r="P1325" s="4">
        <v>45013</v>
      </c>
      <c r="Q1325" s="4">
        <v>45037</v>
      </c>
      <c r="R1325" s="1" t="s">
        <v>73</v>
      </c>
      <c r="AO1325" s="7">
        <v>29921</v>
      </c>
      <c r="AP1325" s="5" t="s">
        <v>2977</v>
      </c>
      <c r="AQ1325" s="5" t="s">
        <v>613</v>
      </c>
      <c r="AR1325" s="5" t="s">
        <v>2978</v>
      </c>
      <c r="AS1325" s="5" t="s">
        <v>81</v>
      </c>
      <c r="AT1325" s="5" t="s">
        <v>225</v>
      </c>
      <c r="AU1325" s="5" t="s">
        <v>171</v>
      </c>
      <c r="AV1325" s="5" t="s">
        <v>2776</v>
      </c>
      <c r="AW1325" s="5" t="s">
        <v>2979</v>
      </c>
      <c r="AX1325" s="5" t="s">
        <v>347</v>
      </c>
      <c r="AY1325" s="5" t="s">
        <v>125</v>
      </c>
      <c r="AZ1325" s="5" t="s">
        <v>313</v>
      </c>
      <c r="BA1325" s="5" t="s">
        <v>185</v>
      </c>
      <c r="BB1325" s="12" t="s">
        <v>76</v>
      </c>
      <c r="BC1325" s="5" t="s">
        <v>2198</v>
      </c>
      <c r="BD1325" s="5" t="s">
        <v>613</v>
      </c>
      <c r="BE1325" s="5" t="s">
        <v>2074</v>
      </c>
      <c r="BF1325" s="5" t="s">
        <v>661</v>
      </c>
      <c r="BG1325" s="15">
        <v>37.2</v>
      </c>
      <c r="BH1325" s="5" t="s">
        <v>76</v>
      </c>
      <c r="BI1325" s="5" t="s">
        <v>222</v>
      </c>
      <c r="BJ1325" s="5" t="s">
        <v>1475</v>
      </c>
      <c r="BK1325" s="5" t="s">
        <v>350</v>
      </c>
      <c r="BL1325" s="5" t="s">
        <v>96</v>
      </c>
      <c r="BM1325" s="5" t="s">
        <v>2980</v>
      </c>
      <c r="BN1325" s="5">
        <v>162</v>
      </c>
      <c r="BO1325" s="5">
        <f t="shared" si="20"/>
        <v>20.0045724737083</v>
      </c>
      <c r="BP1325" s="5" t="s">
        <v>747</v>
      </c>
      <c r="BQ1325" s="5" t="s">
        <v>76</v>
      </c>
      <c r="BR1325" s="5" t="s">
        <v>1155</v>
      </c>
    </row>
    <row r="1326" s="1" customFormat="1" spans="1:70">
      <c r="A1326" s="1">
        <v>3314450</v>
      </c>
      <c r="B1326" s="1" t="s">
        <v>2981</v>
      </c>
      <c r="D1326" s="4">
        <v>45010</v>
      </c>
      <c r="E1326" s="4">
        <v>45022</v>
      </c>
      <c r="F1326" s="7">
        <v>30031</v>
      </c>
      <c r="G1326" s="1">
        <v>32</v>
      </c>
      <c r="H1326" s="1">
        <v>9</v>
      </c>
      <c r="I1326" s="1">
        <v>44</v>
      </c>
      <c r="J1326" s="1">
        <v>9</v>
      </c>
      <c r="K1326" s="1">
        <v>65</v>
      </c>
      <c r="L1326" s="1">
        <v>35</v>
      </c>
      <c r="M1326" s="1">
        <v>1.44</v>
      </c>
      <c r="O1326" s="7">
        <v>30031</v>
      </c>
      <c r="P1326" s="4">
        <v>45010</v>
      </c>
      <c r="Q1326" s="4">
        <v>45022</v>
      </c>
      <c r="R1326" s="1" t="s">
        <v>73</v>
      </c>
      <c r="AO1326" s="7">
        <v>30031</v>
      </c>
      <c r="AP1326" s="5">
        <v>8.6</v>
      </c>
      <c r="AQ1326" s="5">
        <v>138</v>
      </c>
      <c r="AR1326" s="5">
        <v>46.7</v>
      </c>
      <c r="AS1326" s="5">
        <v>79</v>
      </c>
      <c r="AT1326" s="5">
        <v>9</v>
      </c>
      <c r="AU1326" s="5">
        <v>28</v>
      </c>
      <c r="AV1326" s="5">
        <v>42.1</v>
      </c>
      <c r="AW1326" s="5">
        <v>4.72</v>
      </c>
      <c r="AX1326" s="5">
        <v>54</v>
      </c>
      <c r="AY1326" s="5" t="s">
        <v>125</v>
      </c>
      <c r="AZ1326" s="5" t="s">
        <v>75</v>
      </c>
      <c r="BA1326" s="5">
        <v>5.77</v>
      </c>
      <c r="BB1326" s="12" t="s">
        <v>76</v>
      </c>
      <c r="BC1326" s="5">
        <v>4.13</v>
      </c>
      <c r="BD1326" s="5">
        <v>138</v>
      </c>
      <c r="BE1326" s="5">
        <v>0.8</v>
      </c>
      <c r="BF1326" s="5">
        <v>3.8</v>
      </c>
      <c r="BG1326" s="15">
        <v>37</v>
      </c>
      <c r="BH1326" s="5">
        <v>67</v>
      </c>
      <c r="BI1326" s="5">
        <v>67</v>
      </c>
      <c r="BJ1326" s="5">
        <v>15</v>
      </c>
      <c r="BK1326" s="5">
        <v>137</v>
      </c>
      <c r="BL1326" s="5">
        <v>82</v>
      </c>
      <c r="BM1326" s="5" t="s">
        <v>77</v>
      </c>
      <c r="BN1326" s="5" t="s">
        <v>77</v>
      </c>
      <c r="BO1326" s="5" t="e">
        <f t="shared" si="20"/>
        <v>#VALUE!</v>
      </c>
      <c r="BP1326" s="5" t="s">
        <v>262</v>
      </c>
      <c r="BQ1326" s="5">
        <v>5.9</v>
      </c>
      <c r="BR1326" s="5">
        <v>342</v>
      </c>
    </row>
    <row r="1327" s="1" customFormat="1" spans="1:70">
      <c r="A1327" s="1">
        <v>3273585</v>
      </c>
      <c r="B1327" s="1" t="s">
        <v>2982</v>
      </c>
      <c r="D1327" s="4">
        <v>44955</v>
      </c>
      <c r="E1327" s="4">
        <v>44980</v>
      </c>
      <c r="F1327" s="7">
        <v>30184</v>
      </c>
      <c r="G1327" s="1">
        <v>39</v>
      </c>
      <c r="H1327" s="1">
        <v>9</v>
      </c>
      <c r="I1327" s="1">
        <v>57</v>
      </c>
      <c r="J1327" s="1">
        <v>9</v>
      </c>
      <c r="K1327" s="1">
        <v>44</v>
      </c>
      <c r="L1327" s="1">
        <v>22</v>
      </c>
      <c r="M1327" s="1">
        <v>1.39</v>
      </c>
      <c r="N1327" s="1">
        <v>15.2</v>
      </c>
      <c r="O1327" s="7">
        <v>30184</v>
      </c>
      <c r="P1327" s="4">
        <v>44955</v>
      </c>
      <c r="Q1327" s="4">
        <v>44980</v>
      </c>
      <c r="R1327" s="1" t="s">
        <v>80</v>
      </c>
      <c r="AO1327" s="7">
        <v>30184</v>
      </c>
      <c r="AP1327" s="5">
        <v>8.8</v>
      </c>
      <c r="AQ1327" s="5">
        <v>95</v>
      </c>
      <c r="AR1327" s="5">
        <v>48.6</v>
      </c>
      <c r="AS1327" s="5" t="s">
        <v>81</v>
      </c>
      <c r="AT1327" s="5">
        <v>31</v>
      </c>
      <c r="AU1327" s="5">
        <v>67</v>
      </c>
      <c r="AV1327" s="5">
        <v>46</v>
      </c>
      <c r="AW1327" s="5">
        <v>9.79</v>
      </c>
      <c r="AX1327" s="5">
        <v>76</v>
      </c>
      <c r="AY1327" s="5" t="s">
        <v>125</v>
      </c>
      <c r="AZ1327" s="5" t="s">
        <v>75</v>
      </c>
      <c r="BA1327" s="5">
        <v>2.26</v>
      </c>
      <c r="BB1327" s="12" t="s">
        <v>76</v>
      </c>
      <c r="BC1327" s="5">
        <v>4.71</v>
      </c>
      <c r="BD1327" s="5">
        <v>95</v>
      </c>
      <c r="BE1327" s="5" t="s">
        <v>76</v>
      </c>
      <c r="BF1327" s="5" t="s">
        <v>76</v>
      </c>
      <c r="BG1327" s="15">
        <v>36.3</v>
      </c>
      <c r="BH1327" s="5">
        <v>108</v>
      </c>
      <c r="BI1327" s="5">
        <v>108</v>
      </c>
      <c r="BJ1327" s="5">
        <v>20</v>
      </c>
      <c r="BK1327" s="5">
        <v>120</v>
      </c>
      <c r="BL1327" s="5">
        <v>80</v>
      </c>
      <c r="BM1327" s="5">
        <v>80</v>
      </c>
      <c r="BN1327" s="5">
        <v>175</v>
      </c>
      <c r="BO1327" s="5">
        <f t="shared" si="20"/>
        <v>26.1224489795918</v>
      </c>
      <c r="BP1327" s="5" t="s">
        <v>1450</v>
      </c>
      <c r="BQ1327" s="5">
        <v>6.9</v>
      </c>
      <c r="BR1327" s="5">
        <v>3799</v>
      </c>
    </row>
    <row r="1328" s="1" customFormat="1" spans="1:70">
      <c r="A1328" s="1">
        <v>3486582</v>
      </c>
      <c r="B1328" s="1" t="s">
        <v>2983</v>
      </c>
      <c r="D1328" s="4">
        <v>45250</v>
      </c>
      <c r="E1328" s="4">
        <v>45266</v>
      </c>
      <c r="F1328" s="7">
        <v>30204</v>
      </c>
      <c r="G1328" s="1">
        <v>40</v>
      </c>
      <c r="H1328" s="1">
        <v>7</v>
      </c>
      <c r="I1328" s="1">
        <v>49</v>
      </c>
      <c r="J1328" s="1">
        <v>7</v>
      </c>
      <c r="K1328" s="1">
        <v>58</v>
      </c>
      <c r="L1328" s="1">
        <v>30</v>
      </c>
      <c r="M1328" s="1">
        <v>1.24</v>
      </c>
      <c r="N1328" s="1">
        <v>12.5</v>
      </c>
      <c r="O1328" s="7">
        <v>30204</v>
      </c>
      <c r="P1328" s="4">
        <v>45250</v>
      </c>
      <c r="Q1328" s="4">
        <v>45266</v>
      </c>
      <c r="R1328" s="1" t="s">
        <v>73</v>
      </c>
      <c r="AO1328" s="7">
        <v>30204</v>
      </c>
      <c r="AP1328" s="5">
        <v>9.6</v>
      </c>
      <c r="AQ1328" s="5">
        <v>78</v>
      </c>
      <c r="AR1328" s="5">
        <v>24.6</v>
      </c>
      <c r="AS1328" s="5">
        <v>7.4</v>
      </c>
      <c r="AT1328" s="5">
        <v>32</v>
      </c>
      <c r="AU1328" s="5">
        <v>7</v>
      </c>
      <c r="AV1328" s="5">
        <v>24.1</v>
      </c>
      <c r="AW1328" s="5">
        <v>25.83</v>
      </c>
      <c r="AX1328" s="5">
        <v>242</v>
      </c>
      <c r="AY1328" s="5">
        <v>30.13</v>
      </c>
      <c r="AZ1328" s="5">
        <v>6.39</v>
      </c>
      <c r="BA1328" s="5">
        <v>8.26</v>
      </c>
      <c r="BB1328" s="12" t="s">
        <v>76</v>
      </c>
      <c r="BC1328" s="5">
        <v>6</v>
      </c>
      <c r="BD1328" s="5">
        <v>78</v>
      </c>
      <c r="BE1328" s="5" t="s">
        <v>76</v>
      </c>
      <c r="BF1328" s="5" t="s">
        <v>76</v>
      </c>
      <c r="BG1328" s="15">
        <v>36.7</v>
      </c>
      <c r="BH1328" s="5">
        <v>86</v>
      </c>
      <c r="BI1328" s="5">
        <v>86</v>
      </c>
      <c r="BJ1328" s="5">
        <v>16</v>
      </c>
      <c r="BK1328" s="5">
        <v>156</v>
      </c>
      <c r="BL1328" s="5">
        <v>104</v>
      </c>
      <c r="BM1328" s="5">
        <v>70</v>
      </c>
      <c r="BN1328" s="5">
        <v>160</v>
      </c>
      <c r="BO1328" s="5">
        <f t="shared" si="20"/>
        <v>27.34375</v>
      </c>
      <c r="BP1328" s="5" t="s">
        <v>415</v>
      </c>
      <c r="BQ1328" s="5">
        <v>4.6</v>
      </c>
      <c r="BR1328" s="5" t="s">
        <v>118</v>
      </c>
    </row>
    <row r="1329" s="1" customFormat="1" spans="1:70">
      <c r="A1329" s="1">
        <v>3314524</v>
      </c>
      <c r="B1329" s="1" t="s">
        <v>2984</v>
      </c>
      <c r="D1329" s="4">
        <v>45010</v>
      </c>
      <c r="E1329" s="4">
        <v>45020</v>
      </c>
      <c r="F1329" s="7">
        <v>30209</v>
      </c>
      <c r="G1329" s="1">
        <v>35</v>
      </c>
      <c r="H1329" s="1">
        <v>10</v>
      </c>
      <c r="I1329" s="1">
        <v>48</v>
      </c>
      <c r="J1329" s="1">
        <v>10</v>
      </c>
      <c r="K1329" s="1">
        <v>60</v>
      </c>
      <c r="L1329" s="1">
        <v>32</v>
      </c>
      <c r="M1329" s="1">
        <v>0.82</v>
      </c>
      <c r="N1329" s="10">
        <v>9</v>
      </c>
      <c r="O1329" s="7">
        <v>30209</v>
      </c>
      <c r="P1329" s="4">
        <v>45010</v>
      </c>
      <c r="Q1329" s="4">
        <v>45020</v>
      </c>
      <c r="R1329" s="1" t="s">
        <v>80</v>
      </c>
      <c r="AO1329" s="7">
        <v>30209</v>
      </c>
      <c r="AP1329" s="5">
        <v>9.8</v>
      </c>
      <c r="AQ1329" s="5">
        <v>169</v>
      </c>
      <c r="AR1329" s="5">
        <v>51.1</v>
      </c>
      <c r="AS1329" s="5">
        <v>7.9</v>
      </c>
      <c r="AT1329" s="5">
        <v>52</v>
      </c>
      <c r="AU1329" s="5">
        <v>98</v>
      </c>
      <c r="AV1329" s="5">
        <v>44.5</v>
      </c>
      <c r="AW1329" s="5">
        <v>9.5</v>
      </c>
      <c r="AX1329" s="5">
        <v>67</v>
      </c>
      <c r="AY1329" s="5" t="s">
        <v>125</v>
      </c>
      <c r="AZ1329" s="5">
        <v>8.6</v>
      </c>
      <c r="BA1329" s="5">
        <v>5.64</v>
      </c>
      <c r="BB1329" s="12" t="s">
        <v>76</v>
      </c>
      <c r="BC1329" s="5">
        <v>4.57</v>
      </c>
      <c r="BD1329" s="5">
        <v>169</v>
      </c>
      <c r="BE1329" s="5">
        <v>0.71</v>
      </c>
      <c r="BF1329" s="5">
        <v>3.53</v>
      </c>
      <c r="BG1329" s="15">
        <v>36.3</v>
      </c>
      <c r="BH1329" s="5">
        <v>72</v>
      </c>
      <c r="BI1329" s="5">
        <v>72</v>
      </c>
      <c r="BJ1329" s="5">
        <v>22</v>
      </c>
      <c r="BK1329" s="5">
        <v>131</v>
      </c>
      <c r="BL1329" s="5">
        <v>71</v>
      </c>
      <c r="BM1329" s="5">
        <v>82</v>
      </c>
      <c r="BN1329" s="5">
        <v>165</v>
      </c>
      <c r="BO1329" s="5">
        <f t="shared" si="20"/>
        <v>30.119375573921</v>
      </c>
      <c r="BP1329" s="5" t="s">
        <v>156</v>
      </c>
      <c r="BQ1329" s="5">
        <v>7.3</v>
      </c>
      <c r="BR1329" s="5">
        <v>743.3</v>
      </c>
    </row>
    <row r="1330" s="1" customFormat="1" spans="1:70">
      <c r="A1330" s="1">
        <v>3321716</v>
      </c>
      <c r="B1330" s="1" t="s">
        <v>2985</v>
      </c>
      <c r="D1330" s="4">
        <v>45020</v>
      </c>
      <c r="E1330" s="4">
        <v>45028</v>
      </c>
      <c r="F1330" s="7">
        <v>30217</v>
      </c>
      <c r="G1330" s="1">
        <v>46</v>
      </c>
      <c r="H1330" s="1">
        <v>10</v>
      </c>
      <c r="I1330" s="1">
        <v>61</v>
      </c>
      <c r="J1330" s="1">
        <v>10</v>
      </c>
      <c r="K1330" s="1">
        <v>33</v>
      </c>
      <c r="L1330" s="1">
        <v>16</v>
      </c>
      <c r="M1330" s="9">
        <v>92</v>
      </c>
      <c r="N1330" s="1">
        <v>13.7</v>
      </c>
      <c r="O1330" s="7">
        <v>30217</v>
      </c>
      <c r="P1330" s="4">
        <v>45020</v>
      </c>
      <c r="Q1330" s="4">
        <v>45028</v>
      </c>
      <c r="R1330" s="1" t="s">
        <v>80</v>
      </c>
      <c r="AO1330" s="7">
        <v>30217</v>
      </c>
      <c r="AP1330" s="5">
        <v>5.5</v>
      </c>
      <c r="AQ1330" s="5">
        <v>187</v>
      </c>
      <c r="AR1330" s="5">
        <v>54.4</v>
      </c>
      <c r="AS1330" s="5" t="s">
        <v>81</v>
      </c>
      <c r="AT1330" s="5">
        <v>40</v>
      </c>
      <c r="AU1330" s="5">
        <v>43</v>
      </c>
      <c r="AV1330" s="5">
        <v>41.4</v>
      </c>
      <c r="AW1330" s="5">
        <v>5.97</v>
      </c>
      <c r="AX1330" s="5">
        <v>66</v>
      </c>
      <c r="AY1330" s="5" t="s">
        <v>125</v>
      </c>
      <c r="AZ1330" s="5">
        <v>4.93</v>
      </c>
      <c r="BA1330" s="5">
        <v>5.69</v>
      </c>
      <c r="BB1330" s="12" t="s">
        <v>76</v>
      </c>
      <c r="BC1330" s="5">
        <v>4.31</v>
      </c>
      <c r="BD1330" s="5">
        <v>187</v>
      </c>
      <c r="BE1330" s="5">
        <v>1.16</v>
      </c>
      <c r="BF1330" s="5">
        <v>3.92</v>
      </c>
      <c r="BG1330" s="15">
        <v>36.6</v>
      </c>
      <c r="BH1330" s="5">
        <v>76</v>
      </c>
      <c r="BI1330" s="5">
        <v>92</v>
      </c>
      <c r="BJ1330" s="5">
        <v>17</v>
      </c>
      <c r="BK1330" s="5">
        <v>111</v>
      </c>
      <c r="BL1330" s="5">
        <v>50</v>
      </c>
      <c r="BM1330" s="5">
        <v>100</v>
      </c>
      <c r="BN1330" s="5">
        <v>182</v>
      </c>
      <c r="BO1330" s="5">
        <f t="shared" si="20"/>
        <v>30.1895906291511</v>
      </c>
      <c r="BP1330" s="5" t="s">
        <v>78</v>
      </c>
      <c r="BQ1330" s="5">
        <v>5.6</v>
      </c>
      <c r="BR1330" s="5">
        <v>873</v>
      </c>
    </row>
    <row r="1331" s="1" customFormat="1" spans="1:70">
      <c r="A1331" s="1">
        <v>3311872</v>
      </c>
      <c r="B1331" s="1" t="s">
        <v>2986</v>
      </c>
      <c r="D1331" s="4">
        <v>45006</v>
      </c>
      <c r="E1331" s="4">
        <v>45014</v>
      </c>
      <c r="F1331" s="7">
        <v>30286</v>
      </c>
      <c r="G1331" s="1">
        <v>56</v>
      </c>
      <c r="H1331" s="1">
        <v>9</v>
      </c>
      <c r="I1331" s="1">
        <v>71</v>
      </c>
      <c r="J1331" s="1">
        <v>9</v>
      </c>
      <c r="K1331" s="1">
        <v>35</v>
      </c>
      <c r="L1331" s="1">
        <v>17</v>
      </c>
      <c r="M1331" s="1">
        <v>0.67</v>
      </c>
      <c r="N1331" s="1">
        <v>17.3</v>
      </c>
      <c r="O1331" s="7">
        <v>30286</v>
      </c>
      <c r="P1331" s="4">
        <v>45006</v>
      </c>
      <c r="Q1331" s="4">
        <v>45014</v>
      </c>
      <c r="R1331" s="1" t="s">
        <v>80</v>
      </c>
      <c r="AO1331" s="7">
        <v>30286</v>
      </c>
      <c r="AP1331" s="5">
        <v>4.8</v>
      </c>
      <c r="AQ1331" s="5">
        <v>163</v>
      </c>
      <c r="AR1331" s="5">
        <v>50.6</v>
      </c>
      <c r="AS1331" s="5" t="s">
        <v>76</v>
      </c>
      <c r="AT1331" s="5">
        <v>23</v>
      </c>
      <c r="AU1331" s="5">
        <v>38</v>
      </c>
      <c r="AV1331" s="5">
        <v>41</v>
      </c>
      <c r="AW1331" s="5">
        <v>2.34</v>
      </c>
      <c r="AX1331" s="5">
        <v>61</v>
      </c>
      <c r="AY1331" s="5" t="s">
        <v>125</v>
      </c>
      <c r="AZ1331" s="5">
        <v>5.63</v>
      </c>
      <c r="BA1331" s="5">
        <v>2.96</v>
      </c>
      <c r="BB1331" s="12" t="s">
        <v>76</v>
      </c>
      <c r="BC1331" s="5">
        <v>3.93</v>
      </c>
      <c r="BD1331" s="5">
        <v>163</v>
      </c>
      <c r="BE1331" s="5">
        <v>0.84</v>
      </c>
      <c r="BF1331" s="5">
        <v>1.74</v>
      </c>
      <c r="BG1331" s="15">
        <v>36.3</v>
      </c>
      <c r="BH1331" s="5">
        <v>101</v>
      </c>
      <c r="BI1331" s="5">
        <v>101</v>
      </c>
      <c r="BJ1331" s="5">
        <v>18</v>
      </c>
      <c r="BK1331" s="5">
        <v>122</v>
      </c>
      <c r="BL1331" s="5">
        <v>93</v>
      </c>
      <c r="BM1331" s="5">
        <v>108</v>
      </c>
      <c r="BN1331" s="5">
        <v>175</v>
      </c>
      <c r="BO1331" s="5">
        <f t="shared" si="20"/>
        <v>35.265306122449</v>
      </c>
      <c r="BP1331" s="5" t="s">
        <v>107</v>
      </c>
      <c r="BQ1331" s="5" t="s">
        <v>76</v>
      </c>
      <c r="BR1331" s="5">
        <v>605</v>
      </c>
    </row>
    <row r="1332" s="1" customFormat="1" spans="1:70">
      <c r="A1332" s="1">
        <v>3484972</v>
      </c>
      <c r="B1332" s="1" t="s">
        <v>2987</v>
      </c>
      <c r="D1332" s="4">
        <v>45246</v>
      </c>
      <c r="E1332" s="4">
        <v>45265</v>
      </c>
      <c r="F1332" s="7">
        <v>30304</v>
      </c>
      <c r="G1332" s="1">
        <v>41</v>
      </c>
      <c r="H1332" s="1">
        <v>8</v>
      </c>
      <c r="I1332" s="1">
        <v>48</v>
      </c>
      <c r="J1332" s="1">
        <v>8</v>
      </c>
      <c r="K1332" s="1">
        <v>60</v>
      </c>
      <c r="L1332" s="1">
        <v>32</v>
      </c>
      <c r="M1332" s="1">
        <v>2.08</v>
      </c>
      <c r="N1332" s="1">
        <v>9.7</v>
      </c>
      <c r="O1332" s="7">
        <v>30304</v>
      </c>
      <c r="P1332" s="4">
        <v>45246</v>
      </c>
      <c r="Q1332" s="4">
        <v>45265</v>
      </c>
      <c r="R1332" s="1" t="s">
        <v>80</v>
      </c>
      <c r="AO1332" s="7">
        <v>30304</v>
      </c>
      <c r="AP1332" s="5">
        <v>9.8</v>
      </c>
      <c r="AQ1332" s="5">
        <v>96</v>
      </c>
      <c r="AR1332" s="5">
        <v>40</v>
      </c>
      <c r="AS1332" s="5">
        <v>92.3</v>
      </c>
      <c r="AT1332" s="5">
        <v>9</v>
      </c>
      <c r="AU1332" s="5">
        <v>9</v>
      </c>
      <c r="AV1332" s="5">
        <v>40.4</v>
      </c>
      <c r="AW1332" s="5">
        <v>8.8</v>
      </c>
      <c r="AX1332" s="5">
        <v>60</v>
      </c>
      <c r="AY1332" s="5" t="s">
        <v>125</v>
      </c>
      <c r="AZ1332" s="5">
        <v>8.8</v>
      </c>
      <c r="BA1332" s="5" t="s">
        <v>76</v>
      </c>
      <c r="BB1332" s="12" t="s">
        <v>76</v>
      </c>
      <c r="BC1332" s="5">
        <v>5.58</v>
      </c>
      <c r="BD1332" s="5">
        <v>96</v>
      </c>
      <c r="BE1332" s="5" t="s">
        <v>76</v>
      </c>
      <c r="BF1332" s="5" t="s">
        <v>76</v>
      </c>
      <c r="BG1332" s="15">
        <v>36.6</v>
      </c>
      <c r="BH1332" s="5">
        <v>80</v>
      </c>
      <c r="BI1332" s="5">
        <v>80</v>
      </c>
      <c r="BJ1332" s="5">
        <v>13</v>
      </c>
      <c r="BK1332" s="5">
        <v>115</v>
      </c>
      <c r="BL1332" s="5">
        <v>66</v>
      </c>
      <c r="BM1332" s="5">
        <v>61</v>
      </c>
      <c r="BN1332" s="5">
        <v>169</v>
      </c>
      <c r="BO1332" s="5">
        <f t="shared" si="20"/>
        <v>21.3577955953923</v>
      </c>
      <c r="BP1332" s="5" t="s">
        <v>168</v>
      </c>
      <c r="BQ1332" s="5">
        <v>12</v>
      </c>
      <c r="BR1332" s="5">
        <v>912</v>
      </c>
    </row>
    <row r="1333" s="1" customFormat="1" spans="1:70">
      <c r="A1333" s="1">
        <v>3514053</v>
      </c>
      <c r="B1333" s="1" t="s">
        <v>2988</v>
      </c>
      <c r="D1333" s="4">
        <v>45286</v>
      </c>
      <c r="E1333" s="4">
        <v>45300</v>
      </c>
      <c r="F1333" s="7">
        <v>30380</v>
      </c>
      <c r="G1333" s="1">
        <v>48</v>
      </c>
      <c r="H1333" s="1">
        <v>9</v>
      </c>
      <c r="I1333" s="1">
        <v>38</v>
      </c>
      <c r="J1333" s="1">
        <v>9</v>
      </c>
      <c r="K1333" s="1">
        <v>68</v>
      </c>
      <c r="L1333" s="1">
        <v>37</v>
      </c>
      <c r="O1333" s="7">
        <v>30380</v>
      </c>
      <c r="P1333" s="4">
        <v>45286</v>
      </c>
      <c r="Q1333" s="4">
        <v>45300</v>
      </c>
      <c r="R1333" s="1" t="s">
        <v>73</v>
      </c>
      <c r="AO1333" s="7">
        <v>30380</v>
      </c>
      <c r="AP1333" s="5">
        <v>8.4</v>
      </c>
      <c r="AQ1333" s="5">
        <v>119</v>
      </c>
      <c r="AR1333" s="5">
        <v>64</v>
      </c>
      <c r="AS1333" s="5" t="s">
        <v>76</v>
      </c>
      <c r="AT1333" s="5">
        <v>98</v>
      </c>
      <c r="AU1333" s="5">
        <v>25</v>
      </c>
      <c r="AV1333" s="5">
        <v>45.8</v>
      </c>
      <c r="AW1333" s="5">
        <v>6</v>
      </c>
      <c r="AX1333" s="5">
        <v>61</v>
      </c>
      <c r="AY1333" s="5">
        <v>49.68</v>
      </c>
      <c r="AZ1333" s="5" t="s">
        <v>75</v>
      </c>
      <c r="BA1333" s="5">
        <v>3.82</v>
      </c>
      <c r="BB1333" s="12" t="s">
        <v>76</v>
      </c>
      <c r="BC1333" s="5">
        <v>6.68</v>
      </c>
      <c r="BD1333" s="5">
        <v>119</v>
      </c>
      <c r="BE1333" s="5">
        <v>0.96</v>
      </c>
      <c r="BF1333" s="5">
        <v>2.28</v>
      </c>
      <c r="BG1333" s="15">
        <v>36.5</v>
      </c>
      <c r="BH1333" s="5">
        <v>66</v>
      </c>
      <c r="BI1333" s="5">
        <v>66</v>
      </c>
      <c r="BJ1333" s="5">
        <v>18</v>
      </c>
      <c r="BK1333" s="5">
        <v>104</v>
      </c>
      <c r="BL1333" s="5">
        <v>62</v>
      </c>
      <c r="BM1333" s="5">
        <v>51</v>
      </c>
      <c r="BN1333" s="5">
        <v>153</v>
      </c>
      <c r="BO1333" s="5">
        <f t="shared" si="20"/>
        <v>21.7864923747277</v>
      </c>
      <c r="BP1333" s="5" t="s">
        <v>1450</v>
      </c>
      <c r="BQ1333" s="5">
        <v>5.1</v>
      </c>
      <c r="BR1333" s="5">
        <v>7425</v>
      </c>
    </row>
    <row r="1334" s="1" customFormat="1" spans="1:70">
      <c r="A1334" s="1">
        <v>3242679</v>
      </c>
      <c r="B1334" s="1" t="s">
        <v>2989</v>
      </c>
      <c r="D1334" s="4">
        <v>44890</v>
      </c>
      <c r="E1334" s="4">
        <v>44896</v>
      </c>
      <c r="F1334" s="7">
        <v>30446</v>
      </c>
      <c r="G1334" s="1">
        <v>41</v>
      </c>
      <c r="H1334" s="1">
        <v>12</v>
      </c>
      <c r="I1334" s="1">
        <v>49</v>
      </c>
      <c r="J1334" s="1">
        <v>12</v>
      </c>
      <c r="K1334" s="1">
        <v>72</v>
      </c>
      <c r="L1334" s="1">
        <v>41</v>
      </c>
      <c r="M1334" s="1">
        <v>0.78</v>
      </c>
      <c r="N1334" s="1">
        <v>18.7</v>
      </c>
      <c r="O1334" s="7">
        <v>30446</v>
      </c>
      <c r="P1334" s="4">
        <v>44890</v>
      </c>
      <c r="Q1334" s="4">
        <v>44896</v>
      </c>
      <c r="R1334" s="1" t="s">
        <v>80</v>
      </c>
      <c r="AO1334" s="7">
        <v>30446</v>
      </c>
      <c r="AP1334" s="5">
        <v>7.3</v>
      </c>
      <c r="AQ1334" s="5">
        <v>136</v>
      </c>
      <c r="AR1334" s="5">
        <v>41.2</v>
      </c>
      <c r="AS1334" s="5" t="s">
        <v>81</v>
      </c>
      <c r="AT1334" s="5">
        <v>16</v>
      </c>
      <c r="AU1334" s="5">
        <v>22</v>
      </c>
      <c r="AV1334" s="5">
        <v>46.7</v>
      </c>
      <c r="AW1334" s="5">
        <v>7.06</v>
      </c>
      <c r="AX1334" s="5">
        <v>60</v>
      </c>
      <c r="AY1334" s="5" t="s">
        <v>125</v>
      </c>
      <c r="AZ1334" s="5" t="s">
        <v>75</v>
      </c>
      <c r="BA1334" s="5">
        <v>2.95</v>
      </c>
      <c r="BB1334" s="12" t="s">
        <v>76</v>
      </c>
      <c r="BC1334" s="5">
        <v>3.91</v>
      </c>
      <c r="BD1334" s="5">
        <v>136</v>
      </c>
      <c r="BE1334" s="5">
        <v>0.7</v>
      </c>
      <c r="BF1334" s="5">
        <v>1.76</v>
      </c>
      <c r="BG1334" s="15">
        <v>36.6</v>
      </c>
      <c r="BH1334" s="5">
        <v>77</v>
      </c>
      <c r="BI1334" s="5" t="s">
        <v>76</v>
      </c>
      <c r="BJ1334" s="5">
        <v>17</v>
      </c>
      <c r="BK1334" s="5">
        <v>106</v>
      </c>
      <c r="BL1334" s="5">
        <v>74</v>
      </c>
      <c r="BM1334" s="5">
        <v>80</v>
      </c>
      <c r="BN1334" s="5">
        <v>170</v>
      </c>
      <c r="BO1334" s="5">
        <f t="shared" si="20"/>
        <v>27.681660899654</v>
      </c>
      <c r="BP1334" s="5" t="s">
        <v>78</v>
      </c>
      <c r="BQ1334" s="5">
        <v>5.8</v>
      </c>
      <c r="BR1334" s="5">
        <v>318</v>
      </c>
    </row>
    <row r="1335" s="1" customFormat="1" spans="1:70">
      <c r="A1335" s="1">
        <v>3258098</v>
      </c>
      <c r="B1335" s="1" t="s">
        <v>2990</v>
      </c>
      <c r="D1335" s="4">
        <v>44925</v>
      </c>
      <c r="E1335" s="4">
        <v>44932</v>
      </c>
      <c r="F1335" s="7">
        <v>30469</v>
      </c>
      <c r="G1335" s="1">
        <v>42</v>
      </c>
      <c r="H1335" s="1">
        <v>10</v>
      </c>
      <c r="I1335" s="1">
        <v>55</v>
      </c>
      <c r="J1335" s="1">
        <v>10</v>
      </c>
      <c r="K1335" s="1">
        <v>44</v>
      </c>
      <c r="L1335" s="1">
        <v>22</v>
      </c>
      <c r="M1335" s="1">
        <v>1.33</v>
      </c>
      <c r="N1335" s="1">
        <v>13.7</v>
      </c>
      <c r="O1335" s="7">
        <v>30469</v>
      </c>
      <c r="P1335" s="4">
        <v>44925</v>
      </c>
      <c r="Q1335" s="4">
        <v>44932</v>
      </c>
      <c r="R1335" s="1" t="s">
        <v>80</v>
      </c>
      <c r="AO1335" s="7">
        <v>30469</v>
      </c>
      <c r="AP1335" s="5">
        <v>9.3</v>
      </c>
      <c r="AQ1335" s="5">
        <v>154</v>
      </c>
      <c r="AR1335" s="5">
        <v>48.5</v>
      </c>
      <c r="AS1335" s="5">
        <v>1.6</v>
      </c>
      <c r="AT1335" s="5">
        <v>612</v>
      </c>
      <c r="AU1335" s="5">
        <v>75</v>
      </c>
      <c r="AV1335" s="5">
        <v>42.9</v>
      </c>
      <c r="AW1335" s="5">
        <v>5.48</v>
      </c>
      <c r="AX1335" s="5">
        <v>61</v>
      </c>
      <c r="AY1335" s="5" t="s">
        <v>125</v>
      </c>
      <c r="AZ1335" s="5">
        <v>8.17</v>
      </c>
      <c r="BA1335" s="5">
        <v>4.28</v>
      </c>
      <c r="BB1335" s="12" t="s">
        <v>76</v>
      </c>
      <c r="BC1335" s="5">
        <v>4.14</v>
      </c>
      <c r="BD1335" s="5">
        <v>154</v>
      </c>
      <c r="BE1335" s="5">
        <v>0.65</v>
      </c>
      <c r="BF1335" s="5">
        <v>2.94</v>
      </c>
      <c r="BG1335" s="15">
        <v>36.8</v>
      </c>
      <c r="BH1335" s="5">
        <v>98</v>
      </c>
      <c r="BI1335" s="5">
        <v>98</v>
      </c>
      <c r="BJ1335" s="5">
        <v>17</v>
      </c>
      <c r="BK1335" s="5">
        <v>143</v>
      </c>
      <c r="BL1335" s="5">
        <v>98</v>
      </c>
      <c r="BM1335" s="5">
        <v>95</v>
      </c>
      <c r="BN1335" s="5">
        <v>180</v>
      </c>
      <c r="BO1335" s="5">
        <f t="shared" si="20"/>
        <v>29.320987654321</v>
      </c>
      <c r="BP1335" s="5" t="s">
        <v>121</v>
      </c>
      <c r="BQ1335" s="5" t="s">
        <v>76</v>
      </c>
      <c r="BR1335" s="5">
        <v>624</v>
      </c>
    </row>
    <row r="1336" s="1" customFormat="1" spans="1:70">
      <c r="A1336" s="1">
        <v>3263148</v>
      </c>
      <c r="B1336" s="1" t="s">
        <v>2991</v>
      </c>
      <c r="D1336" s="4">
        <v>44933</v>
      </c>
      <c r="E1336" s="4">
        <v>44939</v>
      </c>
      <c r="F1336" s="7">
        <v>30505</v>
      </c>
      <c r="G1336" s="1">
        <v>36</v>
      </c>
      <c r="H1336" s="1">
        <v>11</v>
      </c>
      <c r="I1336" s="1">
        <v>50</v>
      </c>
      <c r="J1336" s="1">
        <v>10</v>
      </c>
      <c r="K1336" s="1">
        <v>51</v>
      </c>
      <c r="L1336" s="1">
        <v>26</v>
      </c>
      <c r="M1336" s="1">
        <v>1.38</v>
      </c>
      <c r="N1336" s="1">
        <v>15.4</v>
      </c>
      <c r="O1336" s="7">
        <v>30505</v>
      </c>
      <c r="P1336" s="4">
        <v>44933</v>
      </c>
      <c r="Q1336" s="4">
        <v>44939</v>
      </c>
      <c r="R1336" s="1" t="s">
        <v>80</v>
      </c>
      <c r="AO1336" s="7">
        <v>30505</v>
      </c>
      <c r="AP1336" s="5">
        <v>9.7</v>
      </c>
      <c r="AQ1336" s="5">
        <v>159</v>
      </c>
      <c r="AR1336" s="5">
        <v>48.4</v>
      </c>
      <c r="AS1336" s="5">
        <v>5.6</v>
      </c>
      <c r="AT1336" s="5">
        <v>60</v>
      </c>
      <c r="AU1336" s="5">
        <v>63</v>
      </c>
      <c r="AV1336" s="5">
        <v>40.6</v>
      </c>
      <c r="AW1336" s="5">
        <v>4.69</v>
      </c>
      <c r="AX1336" s="5">
        <v>67</v>
      </c>
      <c r="AY1336" s="5" t="s">
        <v>125</v>
      </c>
      <c r="AZ1336" s="5" t="s">
        <v>75</v>
      </c>
      <c r="BA1336" s="5">
        <v>5.71</v>
      </c>
      <c r="BB1336" s="12" t="s">
        <v>76</v>
      </c>
      <c r="BC1336" s="5">
        <v>4.18</v>
      </c>
      <c r="BD1336" s="5">
        <v>159</v>
      </c>
      <c r="BE1336" s="5">
        <v>0.78</v>
      </c>
      <c r="BF1336" s="5">
        <v>4.25</v>
      </c>
      <c r="BG1336" s="15">
        <v>36.4</v>
      </c>
      <c r="BH1336" s="5">
        <v>65</v>
      </c>
      <c r="BI1336" s="5">
        <v>65</v>
      </c>
      <c r="BJ1336" s="5">
        <v>18</v>
      </c>
      <c r="BK1336" s="5">
        <v>110</v>
      </c>
      <c r="BL1336" s="5">
        <v>72</v>
      </c>
      <c r="BM1336" s="5">
        <v>90</v>
      </c>
      <c r="BN1336" s="5">
        <v>173</v>
      </c>
      <c r="BO1336" s="5">
        <f t="shared" si="20"/>
        <v>30.0711684319556</v>
      </c>
      <c r="BP1336" s="5" t="s">
        <v>323</v>
      </c>
      <c r="BQ1336" s="5">
        <v>5.7</v>
      </c>
      <c r="BR1336" s="5">
        <v>892</v>
      </c>
    </row>
    <row r="1337" s="1" customFormat="1" spans="1:70">
      <c r="A1337" s="1">
        <v>3261696</v>
      </c>
      <c r="B1337" s="1" t="s">
        <v>2992</v>
      </c>
      <c r="D1337" s="4">
        <v>44930</v>
      </c>
      <c r="E1337" s="4">
        <v>44946</v>
      </c>
      <c r="F1337" s="7">
        <v>30573</v>
      </c>
      <c r="G1337" s="1">
        <v>45</v>
      </c>
      <c r="H1337" s="1">
        <v>10</v>
      </c>
      <c r="I1337" s="1">
        <v>55</v>
      </c>
      <c r="J1337" s="1">
        <v>10</v>
      </c>
      <c r="K1337" s="1">
        <v>51</v>
      </c>
      <c r="L1337" s="1">
        <v>26</v>
      </c>
      <c r="M1337" s="1">
        <v>1.17</v>
      </c>
      <c r="N1337" s="1">
        <v>27.4</v>
      </c>
      <c r="O1337" s="7">
        <v>30573</v>
      </c>
      <c r="P1337" s="4">
        <v>44930</v>
      </c>
      <c r="Q1337" s="4">
        <v>44946</v>
      </c>
      <c r="R1337" s="1" t="s">
        <v>73</v>
      </c>
      <c r="AO1337" s="7">
        <v>30573</v>
      </c>
      <c r="AP1337" s="5">
        <v>6.1</v>
      </c>
      <c r="AQ1337" s="5">
        <v>87</v>
      </c>
      <c r="AR1337" s="5">
        <v>26.6</v>
      </c>
      <c r="AS1337" s="5" t="s">
        <v>81</v>
      </c>
      <c r="AT1337" s="5">
        <v>39</v>
      </c>
      <c r="AU1337" s="5">
        <v>9</v>
      </c>
      <c r="AV1337" s="5">
        <v>32.2</v>
      </c>
      <c r="AW1337" s="5">
        <v>22.84</v>
      </c>
      <c r="AX1337" s="5">
        <v>228</v>
      </c>
      <c r="AY1337" s="5">
        <v>26.81</v>
      </c>
      <c r="AZ1337" s="5">
        <v>5.96</v>
      </c>
      <c r="BA1337" s="5">
        <v>7.12</v>
      </c>
      <c r="BB1337" s="12" t="s">
        <v>76</v>
      </c>
      <c r="BC1337" s="5">
        <v>5.3</v>
      </c>
      <c r="BD1337" s="5">
        <v>87</v>
      </c>
      <c r="BE1337" s="5">
        <v>0.86</v>
      </c>
      <c r="BF1337" s="5">
        <v>5.27</v>
      </c>
      <c r="BG1337" s="15">
        <v>36.8</v>
      </c>
      <c r="BH1337" s="5">
        <v>88</v>
      </c>
      <c r="BI1337" s="5">
        <v>88</v>
      </c>
      <c r="BJ1337" s="5">
        <v>16</v>
      </c>
      <c r="BK1337" s="5">
        <v>139</v>
      </c>
      <c r="BL1337" s="5">
        <v>63</v>
      </c>
      <c r="BM1337" s="5">
        <v>73</v>
      </c>
      <c r="BN1337" s="5">
        <v>155</v>
      </c>
      <c r="BO1337" s="5">
        <f t="shared" si="20"/>
        <v>30.3850156087409</v>
      </c>
      <c r="BP1337" s="5" t="s">
        <v>415</v>
      </c>
      <c r="BQ1337" s="5">
        <v>7</v>
      </c>
      <c r="BR1337" s="5">
        <v>916</v>
      </c>
    </row>
    <row r="1338" s="1" customFormat="1" spans="1:70">
      <c r="A1338" s="1">
        <v>3325680</v>
      </c>
      <c r="B1338" s="1" t="s">
        <v>2992</v>
      </c>
      <c r="D1338" s="4">
        <v>45026</v>
      </c>
      <c r="E1338" s="4">
        <v>45037</v>
      </c>
      <c r="F1338" s="7">
        <v>30573</v>
      </c>
      <c r="G1338" s="1">
        <v>43</v>
      </c>
      <c r="H1338" s="1">
        <v>10</v>
      </c>
      <c r="I1338" s="1">
        <v>48</v>
      </c>
      <c r="J1338" s="1">
        <v>10</v>
      </c>
      <c r="K1338" s="1">
        <v>59</v>
      </c>
      <c r="L1338" s="1">
        <v>31</v>
      </c>
      <c r="M1338" s="1">
        <v>1.22</v>
      </c>
      <c r="N1338" s="1">
        <v>9.5</v>
      </c>
      <c r="O1338" s="7">
        <v>30573</v>
      </c>
      <c r="P1338" s="4">
        <v>45026</v>
      </c>
      <c r="Q1338" s="4">
        <v>45037</v>
      </c>
      <c r="R1338" s="1" t="s">
        <v>73</v>
      </c>
      <c r="AO1338" s="7">
        <v>30573</v>
      </c>
      <c r="AP1338" s="5">
        <v>84.1</v>
      </c>
      <c r="AQ1338" s="5">
        <v>94</v>
      </c>
      <c r="AR1338" s="5">
        <v>31.3</v>
      </c>
      <c r="AS1338" s="5">
        <v>3.6</v>
      </c>
      <c r="AT1338" s="5">
        <v>66</v>
      </c>
      <c r="AU1338" s="5">
        <v>73</v>
      </c>
      <c r="AV1338" s="5">
        <v>33.7</v>
      </c>
      <c r="AW1338" s="5">
        <v>29.07</v>
      </c>
      <c r="AX1338" s="5">
        <v>225</v>
      </c>
      <c r="AY1338" s="5">
        <v>38.28</v>
      </c>
      <c r="AZ1338" s="5" t="s">
        <v>75</v>
      </c>
      <c r="BA1338" s="5">
        <v>3.53</v>
      </c>
      <c r="BB1338" s="12" t="s">
        <v>76</v>
      </c>
      <c r="BC1338" s="5">
        <v>4.47</v>
      </c>
      <c r="BD1338" s="5">
        <v>94</v>
      </c>
      <c r="BE1338" s="5" t="s">
        <v>76</v>
      </c>
      <c r="BF1338" s="5" t="s">
        <v>76</v>
      </c>
      <c r="BG1338" s="15">
        <v>37.2</v>
      </c>
      <c r="BH1338" s="5">
        <v>67</v>
      </c>
      <c r="BI1338" s="5">
        <v>67</v>
      </c>
      <c r="BJ1338" s="5">
        <v>20</v>
      </c>
      <c r="BK1338" s="5">
        <v>130</v>
      </c>
      <c r="BL1338" s="5">
        <v>61</v>
      </c>
      <c r="BM1338" s="5">
        <v>80</v>
      </c>
      <c r="BN1338" s="5">
        <v>158</v>
      </c>
      <c r="BO1338" s="5">
        <f t="shared" si="20"/>
        <v>32.0461464508893</v>
      </c>
      <c r="BP1338" s="5" t="s">
        <v>415</v>
      </c>
      <c r="BQ1338" s="5">
        <v>9.1</v>
      </c>
      <c r="BR1338" s="5">
        <v>2628</v>
      </c>
    </row>
    <row r="1339" s="1" customFormat="1" spans="1:70">
      <c r="A1339" s="1" t="s">
        <v>2993</v>
      </c>
      <c r="B1339" s="1" t="s">
        <v>2994</v>
      </c>
      <c r="D1339" s="4">
        <v>44897</v>
      </c>
      <c r="E1339" s="4">
        <v>44903</v>
      </c>
      <c r="F1339" s="7">
        <v>30598</v>
      </c>
      <c r="G1339" s="1">
        <v>31</v>
      </c>
      <c r="H1339" s="1">
        <v>8</v>
      </c>
      <c r="I1339" s="1">
        <v>39</v>
      </c>
      <c r="J1339" s="1">
        <v>8</v>
      </c>
      <c r="K1339" s="1">
        <v>53</v>
      </c>
      <c r="M1339" s="1">
        <v>0.58</v>
      </c>
      <c r="N1339" s="1">
        <v>4.3</v>
      </c>
      <c r="O1339" s="7">
        <v>30598</v>
      </c>
      <c r="P1339" s="4">
        <v>44897</v>
      </c>
      <c r="Q1339" s="4">
        <v>44903</v>
      </c>
      <c r="R1339" s="1" t="s">
        <v>73</v>
      </c>
      <c r="S1339" s="1">
        <v>39</v>
      </c>
      <c r="T1339" s="1">
        <v>18151853265</v>
      </c>
      <c r="AO1339" s="7">
        <v>30598</v>
      </c>
      <c r="AP1339" s="5" t="s">
        <v>2570</v>
      </c>
      <c r="AQ1339" s="5" t="s">
        <v>572</v>
      </c>
      <c r="AR1339" s="5" t="s">
        <v>2995</v>
      </c>
      <c r="AS1339" s="5" t="s">
        <v>2996</v>
      </c>
      <c r="AT1339" s="5" t="s">
        <v>139</v>
      </c>
      <c r="AU1339" s="5" t="s">
        <v>205</v>
      </c>
      <c r="AV1339" s="5" t="s">
        <v>2997</v>
      </c>
      <c r="AW1339" s="5" t="s">
        <v>946</v>
      </c>
      <c r="AX1339" s="5" t="s">
        <v>760</v>
      </c>
      <c r="AY1339" s="5" t="s">
        <v>76</v>
      </c>
      <c r="AZ1339" s="5" t="s">
        <v>2998</v>
      </c>
      <c r="BA1339" s="5" t="s">
        <v>2999</v>
      </c>
      <c r="BB1339" s="12" t="s">
        <v>76</v>
      </c>
      <c r="BC1339" s="5" t="s">
        <v>2178</v>
      </c>
      <c r="BD1339" s="5" t="s">
        <v>572</v>
      </c>
      <c r="BE1339" s="5" t="s">
        <v>76</v>
      </c>
      <c r="BF1339" s="5" t="s">
        <v>76</v>
      </c>
      <c r="BG1339" s="15">
        <v>36.6</v>
      </c>
      <c r="BH1339" s="5" t="s">
        <v>129</v>
      </c>
      <c r="BI1339" s="5" t="s">
        <v>129</v>
      </c>
      <c r="BJ1339" s="5" t="s">
        <v>101</v>
      </c>
      <c r="BK1339" s="5" t="s">
        <v>238</v>
      </c>
      <c r="BL1339" s="5" t="s">
        <v>245</v>
      </c>
      <c r="BM1339" s="5" t="s">
        <v>232</v>
      </c>
      <c r="BN1339" s="5">
        <v>166</v>
      </c>
      <c r="BO1339" s="5">
        <f t="shared" si="20"/>
        <v>32.660763536072</v>
      </c>
      <c r="BP1339" s="5" t="s">
        <v>3000</v>
      </c>
      <c r="BQ1339" s="5" t="s">
        <v>76</v>
      </c>
      <c r="BR1339" s="5">
        <v>3289</v>
      </c>
    </row>
    <row r="1340" s="1" customFormat="1" spans="1:70">
      <c r="A1340" s="1">
        <v>3506795</v>
      </c>
      <c r="B1340" s="1" t="s">
        <v>3001</v>
      </c>
      <c r="D1340" s="4">
        <v>45275</v>
      </c>
      <c r="E1340" s="4">
        <v>45282</v>
      </c>
      <c r="F1340" s="7">
        <v>30607</v>
      </c>
      <c r="G1340" s="1">
        <v>36</v>
      </c>
      <c r="H1340" s="1">
        <v>8</v>
      </c>
      <c r="I1340" s="1">
        <v>57</v>
      </c>
      <c r="J1340" s="1">
        <v>8</v>
      </c>
      <c r="K1340" s="1">
        <v>37</v>
      </c>
      <c r="L1340" s="1">
        <v>18</v>
      </c>
      <c r="N1340" s="1">
        <v>8.1</v>
      </c>
      <c r="O1340" s="7">
        <v>30607</v>
      </c>
      <c r="P1340" s="4">
        <v>45275</v>
      </c>
      <c r="Q1340" s="4">
        <v>45282</v>
      </c>
      <c r="R1340" s="1" t="s">
        <v>73</v>
      </c>
      <c r="AO1340" s="7">
        <v>30607</v>
      </c>
      <c r="AP1340" s="5">
        <v>7.2</v>
      </c>
      <c r="AQ1340" s="5">
        <v>165</v>
      </c>
      <c r="AR1340" s="5">
        <v>49.7</v>
      </c>
      <c r="AS1340" s="5" t="s">
        <v>81</v>
      </c>
      <c r="AT1340" s="5">
        <v>32</v>
      </c>
      <c r="AU1340" s="5">
        <v>15</v>
      </c>
      <c r="AV1340" s="5">
        <v>44.7</v>
      </c>
      <c r="AW1340" s="5">
        <v>6.02</v>
      </c>
      <c r="AX1340" s="5">
        <v>61</v>
      </c>
      <c r="AY1340" s="5">
        <v>100.16</v>
      </c>
      <c r="AZ1340" s="5">
        <v>4.04</v>
      </c>
      <c r="BA1340" s="5">
        <v>5.42</v>
      </c>
      <c r="BB1340" s="12" t="s">
        <v>76</v>
      </c>
      <c r="BC1340" s="5">
        <v>4.42</v>
      </c>
      <c r="BD1340" s="5">
        <v>165</v>
      </c>
      <c r="BE1340" s="5">
        <v>1.27</v>
      </c>
      <c r="BF1340" s="5">
        <v>2.9</v>
      </c>
      <c r="BG1340" s="15">
        <v>36.6</v>
      </c>
      <c r="BH1340" s="5">
        <v>75</v>
      </c>
      <c r="BI1340" s="5">
        <v>82</v>
      </c>
      <c r="BJ1340" s="5">
        <v>18</v>
      </c>
      <c r="BK1340" s="5">
        <v>109</v>
      </c>
      <c r="BL1340" s="5">
        <v>72</v>
      </c>
      <c r="BM1340" s="5">
        <v>65</v>
      </c>
      <c r="BN1340" s="5">
        <v>172</v>
      </c>
      <c r="BO1340" s="5">
        <f t="shared" si="20"/>
        <v>21.9713358572201</v>
      </c>
      <c r="BP1340" s="5" t="s">
        <v>78</v>
      </c>
      <c r="BQ1340" s="5">
        <v>6.4</v>
      </c>
      <c r="BR1340" s="5">
        <v>943</v>
      </c>
    </row>
    <row r="1341" s="1" customFormat="1" spans="1:70">
      <c r="A1341" s="1">
        <v>3281996</v>
      </c>
      <c r="B1341" s="1" t="s">
        <v>3002</v>
      </c>
      <c r="D1341" s="4">
        <v>44965</v>
      </c>
      <c r="E1341" s="4">
        <v>44969</v>
      </c>
      <c r="F1341" s="7">
        <v>30631</v>
      </c>
      <c r="G1341" s="1">
        <v>32</v>
      </c>
      <c r="H1341" s="1">
        <v>10</v>
      </c>
      <c r="I1341" s="1">
        <v>51</v>
      </c>
      <c r="J1341" s="1">
        <v>9</v>
      </c>
      <c r="K1341" s="1">
        <v>60</v>
      </c>
      <c r="L1341" s="1">
        <v>32</v>
      </c>
      <c r="M1341" s="1">
        <v>0.87</v>
      </c>
      <c r="N1341" s="1">
        <v>6.3</v>
      </c>
      <c r="O1341" s="7">
        <v>30631</v>
      </c>
      <c r="P1341" s="4">
        <v>44965</v>
      </c>
      <c r="Q1341" s="4">
        <v>44969</v>
      </c>
      <c r="R1341" s="1" t="s">
        <v>80</v>
      </c>
      <c r="S1341" s="1">
        <v>39</v>
      </c>
      <c r="T1341" s="1" t="s">
        <v>3003</v>
      </c>
      <c r="W1341" s="1">
        <v>1</v>
      </c>
      <c r="Z1341" s="1">
        <v>1</v>
      </c>
      <c r="AG1341" s="1">
        <v>1</v>
      </c>
      <c r="AH1341" s="1">
        <v>1</v>
      </c>
      <c r="AI1341" s="1">
        <v>1</v>
      </c>
      <c r="AO1341" s="7">
        <v>30631</v>
      </c>
      <c r="AP1341" s="5">
        <v>9.3</v>
      </c>
      <c r="AQ1341" s="5">
        <v>158</v>
      </c>
      <c r="AR1341" s="5">
        <v>45.2</v>
      </c>
      <c r="AS1341" s="5" t="s">
        <v>81</v>
      </c>
      <c r="AT1341" s="5">
        <v>24</v>
      </c>
      <c r="AU1341" s="5">
        <v>32</v>
      </c>
      <c r="AV1341" s="5">
        <v>47.2</v>
      </c>
      <c r="AW1341" s="5">
        <v>8.96</v>
      </c>
      <c r="AX1341" s="5">
        <v>69</v>
      </c>
      <c r="AY1341" s="5" t="s">
        <v>125</v>
      </c>
      <c r="AZ1341" s="5">
        <v>5.47</v>
      </c>
      <c r="BA1341" s="5">
        <v>3.03</v>
      </c>
      <c r="BB1341" s="12" t="s">
        <v>76</v>
      </c>
      <c r="BC1341" s="5">
        <v>4.03</v>
      </c>
      <c r="BD1341" s="5">
        <v>158</v>
      </c>
      <c r="BE1341" s="5">
        <v>0.59</v>
      </c>
      <c r="BF1341" s="5">
        <v>1.98</v>
      </c>
      <c r="BG1341" s="15">
        <v>36.5</v>
      </c>
      <c r="BH1341" s="5">
        <v>90</v>
      </c>
      <c r="BI1341" s="5" t="s">
        <v>76</v>
      </c>
      <c r="BJ1341" s="5">
        <v>18</v>
      </c>
      <c r="BK1341" s="5">
        <v>128</v>
      </c>
      <c r="BL1341" s="5">
        <v>84</v>
      </c>
      <c r="BM1341" s="5">
        <v>80</v>
      </c>
      <c r="BN1341" s="5">
        <v>173</v>
      </c>
      <c r="BO1341" s="5">
        <f t="shared" si="20"/>
        <v>26.7299274950717</v>
      </c>
      <c r="BP1341" s="5" t="s">
        <v>323</v>
      </c>
      <c r="BQ1341" s="5">
        <v>5.8</v>
      </c>
      <c r="BR1341" s="5">
        <v>525</v>
      </c>
    </row>
    <row r="1342" s="1" customFormat="1" spans="1:70">
      <c r="A1342" s="1">
        <v>3296571</v>
      </c>
      <c r="B1342" s="1" t="s">
        <v>3004</v>
      </c>
      <c r="D1342" s="4">
        <v>44987</v>
      </c>
      <c r="E1342" s="4">
        <v>44993</v>
      </c>
      <c r="F1342" s="7">
        <v>30730</v>
      </c>
      <c r="G1342" s="1">
        <v>49</v>
      </c>
      <c r="H1342" s="1">
        <v>10</v>
      </c>
      <c r="I1342" s="1">
        <v>55</v>
      </c>
      <c r="J1342" s="1">
        <v>10</v>
      </c>
      <c r="K1342" s="1">
        <v>33</v>
      </c>
      <c r="L1342" s="1">
        <v>16</v>
      </c>
      <c r="N1342" s="1">
        <v>16.1</v>
      </c>
      <c r="O1342" s="7">
        <v>30730</v>
      </c>
      <c r="P1342" s="4">
        <v>44987</v>
      </c>
      <c r="Q1342" s="4">
        <v>44993</v>
      </c>
      <c r="R1342" s="1" t="s">
        <v>80</v>
      </c>
      <c r="AO1342" s="7">
        <v>30730</v>
      </c>
      <c r="AP1342" s="5">
        <v>4.6</v>
      </c>
      <c r="AQ1342" s="5">
        <v>149</v>
      </c>
      <c r="AR1342" s="5">
        <v>47.4</v>
      </c>
      <c r="AS1342" s="5">
        <v>0.3</v>
      </c>
      <c r="AT1342" s="5">
        <v>21</v>
      </c>
      <c r="AU1342" s="5">
        <v>36</v>
      </c>
      <c r="AV1342" s="5">
        <v>45.9</v>
      </c>
      <c r="AW1342" s="5">
        <v>5.39</v>
      </c>
      <c r="AX1342" s="5">
        <v>66</v>
      </c>
      <c r="AY1342" s="5" t="s">
        <v>125</v>
      </c>
      <c r="AZ1342" s="5">
        <v>4.68</v>
      </c>
      <c r="BA1342" s="5">
        <v>3.33</v>
      </c>
      <c r="BB1342" s="12" t="s">
        <v>76</v>
      </c>
      <c r="BC1342" s="5">
        <v>4.62</v>
      </c>
      <c r="BD1342" s="5">
        <v>149</v>
      </c>
      <c r="BE1342" s="5">
        <v>1.37</v>
      </c>
      <c r="BF1342" s="5">
        <v>1.85</v>
      </c>
      <c r="BG1342" s="15">
        <v>36.2</v>
      </c>
      <c r="BH1342" s="5">
        <v>114</v>
      </c>
      <c r="BI1342" s="5" t="s">
        <v>76</v>
      </c>
      <c r="BJ1342" s="5">
        <v>17</v>
      </c>
      <c r="BK1342" s="5">
        <v>120</v>
      </c>
      <c r="BL1342" s="5">
        <v>98</v>
      </c>
      <c r="BM1342" s="5">
        <v>78</v>
      </c>
      <c r="BN1342" s="5">
        <v>172</v>
      </c>
      <c r="BO1342" s="5">
        <f t="shared" si="20"/>
        <v>26.3656030286641</v>
      </c>
      <c r="BP1342" s="5" t="s">
        <v>78</v>
      </c>
      <c r="BQ1342" s="5">
        <v>5.1</v>
      </c>
      <c r="BR1342" s="5">
        <v>712</v>
      </c>
    </row>
    <row r="1343" s="1" customFormat="1" spans="1:70">
      <c r="A1343" s="1">
        <v>3513724</v>
      </c>
      <c r="B1343" s="1" t="s">
        <v>3005</v>
      </c>
      <c r="D1343" s="4">
        <v>45285</v>
      </c>
      <c r="E1343" s="4">
        <v>45289</v>
      </c>
      <c r="F1343" s="7">
        <v>30777</v>
      </c>
      <c r="G1343" s="1">
        <v>44</v>
      </c>
      <c r="H1343" s="1">
        <v>13</v>
      </c>
      <c r="I1343" s="1">
        <v>55</v>
      </c>
      <c r="J1343" s="1">
        <v>13</v>
      </c>
      <c r="K1343" s="1">
        <v>60</v>
      </c>
      <c r="L1343" s="1">
        <v>32</v>
      </c>
      <c r="M1343" s="9">
        <v>2</v>
      </c>
      <c r="O1343" s="7">
        <v>30777</v>
      </c>
      <c r="P1343" s="4">
        <v>45285</v>
      </c>
      <c r="Q1343" s="4">
        <v>45289</v>
      </c>
      <c r="R1343" s="1" t="s">
        <v>80</v>
      </c>
      <c r="AO1343" s="7">
        <v>30777</v>
      </c>
      <c r="AP1343" s="5">
        <v>14.4</v>
      </c>
      <c r="AQ1343" s="5">
        <v>129</v>
      </c>
      <c r="AR1343" s="5">
        <v>60.9</v>
      </c>
      <c r="AS1343" s="5">
        <v>36.6</v>
      </c>
      <c r="AT1343" s="5">
        <v>44</v>
      </c>
      <c r="AU1343" s="5">
        <v>44</v>
      </c>
      <c r="AV1343" s="5">
        <v>36.7</v>
      </c>
      <c r="AW1343" s="5">
        <v>14.7</v>
      </c>
      <c r="AX1343" s="5">
        <v>250</v>
      </c>
      <c r="AY1343" s="5" t="s">
        <v>76</v>
      </c>
      <c r="AZ1343" s="5" t="s">
        <v>3006</v>
      </c>
      <c r="BA1343" s="5">
        <v>5.22</v>
      </c>
      <c r="BB1343" s="12" t="s">
        <v>76</v>
      </c>
      <c r="BC1343" s="5">
        <v>4.66</v>
      </c>
      <c r="BD1343" s="5">
        <v>129</v>
      </c>
      <c r="BE1343" s="5">
        <v>0.69</v>
      </c>
      <c r="BF1343" s="5">
        <v>2.64</v>
      </c>
      <c r="BG1343" s="15">
        <v>36.7</v>
      </c>
      <c r="BH1343" s="5">
        <v>93</v>
      </c>
      <c r="BI1343" s="5">
        <v>93</v>
      </c>
      <c r="BJ1343" s="5">
        <v>15</v>
      </c>
      <c r="BK1343" s="5">
        <v>236</v>
      </c>
      <c r="BL1343" s="5">
        <v>101</v>
      </c>
      <c r="BM1343" s="5">
        <v>120</v>
      </c>
      <c r="BN1343" s="5">
        <v>177</v>
      </c>
      <c r="BO1343" s="5">
        <f t="shared" si="20"/>
        <v>38.3031695872833</v>
      </c>
      <c r="BP1343" s="5" t="s">
        <v>394</v>
      </c>
      <c r="BQ1343" s="5" t="s">
        <v>76</v>
      </c>
      <c r="BR1343" s="5">
        <v>547.7</v>
      </c>
    </row>
    <row r="1344" s="1" customFormat="1" spans="1:70">
      <c r="A1344" s="1">
        <v>3494876</v>
      </c>
      <c r="B1344" s="1" t="s">
        <v>3007</v>
      </c>
      <c r="D1344" s="4">
        <v>45259</v>
      </c>
      <c r="E1344" s="4">
        <v>45266</v>
      </c>
      <c r="F1344" s="7">
        <v>30793</v>
      </c>
      <c r="G1344" s="1">
        <v>44</v>
      </c>
      <c r="H1344" s="1">
        <v>14</v>
      </c>
      <c r="I1344" s="1">
        <v>57</v>
      </c>
      <c r="J1344" s="1">
        <v>14</v>
      </c>
      <c r="K1344" s="1">
        <v>65</v>
      </c>
      <c r="L1344" s="1">
        <v>35</v>
      </c>
      <c r="M1344" s="1">
        <v>1.1</v>
      </c>
      <c r="N1344" s="1">
        <v>13.1</v>
      </c>
      <c r="O1344" s="7">
        <v>30793</v>
      </c>
      <c r="P1344" s="4">
        <v>45259</v>
      </c>
      <c r="Q1344" s="4">
        <v>45266</v>
      </c>
      <c r="R1344" s="1" t="s">
        <v>80</v>
      </c>
      <c r="S1344" s="1">
        <v>39</v>
      </c>
      <c r="T1344" s="1" t="s">
        <v>3008</v>
      </c>
      <c r="V1344" s="1">
        <v>1</v>
      </c>
      <c r="X1344" s="1">
        <v>1</v>
      </c>
      <c r="AH1344" s="1">
        <v>1</v>
      </c>
      <c r="AL1344" s="1">
        <v>1</v>
      </c>
      <c r="AN1344" s="1">
        <v>1</v>
      </c>
      <c r="AO1344" s="7">
        <v>30793</v>
      </c>
      <c r="AP1344" s="5" t="s">
        <v>76</v>
      </c>
      <c r="AQ1344" s="5" t="s">
        <v>76</v>
      </c>
      <c r="AR1344" s="5" t="s">
        <v>76</v>
      </c>
      <c r="AS1344" s="5" t="s">
        <v>76</v>
      </c>
      <c r="AT1344" s="5">
        <v>32</v>
      </c>
      <c r="AU1344" s="5" t="s">
        <v>76</v>
      </c>
      <c r="AV1344" s="5" t="s">
        <v>76</v>
      </c>
      <c r="AW1344" s="5">
        <v>6.38</v>
      </c>
      <c r="AX1344" s="5">
        <v>102</v>
      </c>
      <c r="AY1344" s="5">
        <v>74.97</v>
      </c>
      <c r="AZ1344" s="5">
        <v>12.33</v>
      </c>
      <c r="BA1344" s="5">
        <v>7.53</v>
      </c>
      <c r="BB1344" s="12" t="s">
        <v>76</v>
      </c>
      <c r="BC1344" s="5">
        <v>3.48</v>
      </c>
      <c r="BD1344" s="5" t="s">
        <v>76</v>
      </c>
      <c r="BE1344" s="5">
        <v>0.67</v>
      </c>
      <c r="BF1344" s="5">
        <v>0.87</v>
      </c>
      <c r="BG1344" s="15">
        <v>36.4</v>
      </c>
      <c r="BH1344" s="5">
        <v>90</v>
      </c>
      <c r="BI1344" s="5">
        <v>90</v>
      </c>
      <c r="BJ1344" s="5">
        <v>20</v>
      </c>
      <c r="BK1344" s="5">
        <v>187</v>
      </c>
      <c r="BL1344" s="5">
        <v>117</v>
      </c>
      <c r="BM1344" s="5">
        <v>130</v>
      </c>
      <c r="BN1344" s="5">
        <v>181</v>
      </c>
      <c r="BO1344" s="5">
        <f t="shared" si="20"/>
        <v>39.6813284087787</v>
      </c>
      <c r="BP1344" s="5" t="s">
        <v>588</v>
      </c>
      <c r="BQ1344" s="5">
        <v>9.2</v>
      </c>
      <c r="BR1344" s="5">
        <v>752</v>
      </c>
    </row>
    <row r="1345" s="1" customFormat="1" spans="1:70">
      <c r="A1345" s="1">
        <v>3517285</v>
      </c>
      <c r="B1345" s="1" t="s">
        <v>3009</v>
      </c>
      <c r="D1345" s="4">
        <v>45291</v>
      </c>
      <c r="E1345" s="4">
        <v>45295</v>
      </c>
      <c r="F1345" s="7">
        <v>30794</v>
      </c>
      <c r="G1345" s="1">
        <v>37</v>
      </c>
      <c r="H1345" s="1">
        <v>9</v>
      </c>
      <c r="I1345" s="1">
        <v>51</v>
      </c>
      <c r="J1345" s="1">
        <v>9</v>
      </c>
      <c r="K1345" s="1">
        <v>60</v>
      </c>
      <c r="L1345" s="1">
        <v>32</v>
      </c>
      <c r="M1345" s="1">
        <v>1.16</v>
      </c>
      <c r="N1345" s="1">
        <v>11.5</v>
      </c>
      <c r="O1345" s="7">
        <v>30794</v>
      </c>
      <c r="P1345" s="4">
        <v>45291</v>
      </c>
      <c r="Q1345" s="4">
        <v>45295</v>
      </c>
      <c r="R1345" s="1" t="s">
        <v>80</v>
      </c>
      <c r="AO1345" s="7">
        <v>30794</v>
      </c>
      <c r="AP1345" s="5">
        <v>13.3</v>
      </c>
      <c r="AQ1345" s="5">
        <v>149</v>
      </c>
      <c r="AR1345" s="5">
        <v>45.2</v>
      </c>
      <c r="AS1345" s="5">
        <v>9.3</v>
      </c>
      <c r="AT1345" s="5">
        <v>156</v>
      </c>
      <c r="AU1345" s="5">
        <v>35</v>
      </c>
      <c r="AV1345" s="5">
        <v>43</v>
      </c>
      <c r="AW1345" s="5">
        <v>3.2</v>
      </c>
      <c r="AX1345" s="5">
        <v>57</v>
      </c>
      <c r="AY1345" s="5" t="s">
        <v>125</v>
      </c>
      <c r="AZ1345" s="5">
        <v>4.82</v>
      </c>
      <c r="BA1345" s="5">
        <v>4.7</v>
      </c>
      <c r="BB1345" s="12" t="s">
        <v>76</v>
      </c>
      <c r="BC1345" s="5">
        <v>4.03</v>
      </c>
      <c r="BD1345" s="5">
        <v>149</v>
      </c>
      <c r="BE1345" s="5">
        <v>0.82</v>
      </c>
      <c r="BF1345" s="5">
        <v>2.76</v>
      </c>
      <c r="BG1345" s="15">
        <v>36.4</v>
      </c>
      <c r="BH1345" s="5" t="s">
        <v>76</v>
      </c>
      <c r="BI1345" s="5">
        <v>69</v>
      </c>
      <c r="BJ1345" s="5">
        <v>17</v>
      </c>
      <c r="BK1345" s="5">
        <v>127</v>
      </c>
      <c r="BL1345" s="5">
        <v>59</v>
      </c>
      <c r="BM1345" s="5">
        <v>95</v>
      </c>
      <c r="BN1345" s="5">
        <v>178</v>
      </c>
      <c r="BO1345" s="5">
        <f t="shared" si="20"/>
        <v>29.9835879308168</v>
      </c>
      <c r="BP1345" s="5" t="s">
        <v>156</v>
      </c>
      <c r="BQ1345" s="5">
        <v>5.5</v>
      </c>
      <c r="BR1345" s="5">
        <v>324</v>
      </c>
    </row>
    <row r="1346" s="1" customFormat="1" spans="1:70">
      <c r="A1346" s="1">
        <v>3279995</v>
      </c>
      <c r="B1346" s="1" t="s">
        <v>3010</v>
      </c>
      <c r="D1346" s="4">
        <v>44963</v>
      </c>
      <c r="E1346" s="4">
        <v>44997</v>
      </c>
      <c r="F1346" s="7">
        <v>30796</v>
      </c>
      <c r="G1346" s="1">
        <v>33</v>
      </c>
      <c r="H1346" s="1">
        <v>10</v>
      </c>
      <c r="I1346" s="1">
        <v>49</v>
      </c>
      <c r="J1346" s="1">
        <v>10</v>
      </c>
      <c r="K1346" s="1">
        <v>62</v>
      </c>
      <c r="L1346" s="1">
        <v>33</v>
      </c>
      <c r="M1346" s="1">
        <v>1.31</v>
      </c>
      <c r="N1346" s="1">
        <v>12.4</v>
      </c>
      <c r="O1346" s="7">
        <v>30796</v>
      </c>
      <c r="P1346" s="4">
        <v>44963</v>
      </c>
      <c r="Q1346" s="4">
        <v>44997</v>
      </c>
      <c r="R1346" s="1" t="s">
        <v>80</v>
      </c>
      <c r="AO1346" s="7">
        <v>30796</v>
      </c>
      <c r="AP1346" s="5">
        <v>94.7</v>
      </c>
      <c r="AQ1346" s="5">
        <v>96</v>
      </c>
      <c r="AR1346" s="5">
        <v>41</v>
      </c>
      <c r="AS1346" s="5" t="s">
        <v>1481</v>
      </c>
      <c r="AT1346" s="5">
        <v>61</v>
      </c>
      <c r="AU1346" s="5">
        <v>31</v>
      </c>
      <c r="AV1346" s="5">
        <v>40.9</v>
      </c>
      <c r="AW1346" s="5">
        <v>9.16</v>
      </c>
      <c r="AX1346" s="5">
        <v>84</v>
      </c>
      <c r="AY1346" s="5" t="s">
        <v>125</v>
      </c>
      <c r="AZ1346" s="5" t="s">
        <v>75</v>
      </c>
      <c r="BA1346" s="5" t="s">
        <v>76</v>
      </c>
      <c r="BB1346" s="12" t="s">
        <v>76</v>
      </c>
      <c r="BC1346" s="5">
        <v>5.96</v>
      </c>
      <c r="BD1346" s="5">
        <v>96</v>
      </c>
      <c r="BE1346" s="5" t="s">
        <v>76</v>
      </c>
      <c r="BF1346" s="5" t="s">
        <v>76</v>
      </c>
      <c r="BG1346" s="15">
        <v>36.5</v>
      </c>
      <c r="BH1346" s="5">
        <v>78</v>
      </c>
      <c r="BI1346" s="5" t="s">
        <v>76</v>
      </c>
      <c r="BJ1346" s="5">
        <v>16</v>
      </c>
      <c r="BK1346" s="5">
        <v>112</v>
      </c>
      <c r="BL1346" s="5">
        <v>70</v>
      </c>
      <c r="BM1346" s="5">
        <v>95</v>
      </c>
      <c r="BN1346" s="5">
        <v>174</v>
      </c>
      <c r="BO1346" s="5">
        <f t="shared" si="20"/>
        <v>31.3779891663364</v>
      </c>
      <c r="BP1346" s="5" t="s">
        <v>369</v>
      </c>
      <c r="BQ1346" s="5" t="s">
        <v>76</v>
      </c>
      <c r="BR1346" s="5">
        <v>952</v>
      </c>
    </row>
    <row r="1347" s="1" customFormat="1" spans="1:70">
      <c r="A1347" s="1">
        <v>3280835</v>
      </c>
      <c r="B1347" s="1" t="s">
        <v>3011</v>
      </c>
      <c r="D1347" s="4">
        <v>44964</v>
      </c>
      <c r="E1347" s="4">
        <v>44972</v>
      </c>
      <c r="F1347" s="7">
        <v>30875</v>
      </c>
      <c r="G1347" s="1">
        <v>55</v>
      </c>
      <c r="H1347" s="1">
        <v>10</v>
      </c>
      <c r="I1347" s="1">
        <v>67</v>
      </c>
      <c r="J1347" s="1">
        <v>10</v>
      </c>
      <c r="K1347" s="1">
        <v>25</v>
      </c>
      <c r="L1347" s="1">
        <v>20</v>
      </c>
      <c r="M1347" s="1">
        <v>1.38</v>
      </c>
      <c r="N1347" s="1">
        <v>15.8</v>
      </c>
      <c r="O1347" s="7">
        <v>30875</v>
      </c>
      <c r="P1347" s="4">
        <v>44964</v>
      </c>
      <c r="Q1347" s="4">
        <v>44972</v>
      </c>
      <c r="R1347" s="1" t="s">
        <v>80</v>
      </c>
      <c r="AO1347" s="7">
        <v>30875</v>
      </c>
      <c r="AP1347" s="5">
        <v>5.3</v>
      </c>
      <c r="AQ1347" s="5">
        <v>126</v>
      </c>
      <c r="AR1347" s="5">
        <v>38</v>
      </c>
      <c r="AS1347" s="5" t="s">
        <v>76</v>
      </c>
      <c r="AT1347" s="5">
        <v>33</v>
      </c>
      <c r="AU1347" s="5">
        <v>25</v>
      </c>
      <c r="AV1347" s="5">
        <v>47</v>
      </c>
      <c r="AW1347" s="5">
        <v>7.08</v>
      </c>
      <c r="AX1347" s="5">
        <v>112</v>
      </c>
      <c r="AY1347" s="5">
        <v>72.88</v>
      </c>
      <c r="AZ1347" s="5" t="s">
        <v>75</v>
      </c>
      <c r="BA1347" s="5">
        <v>8.4</v>
      </c>
      <c r="BB1347" s="12" t="s">
        <v>76</v>
      </c>
      <c r="BC1347" s="5">
        <v>4.21</v>
      </c>
      <c r="BD1347" s="5">
        <v>126</v>
      </c>
      <c r="BE1347" s="5" t="s">
        <v>76</v>
      </c>
      <c r="BF1347" s="5" t="s">
        <v>76</v>
      </c>
      <c r="BG1347" s="15">
        <v>36</v>
      </c>
      <c r="BH1347" s="5">
        <v>99</v>
      </c>
      <c r="BI1347" s="5" t="s">
        <v>76</v>
      </c>
      <c r="BJ1347" s="5">
        <v>16</v>
      </c>
      <c r="BK1347" s="5">
        <v>139</v>
      </c>
      <c r="BL1347" s="5">
        <v>91</v>
      </c>
      <c r="BM1347" s="5">
        <v>110</v>
      </c>
      <c r="BN1347" s="5">
        <v>175</v>
      </c>
      <c r="BO1347" s="5">
        <f t="shared" ref="BO1347:BO1410" si="21">BM1347/(BN1347/100)^2</f>
        <v>35.9183673469388</v>
      </c>
      <c r="BP1347" s="5" t="s">
        <v>415</v>
      </c>
      <c r="BQ1347" s="5">
        <v>6.8</v>
      </c>
      <c r="BR1347" s="5">
        <v>3885</v>
      </c>
    </row>
    <row r="1348" s="1" customFormat="1" spans="1:70">
      <c r="A1348" s="1">
        <v>3265411</v>
      </c>
      <c r="B1348" s="1" t="s">
        <v>3012</v>
      </c>
      <c r="D1348" s="4">
        <v>44937</v>
      </c>
      <c r="E1348" s="4">
        <v>44945</v>
      </c>
      <c r="F1348" s="7">
        <v>30921</v>
      </c>
      <c r="G1348" s="1">
        <v>38</v>
      </c>
      <c r="H1348" s="1">
        <v>10</v>
      </c>
      <c r="I1348" s="1">
        <v>61</v>
      </c>
      <c r="J1348" s="1">
        <v>10</v>
      </c>
      <c r="K1348" s="1">
        <v>54</v>
      </c>
      <c r="L1348" s="1">
        <v>28</v>
      </c>
      <c r="M1348" s="1">
        <v>0.67</v>
      </c>
      <c r="N1348" s="1">
        <v>10.9</v>
      </c>
      <c r="O1348" s="7">
        <v>30921</v>
      </c>
      <c r="P1348" s="4">
        <v>44937</v>
      </c>
      <c r="Q1348" s="4">
        <v>44945</v>
      </c>
      <c r="R1348" s="1" t="s">
        <v>80</v>
      </c>
      <c r="AO1348" s="7">
        <v>30921</v>
      </c>
      <c r="AP1348" s="5">
        <v>6.8</v>
      </c>
      <c r="AQ1348" s="5">
        <v>103</v>
      </c>
      <c r="AR1348" s="5">
        <v>33.5</v>
      </c>
      <c r="AS1348" s="5">
        <v>0.3</v>
      </c>
      <c r="AT1348" s="5">
        <v>36</v>
      </c>
      <c r="AU1348" s="5">
        <v>45</v>
      </c>
      <c r="AV1348" s="5">
        <v>36.7</v>
      </c>
      <c r="AW1348" s="5">
        <v>19.58</v>
      </c>
      <c r="AX1348" s="5">
        <v>379</v>
      </c>
      <c r="AY1348" s="5">
        <v>17.09</v>
      </c>
      <c r="AZ1348" s="5" t="s">
        <v>75</v>
      </c>
      <c r="BA1348" s="5">
        <v>4.83</v>
      </c>
      <c r="BB1348" s="12" t="s">
        <v>76</v>
      </c>
      <c r="BC1348" s="5">
        <v>5.05</v>
      </c>
      <c r="BD1348" s="5">
        <v>103</v>
      </c>
      <c r="BE1348" s="5">
        <v>2.05</v>
      </c>
      <c r="BF1348" s="5">
        <v>2.38</v>
      </c>
      <c r="BG1348" s="15">
        <v>37.4</v>
      </c>
      <c r="BH1348" s="5">
        <v>110</v>
      </c>
      <c r="BI1348" s="5" t="s">
        <v>76</v>
      </c>
      <c r="BJ1348" s="5">
        <v>15</v>
      </c>
      <c r="BK1348" s="5">
        <v>170</v>
      </c>
      <c r="BL1348" s="5">
        <v>110</v>
      </c>
      <c r="BM1348" s="5">
        <v>55</v>
      </c>
      <c r="BN1348" s="5">
        <v>170</v>
      </c>
      <c r="BO1348" s="5">
        <f t="shared" si="21"/>
        <v>19.0311418685121</v>
      </c>
      <c r="BP1348" s="5" t="s">
        <v>415</v>
      </c>
      <c r="BQ1348" s="5" t="s">
        <v>76</v>
      </c>
      <c r="BR1348" s="5">
        <v>10639</v>
      </c>
    </row>
    <row r="1349" s="1" customFormat="1" spans="1:70">
      <c r="A1349" s="1">
        <v>3334436</v>
      </c>
      <c r="B1349" s="1" t="s">
        <v>3013</v>
      </c>
      <c r="D1349" s="4">
        <v>45037</v>
      </c>
      <c r="E1349" s="4">
        <v>45045</v>
      </c>
      <c r="F1349" s="7">
        <v>30922</v>
      </c>
      <c r="G1349" s="1">
        <v>41</v>
      </c>
      <c r="H1349" s="1">
        <v>10</v>
      </c>
      <c r="I1349" s="1">
        <v>56</v>
      </c>
      <c r="J1349" s="1">
        <v>10</v>
      </c>
      <c r="K1349" s="1">
        <v>48</v>
      </c>
      <c r="L1349" s="1">
        <v>25</v>
      </c>
      <c r="N1349" s="1">
        <v>11.1</v>
      </c>
      <c r="O1349" s="7">
        <v>30922</v>
      </c>
      <c r="P1349" s="4">
        <v>45037</v>
      </c>
      <c r="Q1349" s="4">
        <v>45045</v>
      </c>
      <c r="R1349" s="1" t="s">
        <v>80</v>
      </c>
      <c r="AO1349" s="7">
        <v>30922</v>
      </c>
      <c r="AP1349" s="5">
        <v>8.3</v>
      </c>
      <c r="AQ1349" s="5">
        <v>202</v>
      </c>
      <c r="AR1349" s="5">
        <v>58.5</v>
      </c>
      <c r="AS1349" s="5" t="s">
        <v>76</v>
      </c>
      <c r="AT1349" s="5">
        <v>66</v>
      </c>
      <c r="AU1349" s="5">
        <v>64</v>
      </c>
      <c r="AV1349" s="5">
        <v>41.7</v>
      </c>
      <c r="AW1349" s="5">
        <v>9.8</v>
      </c>
      <c r="AX1349" s="5">
        <v>91</v>
      </c>
      <c r="AY1349" s="5">
        <v>85.97</v>
      </c>
      <c r="AZ1349" s="5">
        <v>10.46</v>
      </c>
      <c r="BA1349" s="5">
        <v>5.03</v>
      </c>
      <c r="BB1349" s="12" t="s">
        <v>76</v>
      </c>
      <c r="BC1349" s="5">
        <v>3.85</v>
      </c>
      <c r="BD1349" s="5">
        <v>202</v>
      </c>
      <c r="BE1349" s="5">
        <v>0.69</v>
      </c>
      <c r="BF1349" s="5">
        <v>3.26</v>
      </c>
      <c r="BG1349" s="15">
        <v>36.3</v>
      </c>
      <c r="BH1349" s="5">
        <v>57</v>
      </c>
      <c r="BI1349" s="5">
        <v>83</v>
      </c>
      <c r="BJ1349" s="5">
        <v>20</v>
      </c>
      <c r="BK1349" s="5">
        <v>137</v>
      </c>
      <c r="BL1349" s="5">
        <v>83</v>
      </c>
      <c r="BM1349" s="5">
        <v>89</v>
      </c>
      <c r="BN1349" s="5">
        <v>172</v>
      </c>
      <c r="BO1349" s="5">
        <f t="shared" si="21"/>
        <v>30.0838290968091</v>
      </c>
      <c r="BP1349" s="5" t="s">
        <v>156</v>
      </c>
      <c r="BQ1349" s="5" t="s">
        <v>76</v>
      </c>
      <c r="BR1349" s="5">
        <v>2048</v>
      </c>
    </row>
    <row r="1350" s="1" customFormat="1" spans="1:70">
      <c r="A1350" s="1">
        <v>3259110</v>
      </c>
      <c r="B1350" s="1" t="s">
        <v>3014</v>
      </c>
      <c r="D1350" s="4">
        <v>44927</v>
      </c>
      <c r="E1350" s="4">
        <v>44938</v>
      </c>
      <c r="F1350" s="7">
        <v>30924</v>
      </c>
      <c r="G1350" s="1">
        <v>28</v>
      </c>
      <c r="H1350" s="1">
        <v>9</v>
      </c>
      <c r="I1350" s="1">
        <v>41</v>
      </c>
      <c r="J1350" s="1">
        <v>9</v>
      </c>
      <c r="K1350" s="1">
        <v>66</v>
      </c>
      <c r="L1350" s="1">
        <v>36</v>
      </c>
      <c r="M1350" s="1">
        <v>0.9</v>
      </c>
      <c r="N1350" s="1">
        <v>7.1</v>
      </c>
      <c r="O1350" s="7">
        <v>30924</v>
      </c>
      <c r="P1350" s="4">
        <v>44927</v>
      </c>
      <c r="Q1350" s="4">
        <v>44938</v>
      </c>
      <c r="R1350" s="1" t="s">
        <v>73</v>
      </c>
      <c r="AO1350" s="7">
        <v>30924</v>
      </c>
      <c r="AP1350" s="5">
        <v>6.2</v>
      </c>
      <c r="AQ1350" s="5">
        <v>98</v>
      </c>
      <c r="AR1350" s="5">
        <v>37.3</v>
      </c>
      <c r="AS1350" s="5" t="s">
        <v>76</v>
      </c>
      <c r="AT1350" s="5">
        <v>39</v>
      </c>
      <c r="AU1350" s="5">
        <v>58</v>
      </c>
      <c r="AV1350" s="5">
        <v>38.3</v>
      </c>
      <c r="AW1350" s="5">
        <v>9.12</v>
      </c>
      <c r="AX1350" s="5">
        <v>92</v>
      </c>
      <c r="AY1350" s="5" t="s">
        <v>125</v>
      </c>
      <c r="AZ1350" s="5" t="s">
        <v>375</v>
      </c>
      <c r="BA1350" s="5">
        <v>4.38</v>
      </c>
      <c r="BB1350" s="12" t="s">
        <v>76</v>
      </c>
      <c r="BC1350" s="5">
        <v>4.18</v>
      </c>
      <c r="BD1350" s="5">
        <v>98</v>
      </c>
      <c r="BE1350" s="5">
        <v>0.52</v>
      </c>
      <c r="BF1350" s="5">
        <v>2.5</v>
      </c>
      <c r="BG1350" s="15">
        <v>36.1</v>
      </c>
      <c r="BH1350" s="5" t="s">
        <v>76</v>
      </c>
      <c r="BI1350" s="5">
        <v>123</v>
      </c>
      <c r="BJ1350" s="5">
        <v>36</v>
      </c>
      <c r="BK1350" s="5">
        <v>107</v>
      </c>
      <c r="BL1350" s="5">
        <v>63</v>
      </c>
      <c r="BM1350" s="5" t="s">
        <v>76</v>
      </c>
      <c r="BN1350" s="5">
        <v>150</v>
      </c>
      <c r="BO1350" s="5" t="e">
        <f t="shared" si="21"/>
        <v>#VALUE!</v>
      </c>
      <c r="BP1350" s="5" t="s">
        <v>588</v>
      </c>
      <c r="BQ1350" s="5">
        <v>9.8</v>
      </c>
      <c r="BR1350" s="5">
        <v>737</v>
      </c>
    </row>
    <row r="1351" s="1" customFormat="1" spans="1:70">
      <c r="A1351" s="1" t="s">
        <v>3015</v>
      </c>
      <c r="B1351" s="1" t="s">
        <v>3016</v>
      </c>
      <c r="D1351" s="4">
        <v>45015</v>
      </c>
      <c r="E1351" s="4">
        <v>45027</v>
      </c>
      <c r="F1351" s="7">
        <v>31030</v>
      </c>
      <c r="G1351" s="1">
        <v>25</v>
      </c>
      <c r="H1351" s="1">
        <v>8</v>
      </c>
      <c r="I1351" s="1">
        <v>44</v>
      </c>
      <c r="J1351" s="1">
        <v>8</v>
      </c>
      <c r="K1351" s="1">
        <v>65</v>
      </c>
      <c r="L1351" s="1">
        <v>35</v>
      </c>
      <c r="M1351" s="1">
        <v>1.43</v>
      </c>
      <c r="O1351" s="7">
        <v>31030</v>
      </c>
      <c r="P1351" s="4">
        <v>45015</v>
      </c>
      <c r="Q1351" s="4">
        <v>45027</v>
      </c>
      <c r="R1351" s="1" t="s">
        <v>73</v>
      </c>
      <c r="AO1351" s="7">
        <v>31030</v>
      </c>
      <c r="AP1351" s="5" t="s">
        <v>591</v>
      </c>
      <c r="AQ1351" s="5" t="s">
        <v>613</v>
      </c>
      <c r="AR1351" s="5" t="s">
        <v>1028</v>
      </c>
      <c r="AS1351" s="5" t="s">
        <v>3017</v>
      </c>
      <c r="AT1351" s="5" t="s">
        <v>295</v>
      </c>
      <c r="AU1351" s="5" t="s">
        <v>243</v>
      </c>
      <c r="AV1351" s="5" t="s">
        <v>462</v>
      </c>
      <c r="AW1351" s="5" t="s">
        <v>1893</v>
      </c>
      <c r="AX1351" s="5" t="s">
        <v>192</v>
      </c>
      <c r="AY1351" s="5" t="s">
        <v>125</v>
      </c>
      <c r="AZ1351" s="5" t="s">
        <v>75</v>
      </c>
      <c r="BA1351" s="5" t="s">
        <v>76</v>
      </c>
      <c r="BB1351" s="12" t="s">
        <v>76</v>
      </c>
      <c r="BC1351" s="5" t="s">
        <v>2219</v>
      </c>
      <c r="BD1351" s="5" t="s">
        <v>613</v>
      </c>
      <c r="BE1351" s="5" t="s">
        <v>76</v>
      </c>
      <c r="BF1351" s="5" t="s">
        <v>76</v>
      </c>
      <c r="BG1351" s="15">
        <v>36</v>
      </c>
      <c r="BH1351" s="5" t="s">
        <v>76</v>
      </c>
      <c r="BI1351" s="5" t="s">
        <v>336</v>
      </c>
      <c r="BJ1351" s="5" t="s">
        <v>76</v>
      </c>
      <c r="BK1351" s="5" t="s">
        <v>1517</v>
      </c>
      <c r="BL1351" s="5" t="s">
        <v>419</v>
      </c>
      <c r="BM1351" s="5" t="s">
        <v>77</v>
      </c>
      <c r="BN1351" s="5" t="s">
        <v>77</v>
      </c>
      <c r="BO1351" s="5" t="e">
        <f t="shared" si="21"/>
        <v>#VALUE!</v>
      </c>
      <c r="BP1351" s="5" t="s">
        <v>296</v>
      </c>
      <c r="BQ1351" s="5" t="s">
        <v>76</v>
      </c>
      <c r="BR1351" s="5">
        <v>2647</v>
      </c>
    </row>
    <row r="1352" s="1" customFormat="1" spans="1:70">
      <c r="A1352" s="1">
        <v>3293271</v>
      </c>
      <c r="B1352" s="1" t="s">
        <v>3018</v>
      </c>
      <c r="D1352" s="4">
        <v>44981</v>
      </c>
      <c r="E1352" s="4">
        <v>44988</v>
      </c>
      <c r="F1352" s="7">
        <v>31079</v>
      </c>
      <c r="G1352" s="1">
        <v>35</v>
      </c>
      <c r="H1352" s="1">
        <v>8</v>
      </c>
      <c r="I1352" s="1">
        <v>45</v>
      </c>
      <c r="J1352" s="1">
        <v>8</v>
      </c>
      <c r="K1352" s="1">
        <v>63</v>
      </c>
      <c r="L1352" s="1">
        <v>34</v>
      </c>
      <c r="M1352" s="1">
        <v>1.26</v>
      </c>
      <c r="N1352" s="1">
        <v>9.7</v>
      </c>
      <c r="O1352" s="7">
        <v>31079</v>
      </c>
      <c r="P1352" s="4">
        <v>44981</v>
      </c>
      <c r="Q1352" s="4">
        <v>44988</v>
      </c>
      <c r="R1352" s="1" t="s">
        <v>80</v>
      </c>
      <c r="AO1352" s="7">
        <v>31079</v>
      </c>
      <c r="AP1352" s="5">
        <v>8.7</v>
      </c>
      <c r="AQ1352" s="5">
        <v>137</v>
      </c>
      <c r="AR1352" s="5">
        <v>40.8</v>
      </c>
      <c r="AS1352" s="5">
        <v>2.8</v>
      </c>
      <c r="AT1352" s="5">
        <v>23</v>
      </c>
      <c r="AU1352" s="5" t="s">
        <v>76</v>
      </c>
      <c r="AV1352" s="5" t="s">
        <v>76</v>
      </c>
      <c r="AW1352" s="5">
        <v>6.1</v>
      </c>
      <c r="AX1352" s="5">
        <v>64</v>
      </c>
      <c r="AY1352" s="5" t="s">
        <v>125</v>
      </c>
      <c r="AZ1352" s="5" t="s">
        <v>75</v>
      </c>
      <c r="BA1352" s="5">
        <v>3.15</v>
      </c>
      <c r="BB1352" s="12" t="s">
        <v>76</v>
      </c>
      <c r="BC1352" s="5">
        <v>4.66</v>
      </c>
      <c r="BD1352" s="5">
        <v>137</v>
      </c>
      <c r="BE1352" s="5">
        <v>1.14</v>
      </c>
      <c r="BF1352" s="5">
        <v>1.7</v>
      </c>
      <c r="BG1352" s="15">
        <v>36.6</v>
      </c>
      <c r="BH1352" s="5">
        <v>64</v>
      </c>
      <c r="BI1352" s="5">
        <v>64</v>
      </c>
      <c r="BJ1352" s="5">
        <v>18</v>
      </c>
      <c r="BK1352" s="5">
        <v>124</v>
      </c>
      <c r="BL1352" s="5">
        <v>77</v>
      </c>
      <c r="BM1352" s="5">
        <v>90</v>
      </c>
      <c r="BN1352" s="5">
        <v>177</v>
      </c>
      <c r="BO1352" s="5">
        <f t="shared" si="21"/>
        <v>28.7273771904625</v>
      </c>
      <c r="BP1352" s="5" t="s">
        <v>156</v>
      </c>
      <c r="BQ1352" s="5">
        <v>6</v>
      </c>
      <c r="BR1352" s="5">
        <v>744</v>
      </c>
    </row>
    <row r="1353" s="1" customFormat="1" spans="1:70">
      <c r="A1353" s="1" t="s">
        <v>3019</v>
      </c>
      <c r="B1353" s="1" t="s">
        <v>3020</v>
      </c>
      <c r="D1353" s="4">
        <v>44953</v>
      </c>
      <c r="E1353" s="4">
        <v>44965</v>
      </c>
      <c r="F1353" s="7">
        <v>31094</v>
      </c>
      <c r="G1353" s="1">
        <v>40</v>
      </c>
      <c r="H1353" s="1">
        <v>9</v>
      </c>
      <c r="I1353" s="1">
        <v>58</v>
      </c>
      <c r="J1353" s="1">
        <v>9</v>
      </c>
      <c r="K1353" s="1">
        <v>57</v>
      </c>
      <c r="L1353" s="1">
        <v>30</v>
      </c>
      <c r="M1353" s="1">
        <v>1.54</v>
      </c>
      <c r="N1353" s="1">
        <v>15.2</v>
      </c>
      <c r="O1353" s="7">
        <v>31094</v>
      </c>
      <c r="P1353" s="4">
        <v>44953</v>
      </c>
      <c r="Q1353" s="4">
        <v>44965</v>
      </c>
      <c r="R1353" s="1" t="s">
        <v>73</v>
      </c>
      <c r="AO1353" s="7">
        <v>31094</v>
      </c>
      <c r="AP1353" s="5" t="s">
        <v>489</v>
      </c>
      <c r="AQ1353" s="5" t="s">
        <v>347</v>
      </c>
      <c r="AR1353" s="5" t="s">
        <v>2343</v>
      </c>
      <c r="AS1353" s="5" t="s">
        <v>2532</v>
      </c>
      <c r="AT1353" s="5" t="s">
        <v>93</v>
      </c>
      <c r="AU1353" s="5" t="s">
        <v>93</v>
      </c>
      <c r="AV1353" s="5" t="s">
        <v>689</v>
      </c>
      <c r="AW1353" s="5" t="s">
        <v>3021</v>
      </c>
      <c r="AX1353" s="5" t="s">
        <v>195</v>
      </c>
      <c r="AY1353" s="5" t="s">
        <v>76</v>
      </c>
      <c r="AZ1353" s="5" t="s">
        <v>75</v>
      </c>
      <c r="BA1353" s="5" t="s">
        <v>76</v>
      </c>
      <c r="BB1353" s="12" t="s">
        <v>76</v>
      </c>
      <c r="BC1353" s="5" t="s">
        <v>2674</v>
      </c>
      <c r="BD1353" s="5" t="s">
        <v>347</v>
      </c>
      <c r="BE1353" s="5" t="s">
        <v>76</v>
      </c>
      <c r="BF1353" s="5" t="s">
        <v>76</v>
      </c>
      <c r="BG1353" s="15">
        <v>36.5</v>
      </c>
      <c r="BH1353" s="5" t="s">
        <v>192</v>
      </c>
      <c r="BI1353" s="5" t="s">
        <v>76</v>
      </c>
      <c r="BJ1353" s="5" t="s">
        <v>319</v>
      </c>
      <c r="BK1353" s="5" t="s">
        <v>201</v>
      </c>
      <c r="BL1353" s="5" t="s">
        <v>207</v>
      </c>
      <c r="BM1353" s="5" t="s">
        <v>215</v>
      </c>
      <c r="BN1353" s="5">
        <v>164</v>
      </c>
      <c r="BO1353" s="5">
        <f t="shared" si="21"/>
        <v>22.3081499107674</v>
      </c>
      <c r="BP1353" s="5" t="s">
        <v>141</v>
      </c>
      <c r="BQ1353" s="5" t="s">
        <v>76</v>
      </c>
      <c r="BR1353" s="5">
        <v>3122</v>
      </c>
    </row>
    <row r="1354" s="1" customFormat="1" spans="1:70">
      <c r="A1354" s="1">
        <v>3307753</v>
      </c>
      <c r="B1354" s="1" t="s">
        <v>3022</v>
      </c>
      <c r="D1354" s="4">
        <v>45000</v>
      </c>
      <c r="E1354" s="4">
        <v>45008</v>
      </c>
      <c r="F1354" s="7">
        <v>31121</v>
      </c>
      <c r="G1354" s="1">
        <v>34</v>
      </c>
      <c r="H1354" s="1">
        <v>10</v>
      </c>
      <c r="I1354" s="1">
        <v>48</v>
      </c>
      <c r="J1354" s="1">
        <v>10</v>
      </c>
      <c r="K1354" s="1">
        <v>63</v>
      </c>
      <c r="L1354" s="1">
        <v>34</v>
      </c>
      <c r="M1354" s="1">
        <v>1.18</v>
      </c>
      <c r="O1354" s="7">
        <v>31121</v>
      </c>
      <c r="P1354" s="4">
        <v>45000</v>
      </c>
      <c r="Q1354" s="4">
        <v>45008</v>
      </c>
      <c r="R1354" s="1" t="s">
        <v>80</v>
      </c>
      <c r="AO1354" s="7">
        <v>31121</v>
      </c>
      <c r="AP1354" s="5">
        <v>9.5</v>
      </c>
      <c r="AQ1354" s="5">
        <v>157</v>
      </c>
      <c r="AR1354" s="5">
        <v>50.3</v>
      </c>
      <c r="AS1354" s="5">
        <v>73.5</v>
      </c>
      <c r="AT1354" s="5">
        <v>54</v>
      </c>
      <c r="AU1354" s="5">
        <v>34</v>
      </c>
      <c r="AV1354" s="5">
        <v>41.7</v>
      </c>
      <c r="AW1354" s="5">
        <v>6.36</v>
      </c>
      <c r="AX1354" s="5">
        <v>64</v>
      </c>
      <c r="AY1354" s="5" t="s">
        <v>125</v>
      </c>
      <c r="AZ1354" s="5">
        <v>8</v>
      </c>
      <c r="BA1354" s="5">
        <v>5.22</v>
      </c>
      <c r="BB1354" s="12" t="s">
        <v>76</v>
      </c>
      <c r="BC1354" s="5">
        <v>4.88</v>
      </c>
      <c r="BD1354" s="5">
        <v>157</v>
      </c>
      <c r="BE1354" s="5" t="s">
        <v>76</v>
      </c>
      <c r="BF1354" s="5" t="s">
        <v>76</v>
      </c>
      <c r="BG1354" s="15">
        <v>36.7</v>
      </c>
      <c r="BH1354" s="5" t="s">
        <v>76</v>
      </c>
      <c r="BI1354" s="5">
        <v>80</v>
      </c>
      <c r="BJ1354" s="5">
        <v>16</v>
      </c>
      <c r="BK1354" s="5">
        <v>213</v>
      </c>
      <c r="BL1354" s="5">
        <v>110</v>
      </c>
      <c r="BM1354" s="5">
        <v>75</v>
      </c>
      <c r="BN1354" s="5">
        <v>160</v>
      </c>
      <c r="BO1354" s="5">
        <f t="shared" si="21"/>
        <v>29.296875</v>
      </c>
      <c r="BP1354" s="5" t="s">
        <v>117</v>
      </c>
      <c r="BQ1354" s="5">
        <v>10.5</v>
      </c>
      <c r="BR1354" s="5">
        <v>301</v>
      </c>
    </row>
    <row r="1355" s="1" customFormat="1" spans="1:70">
      <c r="A1355" s="1">
        <v>3254618</v>
      </c>
      <c r="B1355" s="1" t="s">
        <v>3023</v>
      </c>
      <c r="D1355" s="4">
        <v>44914</v>
      </c>
      <c r="E1355" s="4">
        <v>44944</v>
      </c>
      <c r="F1355" s="7">
        <v>31389</v>
      </c>
      <c r="G1355" s="1">
        <v>32</v>
      </c>
      <c r="H1355" s="1">
        <v>9</v>
      </c>
      <c r="I1355" s="1">
        <v>44</v>
      </c>
      <c r="J1355" s="1">
        <v>9</v>
      </c>
      <c r="K1355" s="1">
        <v>66</v>
      </c>
      <c r="L1355" s="1">
        <v>36</v>
      </c>
      <c r="M1355" s="1">
        <v>1.42</v>
      </c>
      <c r="O1355" s="7">
        <v>31389</v>
      </c>
      <c r="P1355" s="4">
        <v>44914</v>
      </c>
      <c r="Q1355" s="4">
        <v>44944</v>
      </c>
      <c r="R1355" s="1" t="s">
        <v>73</v>
      </c>
      <c r="AO1355" s="7">
        <v>31389</v>
      </c>
      <c r="AP1355" s="5">
        <v>9.6</v>
      </c>
      <c r="AQ1355" s="5">
        <v>89</v>
      </c>
      <c r="AR1355" s="5">
        <v>36.6</v>
      </c>
      <c r="AS1355" s="5">
        <v>98.1</v>
      </c>
      <c r="AT1355" s="5">
        <v>98</v>
      </c>
      <c r="AU1355" s="5">
        <v>79</v>
      </c>
      <c r="AV1355" s="5">
        <v>40.1</v>
      </c>
      <c r="AW1355" s="5">
        <v>9.91</v>
      </c>
      <c r="AX1355" s="5">
        <v>54</v>
      </c>
      <c r="AY1355" s="5" t="s">
        <v>125</v>
      </c>
      <c r="AZ1355" s="5">
        <v>9.8</v>
      </c>
      <c r="BA1355" s="5" t="s">
        <v>76</v>
      </c>
      <c r="BB1355" s="12" t="s">
        <v>76</v>
      </c>
      <c r="BC1355" s="5">
        <v>4.39</v>
      </c>
      <c r="BD1355" s="5">
        <v>89</v>
      </c>
      <c r="BE1355" s="5" t="s">
        <v>76</v>
      </c>
      <c r="BF1355" s="5" t="s">
        <v>76</v>
      </c>
      <c r="BG1355" s="15">
        <v>36.6</v>
      </c>
      <c r="BH1355" s="5" t="s">
        <v>76</v>
      </c>
      <c r="BI1355" s="5">
        <v>107</v>
      </c>
      <c r="BJ1355" s="5">
        <v>22</v>
      </c>
      <c r="BK1355" s="5">
        <v>108</v>
      </c>
      <c r="BL1355" s="5">
        <v>31</v>
      </c>
      <c r="BM1355" s="5">
        <v>51</v>
      </c>
      <c r="BN1355" s="5">
        <v>153</v>
      </c>
      <c r="BO1355" s="5">
        <f t="shared" si="21"/>
        <v>21.7864923747277</v>
      </c>
      <c r="BP1355" s="5" t="s">
        <v>78</v>
      </c>
      <c r="BQ1355" s="5">
        <v>5.6</v>
      </c>
      <c r="BR1355" s="5">
        <v>8433</v>
      </c>
    </row>
    <row r="1356" s="1" customFormat="1" spans="1:70">
      <c r="A1356" s="1">
        <v>3495702</v>
      </c>
      <c r="B1356" s="1" t="s">
        <v>3024</v>
      </c>
      <c r="D1356" s="4">
        <v>45261</v>
      </c>
      <c r="E1356" s="4">
        <v>45267</v>
      </c>
      <c r="F1356" s="7">
        <v>31420</v>
      </c>
      <c r="G1356" s="1">
        <v>38</v>
      </c>
      <c r="H1356" s="1">
        <v>9</v>
      </c>
      <c r="I1356" s="1">
        <v>55</v>
      </c>
      <c r="J1356" s="1">
        <v>9</v>
      </c>
      <c r="K1356" s="1">
        <v>48</v>
      </c>
      <c r="L1356" s="1">
        <v>24</v>
      </c>
      <c r="M1356" s="1">
        <v>0.78</v>
      </c>
      <c r="N1356" s="1">
        <v>15.4</v>
      </c>
      <c r="O1356" s="7">
        <v>31420</v>
      </c>
      <c r="P1356" s="4">
        <v>45261</v>
      </c>
      <c r="Q1356" s="4">
        <v>45267</v>
      </c>
      <c r="R1356" s="1" t="s">
        <v>73</v>
      </c>
      <c r="AO1356" s="7">
        <v>31420</v>
      </c>
      <c r="AP1356" s="5">
        <v>12.2</v>
      </c>
      <c r="AQ1356" s="5">
        <v>85</v>
      </c>
      <c r="AR1356" s="5">
        <v>28.8</v>
      </c>
      <c r="AS1356" s="5">
        <v>13.1</v>
      </c>
      <c r="AT1356" s="5">
        <v>24</v>
      </c>
      <c r="AU1356" s="5">
        <v>34</v>
      </c>
      <c r="AV1356" s="5">
        <v>34.5</v>
      </c>
      <c r="AW1356" s="5">
        <v>6.1</v>
      </c>
      <c r="AX1356" s="5">
        <v>63</v>
      </c>
      <c r="AY1356" s="5">
        <v>98.04</v>
      </c>
      <c r="AZ1356" s="5">
        <v>6.51</v>
      </c>
      <c r="BA1356" s="5">
        <v>5.6</v>
      </c>
      <c r="BB1356" s="12" t="s">
        <v>76</v>
      </c>
      <c r="BC1356" s="5">
        <v>4</v>
      </c>
      <c r="BD1356" s="5">
        <v>85</v>
      </c>
      <c r="BE1356" s="5">
        <v>1.01</v>
      </c>
      <c r="BF1356" s="5">
        <v>3.05</v>
      </c>
      <c r="BG1356" s="15">
        <v>36.5</v>
      </c>
      <c r="BH1356" s="5">
        <v>96</v>
      </c>
      <c r="BI1356" s="5">
        <v>96</v>
      </c>
      <c r="BJ1356" s="5">
        <v>20</v>
      </c>
      <c r="BK1356" s="5">
        <v>146</v>
      </c>
      <c r="BL1356" s="5">
        <v>94</v>
      </c>
      <c r="BM1356" s="5">
        <v>75</v>
      </c>
      <c r="BN1356" s="5">
        <v>165</v>
      </c>
      <c r="BO1356" s="5">
        <f t="shared" si="21"/>
        <v>27.5482093663912</v>
      </c>
      <c r="BP1356" s="5" t="s">
        <v>156</v>
      </c>
      <c r="BQ1356" s="5">
        <v>6.7</v>
      </c>
      <c r="BR1356" s="5">
        <v>9194</v>
      </c>
    </row>
    <row r="1357" s="1" customFormat="1" spans="1:70">
      <c r="A1357" s="1">
        <v>3506248</v>
      </c>
      <c r="B1357" s="1" t="s">
        <v>3025</v>
      </c>
      <c r="D1357" s="4">
        <v>45274</v>
      </c>
      <c r="E1357" s="4">
        <v>45276</v>
      </c>
      <c r="F1357" s="7">
        <v>31456</v>
      </c>
      <c r="G1357" s="1">
        <v>29</v>
      </c>
      <c r="H1357" s="1">
        <v>7</v>
      </c>
      <c r="I1357" s="1">
        <v>44</v>
      </c>
      <c r="J1357" s="1">
        <v>7</v>
      </c>
      <c r="K1357" s="1">
        <v>36</v>
      </c>
      <c r="L1357" s="1">
        <v>17</v>
      </c>
      <c r="M1357" s="1">
        <v>0.85</v>
      </c>
      <c r="O1357" s="7">
        <v>31456</v>
      </c>
      <c r="P1357" s="4">
        <v>45274</v>
      </c>
      <c r="Q1357" s="4">
        <v>45276</v>
      </c>
      <c r="R1357" s="1" t="s">
        <v>73</v>
      </c>
      <c r="AO1357" s="7">
        <v>31456</v>
      </c>
      <c r="AP1357" s="5">
        <v>18.7</v>
      </c>
      <c r="AQ1357" s="5">
        <v>115</v>
      </c>
      <c r="AR1357" s="5">
        <v>36.2</v>
      </c>
      <c r="AS1357" s="5" t="s">
        <v>76</v>
      </c>
      <c r="AT1357" s="5">
        <v>85</v>
      </c>
      <c r="AU1357" s="5">
        <v>30</v>
      </c>
      <c r="AV1357" s="5">
        <v>39.4</v>
      </c>
      <c r="AW1357" s="5">
        <v>8.66</v>
      </c>
      <c r="AX1357" s="5">
        <v>165</v>
      </c>
      <c r="AY1357" s="5">
        <v>33.2</v>
      </c>
      <c r="AZ1357" s="5">
        <v>35</v>
      </c>
      <c r="BA1357" s="5" t="s">
        <v>76</v>
      </c>
      <c r="BB1357" s="12" t="s">
        <v>76</v>
      </c>
      <c r="BC1357" s="5">
        <v>3.32</v>
      </c>
      <c r="BD1357" s="5">
        <v>115</v>
      </c>
      <c r="BE1357" s="5" t="s">
        <v>76</v>
      </c>
      <c r="BF1357" s="5" t="s">
        <v>76</v>
      </c>
      <c r="BG1357" s="5" t="s">
        <v>76</v>
      </c>
      <c r="BH1357" s="5" t="s">
        <v>76</v>
      </c>
      <c r="BI1357" s="5" t="s">
        <v>76</v>
      </c>
      <c r="BJ1357" s="5" t="s">
        <v>76</v>
      </c>
      <c r="BK1357" s="5" t="s">
        <v>76</v>
      </c>
      <c r="BL1357" s="5" t="s">
        <v>76</v>
      </c>
      <c r="BM1357" s="5" t="s">
        <v>76</v>
      </c>
      <c r="BN1357" s="5" t="s">
        <v>76</v>
      </c>
      <c r="BO1357" s="5" t="e">
        <f t="shared" si="21"/>
        <v>#VALUE!</v>
      </c>
      <c r="BP1357" s="5" t="s">
        <v>85</v>
      </c>
      <c r="BQ1357" s="5">
        <v>13.3</v>
      </c>
      <c r="BR1357" s="5">
        <v>6584</v>
      </c>
    </row>
    <row r="1358" s="1" customFormat="1" spans="1:70">
      <c r="A1358" s="1">
        <v>3327753</v>
      </c>
      <c r="B1358" s="1" t="s">
        <v>3026</v>
      </c>
      <c r="D1358" s="4">
        <v>45029</v>
      </c>
      <c r="E1358" s="4">
        <v>45036</v>
      </c>
      <c r="F1358" s="7">
        <v>31552</v>
      </c>
      <c r="G1358" s="1">
        <v>48</v>
      </c>
      <c r="H1358" s="1">
        <v>14</v>
      </c>
      <c r="I1358" s="1">
        <v>60</v>
      </c>
      <c r="J1358" s="1">
        <v>14</v>
      </c>
      <c r="K1358" s="1">
        <v>44</v>
      </c>
      <c r="L1358" s="1">
        <v>22</v>
      </c>
      <c r="M1358" s="1">
        <v>2.11</v>
      </c>
      <c r="N1358" s="1">
        <v>20.3</v>
      </c>
      <c r="O1358" s="7">
        <v>31552</v>
      </c>
      <c r="P1358" s="4">
        <v>45029</v>
      </c>
      <c r="Q1358" s="4">
        <v>45036</v>
      </c>
      <c r="R1358" s="1" t="s">
        <v>80</v>
      </c>
      <c r="AO1358" s="7">
        <v>31552</v>
      </c>
      <c r="AP1358" s="5">
        <v>8.9</v>
      </c>
      <c r="AQ1358" s="5">
        <v>99</v>
      </c>
      <c r="AR1358" s="5">
        <v>38.6</v>
      </c>
      <c r="AS1358" s="5">
        <v>51.5</v>
      </c>
      <c r="AT1358" s="5">
        <v>90</v>
      </c>
      <c r="AU1358" s="5">
        <v>85</v>
      </c>
      <c r="AV1358" s="5">
        <v>31.5</v>
      </c>
      <c r="AW1358" s="5">
        <v>14.16</v>
      </c>
      <c r="AX1358" s="5">
        <v>241</v>
      </c>
      <c r="AY1358" s="5">
        <v>36.5</v>
      </c>
      <c r="AZ1358" s="5" t="s">
        <v>75</v>
      </c>
      <c r="BA1358" s="5">
        <v>3.75</v>
      </c>
      <c r="BB1358" s="12" t="s">
        <v>76</v>
      </c>
      <c r="BC1358" s="5" t="s">
        <v>4</v>
      </c>
      <c r="BD1358" s="5">
        <v>99</v>
      </c>
      <c r="BE1358" s="5">
        <v>0.66</v>
      </c>
      <c r="BF1358" s="5">
        <v>2.33</v>
      </c>
      <c r="BG1358" s="15">
        <v>37</v>
      </c>
      <c r="BH1358" s="5">
        <v>110</v>
      </c>
      <c r="BI1358" s="5">
        <v>110</v>
      </c>
      <c r="BJ1358" s="5">
        <v>18</v>
      </c>
      <c r="BK1358" s="5">
        <v>188</v>
      </c>
      <c r="BL1358" s="5">
        <v>124</v>
      </c>
      <c r="BM1358" s="5">
        <v>75</v>
      </c>
      <c r="BN1358" s="5">
        <v>176</v>
      </c>
      <c r="BO1358" s="5">
        <f t="shared" si="21"/>
        <v>24.2122933884298</v>
      </c>
      <c r="BP1358" s="5" t="s">
        <v>323</v>
      </c>
      <c r="BQ1358" s="5">
        <v>5.8</v>
      </c>
      <c r="BR1358" s="5" t="s">
        <v>118</v>
      </c>
    </row>
    <row r="1359" s="1" customFormat="1" spans="1:70">
      <c r="A1359" s="1" t="s">
        <v>3027</v>
      </c>
      <c r="B1359" s="1" t="s">
        <v>3028</v>
      </c>
      <c r="D1359" s="4">
        <v>44937</v>
      </c>
      <c r="E1359" s="4">
        <v>44942</v>
      </c>
      <c r="F1359" s="7">
        <v>31573</v>
      </c>
      <c r="G1359" s="1">
        <v>37</v>
      </c>
      <c r="H1359" s="1">
        <v>9</v>
      </c>
      <c r="I1359" s="1">
        <v>43</v>
      </c>
      <c r="J1359" s="1">
        <v>9</v>
      </c>
      <c r="K1359" s="1">
        <v>66</v>
      </c>
      <c r="L1359" s="1">
        <v>36</v>
      </c>
      <c r="M1359" s="1">
        <v>0.91</v>
      </c>
      <c r="N1359" s="1">
        <v>12.4</v>
      </c>
      <c r="O1359" s="7">
        <v>31573</v>
      </c>
      <c r="P1359" s="4">
        <v>44937</v>
      </c>
      <c r="Q1359" s="4">
        <v>44942</v>
      </c>
      <c r="R1359" s="1" t="s">
        <v>73</v>
      </c>
      <c r="AO1359" s="7">
        <v>31573</v>
      </c>
      <c r="AP1359" s="5" t="s">
        <v>1130</v>
      </c>
      <c r="AQ1359" s="5" t="s">
        <v>232</v>
      </c>
      <c r="AR1359" s="5" t="s">
        <v>3029</v>
      </c>
      <c r="AS1359" s="5" t="s">
        <v>3030</v>
      </c>
      <c r="AT1359" s="5" t="s">
        <v>295</v>
      </c>
      <c r="AU1359" s="5" t="s">
        <v>784</v>
      </c>
      <c r="AV1359" s="5" t="s">
        <v>90</v>
      </c>
      <c r="AW1359" s="5" t="s">
        <v>3031</v>
      </c>
      <c r="AX1359" s="5" t="s">
        <v>243</v>
      </c>
      <c r="AY1359" s="5" t="s">
        <v>3032</v>
      </c>
      <c r="AZ1359" s="5" t="s">
        <v>75</v>
      </c>
      <c r="BA1359" s="5" t="s">
        <v>76</v>
      </c>
      <c r="BB1359" s="12" t="s">
        <v>76</v>
      </c>
      <c r="BC1359" s="5" t="s">
        <v>3033</v>
      </c>
      <c r="BD1359" s="5" t="s">
        <v>232</v>
      </c>
      <c r="BE1359" s="5" t="s">
        <v>76</v>
      </c>
      <c r="BF1359" s="5" t="s">
        <v>76</v>
      </c>
      <c r="BG1359" s="15">
        <v>36.5</v>
      </c>
      <c r="BH1359" s="5" t="s">
        <v>76</v>
      </c>
      <c r="BI1359" s="5" t="s">
        <v>942</v>
      </c>
      <c r="BJ1359" s="5" t="s">
        <v>293</v>
      </c>
      <c r="BK1359" s="5" t="s">
        <v>213</v>
      </c>
      <c r="BL1359" s="5" t="s">
        <v>247</v>
      </c>
      <c r="BM1359" s="5" t="s">
        <v>468</v>
      </c>
      <c r="BN1359" s="5">
        <v>150</v>
      </c>
      <c r="BO1359" s="5">
        <f t="shared" si="21"/>
        <v>28.8888888888889</v>
      </c>
      <c r="BP1359" s="5" t="s">
        <v>3034</v>
      </c>
      <c r="BQ1359" s="5" t="s">
        <v>76</v>
      </c>
      <c r="BR1359" s="5">
        <v>2119</v>
      </c>
    </row>
    <row r="1360" s="1" customFormat="1" spans="1:70">
      <c r="A1360" s="16">
        <v>3504007</v>
      </c>
      <c r="B1360" s="1" t="s">
        <v>3035</v>
      </c>
      <c r="D1360" s="4">
        <v>45272</v>
      </c>
      <c r="E1360" s="4">
        <v>45282</v>
      </c>
      <c r="F1360" s="7">
        <v>31726</v>
      </c>
      <c r="G1360" s="1">
        <v>28</v>
      </c>
      <c r="H1360" s="1">
        <v>8</v>
      </c>
      <c r="I1360" s="1">
        <v>38</v>
      </c>
      <c r="J1360" s="1">
        <v>8</v>
      </c>
      <c r="K1360" s="1">
        <v>57</v>
      </c>
      <c r="L1360" s="1">
        <v>30</v>
      </c>
      <c r="M1360" s="9">
        <v>1.4</v>
      </c>
      <c r="N1360" s="1">
        <v>7.1</v>
      </c>
      <c r="O1360" s="7">
        <v>31726</v>
      </c>
      <c r="P1360" s="4">
        <v>45272</v>
      </c>
      <c r="Q1360" s="4">
        <v>45282</v>
      </c>
      <c r="R1360" s="1" t="s">
        <v>73</v>
      </c>
      <c r="AO1360" s="7">
        <v>31726</v>
      </c>
      <c r="AP1360" s="5">
        <v>7.2</v>
      </c>
      <c r="AQ1360" s="5">
        <v>143</v>
      </c>
      <c r="AR1360" s="5">
        <v>43.3</v>
      </c>
      <c r="AS1360" s="5" t="s">
        <v>374</v>
      </c>
      <c r="AT1360" s="5">
        <v>34</v>
      </c>
      <c r="AU1360" s="5">
        <v>9</v>
      </c>
      <c r="AV1360" s="5">
        <v>50.5</v>
      </c>
      <c r="AW1360" s="5">
        <v>9.56</v>
      </c>
      <c r="AX1360" s="5">
        <v>46</v>
      </c>
      <c r="AY1360" s="5" t="s">
        <v>125</v>
      </c>
      <c r="AZ1360" s="5" t="s">
        <v>75</v>
      </c>
      <c r="BA1360" s="5" t="s">
        <v>76</v>
      </c>
      <c r="BB1360" s="12" t="s">
        <v>76</v>
      </c>
      <c r="BC1360" s="5">
        <v>4.84</v>
      </c>
      <c r="BD1360" s="5">
        <v>143</v>
      </c>
      <c r="BE1360" s="5" t="s">
        <v>76</v>
      </c>
      <c r="BF1360" s="5" t="s">
        <v>76</v>
      </c>
      <c r="BG1360" s="15">
        <v>36.5</v>
      </c>
      <c r="BH1360" s="5">
        <v>80</v>
      </c>
      <c r="BI1360" s="5">
        <v>80</v>
      </c>
      <c r="BJ1360" s="5">
        <v>18</v>
      </c>
      <c r="BK1360" s="5">
        <v>120</v>
      </c>
      <c r="BL1360" s="5">
        <v>70</v>
      </c>
      <c r="BM1360" s="5">
        <v>50</v>
      </c>
      <c r="BN1360" s="5">
        <v>162</v>
      </c>
      <c r="BO1360" s="5">
        <f t="shared" si="21"/>
        <v>19.0519737844841</v>
      </c>
      <c r="BP1360" s="5" t="s">
        <v>1450</v>
      </c>
      <c r="BQ1360" s="5">
        <v>5.4</v>
      </c>
      <c r="BR1360" s="5">
        <v>612</v>
      </c>
    </row>
    <row r="1361" s="1" customFormat="1" spans="1:70">
      <c r="A1361" s="1">
        <v>3310414</v>
      </c>
      <c r="B1361" s="1" t="s">
        <v>3036</v>
      </c>
      <c r="D1361" s="4">
        <v>45005</v>
      </c>
      <c r="E1361" s="4">
        <v>45010</v>
      </c>
      <c r="F1361" s="7">
        <v>31768</v>
      </c>
      <c r="G1361" s="1">
        <v>50</v>
      </c>
      <c r="H1361" s="1">
        <v>9</v>
      </c>
      <c r="I1361" s="1">
        <v>62</v>
      </c>
      <c r="J1361" s="1">
        <v>9</v>
      </c>
      <c r="K1361" s="1">
        <v>32</v>
      </c>
      <c r="L1361" s="1">
        <v>16</v>
      </c>
      <c r="N1361" s="1">
        <v>19.4</v>
      </c>
      <c r="O1361" s="7">
        <v>31768</v>
      </c>
      <c r="P1361" s="4">
        <v>45005</v>
      </c>
      <c r="Q1361" s="4">
        <v>45010</v>
      </c>
      <c r="R1361" s="1" t="s">
        <v>80</v>
      </c>
      <c r="AO1361" s="7">
        <v>31768</v>
      </c>
      <c r="AP1361" s="5">
        <v>7.4</v>
      </c>
      <c r="AQ1361" s="5">
        <v>141</v>
      </c>
      <c r="AR1361" s="5">
        <v>43.6</v>
      </c>
      <c r="AS1361" s="5">
        <v>1.5</v>
      </c>
      <c r="AT1361" s="5">
        <v>61</v>
      </c>
      <c r="AU1361" s="5">
        <v>54</v>
      </c>
      <c r="AV1361" s="5">
        <v>34.9</v>
      </c>
      <c r="AW1361" s="5">
        <v>7.89</v>
      </c>
      <c r="AX1361" s="5">
        <v>94</v>
      </c>
      <c r="AY1361" s="5">
        <v>83.73</v>
      </c>
      <c r="AZ1361" s="5">
        <v>5.8</v>
      </c>
      <c r="BA1361" s="5">
        <v>2.67</v>
      </c>
      <c r="BB1361" s="12" t="s">
        <v>76</v>
      </c>
      <c r="BC1361" s="5">
        <v>4.75</v>
      </c>
      <c r="BD1361" s="5">
        <v>141</v>
      </c>
      <c r="BE1361" s="5">
        <v>0.5</v>
      </c>
      <c r="BF1361" s="5">
        <v>1.89</v>
      </c>
      <c r="BG1361" s="15">
        <v>36.4</v>
      </c>
      <c r="BH1361" s="5">
        <v>60</v>
      </c>
      <c r="BI1361" s="5">
        <v>72</v>
      </c>
      <c r="BJ1361" s="5">
        <v>16</v>
      </c>
      <c r="BK1361" s="5">
        <v>114</v>
      </c>
      <c r="BL1361" s="5">
        <v>63</v>
      </c>
      <c r="BM1361" s="5">
        <v>77</v>
      </c>
      <c r="BN1361" s="5">
        <v>174</v>
      </c>
      <c r="BO1361" s="5">
        <f t="shared" si="21"/>
        <v>25.4326859558726</v>
      </c>
      <c r="BP1361" s="5" t="s">
        <v>107</v>
      </c>
      <c r="BQ1361" s="5" t="s">
        <v>76</v>
      </c>
      <c r="BR1361" s="5">
        <v>2178.4</v>
      </c>
    </row>
    <row r="1362" s="1" customFormat="1" spans="1:70">
      <c r="A1362" s="1" t="s">
        <v>3037</v>
      </c>
      <c r="B1362" s="1" t="s">
        <v>3038</v>
      </c>
      <c r="D1362" s="4">
        <v>44991</v>
      </c>
      <c r="E1362" s="4">
        <v>45008</v>
      </c>
      <c r="F1362" s="7">
        <v>31780</v>
      </c>
      <c r="G1362" s="1">
        <v>35</v>
      </c>
      <c r="H1362" s="1">
        <v>10</v>
      </c>
      <c r="I1362" s="1">
        <v>46</v>
      </c>
      <c r="J1362" s="1">
        <v>10</v>
      </c>
      <c r="K1362" s="1">
        <v>62</v>
      </c>
      <c r="L1362" s="1">
        <v>34</v>
      </c>
      <c r="M1362" s="1">
        <v>0.75</v>
      </c>
      <c r="N1362" s="1">
        <v>14.4</v>
      </c>
      <c r="O1362" s="7">
        <v>31780</v>
      </c>
      <c r="P1362" s="4">
        <v>44991</v>
      </c>
      <c r="Q1362" s="4">
        <v>45008</v>
      </c>
      <c r="R1362" s="1" t="s">
        <v>73</v>
      </c>
      <c r="AO1362" s="7">
        <v>31780</v>
      </c>
      <c r="AP1362" s="5" t="s">
        <v>1055</v>
      </c>
      <c r="AQ1362" s="5" t="s">
        <v>493</v>
      </c>
      <c r="AR1362" s="5" t="s">
        <v>2660</v>
      </c>
      <c r="AS1362" s="5" t="s">
        <v>656</v>
      </c>
      <c r="AT1362" s="5" t="s">
        <v>606</v>
      </c>
      <c r="AU1362" s="5" t="s">
        <v>246</v>
      </c>
      <c r="AV1362" s="5" t="s">
        <v>941</v>
      </c>
      <c r="AW1362" s="5" t="s">
        <v>3039</v>
      </c>
      <c r="AX1362" s="5" t="s">
        <v>3040</v>
      </c>
      <c r="AY1362" s="5" t="s">
        <v>2555</v>
      </c>
      <c r="AZ1362" s="5" t="s">
        <v>75</v>
      </c>
      <c r="BA1362" s="5" t="s">
        <v>3041</v>
      </c>
      <c r="BB1362" s="12" t="s">
        <v>76</v>
      </c>
      <c r="BC1362" s="5" t="s">
        <v>514</v>
      </c>
      <c r="BD1362" s="5" t="s">
        <v>493</v>
      </c>
      <c r="BE1362" s="5" t="s">
        <v>1933</v>
      </c>
      <c r="BF1362" s="5" t="s">
        <v>349</v>
      </c>
      <c r="BG1362" s="15">
        <v>36.5</v>
      </c>
      <c r="BH1362" s="5" t="s">
        <v>139</v>
      </c>
      <c r="BI1362" s="5" t="s">
        <v>139</v>
      </c>
      <c r="BJ1362" s="5" t="s">
        <v>101</v>
      </c>
      <c r="BK1362" s="5" t="s">
        <v>548</v>
      </c>
      <c r="BL1362" s="5" t="s">
        <v>598</v>
      </c>
      <c r="BM1362" s="5" t="s">
        <v>192</v>
      </c>
      <c r="BN1362" s="5">
        <v>160</v>
      </c>
      <c r="BO1362" s="5">
        <f t="shared" si="21"/>
        <v>30.46875</v>
      </c>
      <c r="BP1362" s="5" t="s">
        <v>953</v>
      </c>
      <c r="BQ1362" s="5" t="s">
        <v>2672</v>
      </c>
      <c r="BR1362" s="5">
        <v>2015</v>
      </c>
    </row>
    <row r="1363" s="1" customFormat="1" spans="1:70">
      <c r="A1363" s="1">
        <v>3333768</v>
      </c>
      <c r="B1363" s="1" t="s">
        <v>3042</v>
      </c>
      <c r="D1363" s="4">
        <v>45037</v>
      </c>
      <c r="E1363" s="4">
        <v>45044</v>
      </c>
      <c r="F1363" s="7">
        <v>31784</v>
      </c>
      <c r="G1363" s="1">
        <v>30</v>
      </c>
      <c r="H1363" s="1">
        <v>8</v>
      </c>
      <c r="I1363" s="1">
        <v>48</v>
      </c>
      <c r="J1363" s="1">
        <v>9</v>
      </c>
      <c r="K1363" s="1">
        <v>56</v>
      </c>
      <c r="M1363" s="1">
        <v>1.76</v>
      </c>
      <c r="N1363" s="10">
        <v>6</v>
      </c>
      <c r="O1363" s="7">
        <v>31784</v>
      </c>
      <c r="P1363" s="4">
        <v>45037</v>
      </c>
      <c r="Q1363" s="4">
        <v>45044</v>
      </c>
      <c r="R1363" s="1" t="s">
        <v>80</v>
      </c>
      <c r="AO1363" s="7">
        <v>31784</v>
      </c>
      <c r="AP1363" s="5">
        <v>8.7</v>
      </c>
      <c r="AQ1363" s="5">
        <v>137</v>
      </c>
      <c r="AR1363" s="5">
        <v>41</v>
      </c>
      <c r="AS1363" s="5">
        <v>90.7</v>
      </c>
      <c r="AT1363" s="5">
        <v>94</v>
      </c>
      <c r="AU1363" s="5">
        <v>64</v>
      </c>
      <c r="AV1363" s="5">
        <v>43.9</v>
      </c>
      <c r="AW1363" s="5">
        <v>4.9</v>
      </c>
      <c r="AX1363" s="5">
        <v>59</v>
      </c>
      <c r="AY1363" s="5" t="s">
        <v>125</v>
      </c>
      <c r="AZ1363" s="5" t="s">
        <v>75</v>
      </c>
      <c r="BA1363" s="5">
        <v>6.62</v>
      </c>
      <c r="BB1363" s="12" t="s">
        <v>76</v>
      </c>
      <c r="BC1363" s="5">
        <v>4.44</v>
      </c>
      <c r="BD1363" s="5">
        <v>137</v>
      </c>
      <c r="BE1363" s="5">
        <v>0.77</v>
      </c>
      <c r="BF1363" s="5">
        <v>4.31</v>
      </c>
      <c r="BG1363" s="15">
        <v>36.5</v>
      </c>
      <c r="BH1363" s="5">
        <v>120</v>
      </c>
      <c r="BI1363" s="5">
        <v>120</v>
      </c>
      <c r="BJ1363" s="5">
        <v>20</v>
      </c>
      <c r="BK1363" s="5">
        <v>99</v>
      </c>
      <c r="BL1363" s="5">
        <v>66</v>
      </c>
      <c r="BM1363" s="5">
        <v>67</v>
      </c>
      <c r="BN1363" s="5">
        <v>172</v>
      </c>
      <c r="BO1363" s="5">
        <f t="shared" si="21"/>
        <v>22.6473769605192</v>
      </c>
      <c r="BP1363" s="5" t="s">
        <v>323</v>
      </c>
      <c r="BQ1363" s="5">
        <v>6.3</v>
      </c>
      <c r="BR1363" s="5">
        <v>762</v>
      </c>
    </row>
    <row r="1364" s="1" customFormat="1" spans="1:70">
      <c r="A1364" s="1">
        <v>3494777</v>
      </c>
      <c r="B1364" s="1" t="s">
        <v>3043</v>
      </c>
      <c r="D1364" s="4">
        <v>45259</v>
      </c>
      <c r="E1364" s="4">
        <v>45264</v>
      </c>
      <c r="F1364" s="7">
        <v>31863</v>
      </c>
      <c r="G1364" s="1">
        <v>32</v>
      </c>
      <c r="H1364" s="1">
        <v>9</v>
      </c>
      <c r="I1364" s="1">
        <v>45</v>
      </c>
      <c r="J1364" s="1">
        <v>9</v>
      </c>
      <c r="K1364" s="1">
        <v>63</v>
      </c>
      <c r="L1364" s="1">
        <v>34</v>
      </c>
      <c r="M1364" s="1">
        <v>1.72</v>
      </c>
      <c r="N1364" s="1">
        <v>9.1</v>
      </c>
      <c r="O1364" s="7">
        <v>31863</v>
      </c>
      <c r="P1364" s="4">
        <v>45259</v>
      </c>
      <c r="Q1364" s="4">
        <v>45264</v>
      </c>
      <c r="R1364" s="1" t="s">
        <v>73</v>
      </c>
      <c r="AO1364" s="7">
        <v>31863</v>
      </c>
      <c r="AP1364" s="5">
        <v>3.9</v>
      </c>
      <c r="AQ1364" s="5">
        <v>103</v>
      </c>
      <c r="AR1364" s="5">
        <v>33</v>
      </c>
      <c r="AS1364" s="5">
        <v>2.1</v>
      </c>
      <c r="AT1364" s="5">
        <v>24</v>
      </c>
      <c r="AU1364" s="5">
        <v>17</v>
      </c>
      <c r="AV1364" s="5">
        <v>42.2</v>
      </c>
      <c r="AW1364" s="5">
        <v>16.77</v>
      </c>
      <c r="AX1364" s="5">
        <v>267</v>
      </c>
      <c r="AY1364" s="5">
        <v>19.91</v>
      </c>
      <c r="AZ1364" s="5" t="s">
        <v>75</v>
      </c>
      <c r="BA1364" s="5" t="s">
        <v>76</v>
      </c>
      <c r="BB1364" s="12" t="s">
        <v>76</v>
      </c>
      <c r="BC1364" s="5" t="s">
        <v>4</v>
      </c>
      <c r="BD1364" s="5">
        <v>103</v>
      </c>
      <c r="BE1364" s="5" t="s">
        <v>76</v>
      </c>
      <c r="BF1364" s="5" t="s">
        <v>76</v>
      </c>
      <c r="BG1364" s="15">
        <v>36.3</v>
      </c>
      <c r="BH1364" s="5">
        <v>80</v>
      </c>
      <c r="BI1364" s="5">
        <v>80</v>
      </c>
      <c r="BJ1364" s="5">
        <v>15</v>
      </c>
      <c r="BK1364" s="5">
        <v>157</v>
      </c>
      <c r="BL1364" s="5">
        <v>108</v>
      </c>
      <c r="BM1364" s="5">
        <v>50</v>
      </c>
      <c r="BN1364" s="5">
        <v>167</v>
      </c>
      <c r="BO1364" s="5">
        <f t="shared" si="21"/>
        <v>17.9282154254366</v>
      </c>
      <c r="BP1364" s="5" t="s">
        <v>300</v>
      </c>
      <c r="BQ1364" s="5" t="s">
        <v>76</v>
      </c>
      <c r="BR1364" s="5">
        <v>334</v>
      </c>
    </row>
    <row r="1365" s="1" customFormat="1" spans="1:70">
      <c r="A1365" s="1">
        <v>3309407</v>
      </c>
      <c r="B1365" s="1" t="s">
        <v>3044</v>
      </c>
      <c r="D1365" s="4">
        <v>45003</v>
      </c>
      <c r="E1365" s="4">
        <v>45014</v>
      </c>
      <c r="F1365" s="7">
        <v>31909</v>
      </c>
      <c r="G1365" s="1">
        <v>34</v>
      </c>
      <c r="H1365" s="1">
        <v>9</v>
      </c>
      <c r="I1365" s="1">
        <v>50</v>
      </c>
      <c r="J1365" s="1">
        <v>9</v>
      </c>
      <c r="K1365" s="1">
        <v>59</v>
      </c>
      <c r="L1365" s="1">
        <v>32</v>
      </c>
      <c r="M1365" s="1">
        <v>1.1</v>
      </c>
      <c r="N1365" s="10">
        <v>12</v>
      </c>
      <c r="O1365" s="7">
        <v>31909</v>
      </c>
      <c r="P1365" s="4">
        <v>45003</v>
      </c>
      <c r="Q1365" s="4">
        <v>45014</v>
      </c>
      <c r="R1365" s="1" t="s">
        <v>80</v>
      </c>
      <c r="AO1365" s="7">
        <v>31909</v>
      </c>
      <c r="AP1365" s="5">
        <v>7.5</v>
      </c>
      <c r="AQ1365" s="5">
        <v>118</v>
      </c>
      <c r="AR1365" s="5">
        <v>44</v>
      </c>
      <c r="AS1365" s="5">
        <v>9.8</v>
      </c>
      <c r="AT1365" s="5">
        <v>16</v>
      </c>
      <c r="AU1365" s="5">
        <v>25</v>
      </c>
      <c r="AV1365" s="5">
        <v>31.9</v>
      </c>
      <c r="AW1365" s="5" t="s">
        <v>76</v>
      </c>
      <c r="AX1365" s="5" t="s">
        <v>76</v>
      </c>
      <c r="AY1365" s="5" t="s">
        <v>76</v>
      </c>
      <c r="AZ1365" s="5" t="s">
        <v>375</v>
      </c>
      <c r="BA1365" s="5">
        <v>5.84</v>
      </c>
      <c r="BB1365" s="12" t="s">
        <v>76</v>
      </c>
      <c r="BC1365" s="5">
        <v>5.25</v>
      </c>
      <c r="BD1365" s="5">
        <v>118</v>
      </c>
      <c r="BE1365" s="5">
        <v>0.8</v>
      </c>
      <c r="BF1365" s="5">
        <v>3.97</v>
      </c>
      <c r="BG1365" s="15">
        <v>36.7</v>
      </c>
      <c r="BH1365" s="5">
        <v>126</v>
      </c>
      <c r="BI1365" s="5">
        <v>126</v>
      </c>
      <c r="BJ1365" s="5">
        <v>23</v>
      </c>
      <c r="BK1365" s="5">
        <v>117</v>
      </c>
      <c r="BL1365" s="5">
        <v>70</v>
      </c>
      <c r="BM1365" s="5">
        <v>75</v>
      </c>
      <c r="BN1365" s="5">
        <v>178</v>
      </c>
      <c r="BO1365" s="5">
        <f t="shared" si="21"/>
        <v>23.6712536295922</v>
      </c>
      <c r="BP1365" s="5" t="s">
        <v>258</v>
      </c>
      <c r="BQ1365" s="5">
        <v>10.8</v>
      </c>
      <c r="BR1365" s="5">
        <v>317</v>
      </c>
    </row>
    <row r="1366" s="1" customFormat="1" spans="1:70">
      <c r="A1366" s="1" t="s">
        <v>3045</v>
      </c>
      <c r="B1366" s="1" t="s">
        <v>3046</v>
      </c>
      <c r="D1366" s="4">
        <v>45260</v>
      </c>
      <c r="E1366" s="4">
        <v>45277</v>
      </c>
      <c r="F1366" s="7">
        <v>31910</v>
      </c>
      <c r="G1366" s="1">
        <v>30</v>
      </c>
      <c r="H1366" s="1">
        <v>8</v>
      </c>
      <c r="I1366" s="1">
        <v>466</v>
      </c>
      <c r="J1366" s="1">
        <v>8</v>
      </c>
      <c r="K1366" s="1">
        <v>66</v>
      </c>
      <c r="L1366" s="1">
        <v>36</v>
      </c>
      <c r="M1366" s="1">
        <v>1.16</v>
      </c>
      <c r="N1366" s="1">
        <v>8.3</v>
      </c>
      <c r="O1366" s="7">
        <v>31910</v>
      </c>
      <c r="P1366" s="4">
        <v>45260</v>
      </c>
      <c r="Q1366" s="4">
        <v>45277</v>
      </c>
      <c r="R1366" s="1" t="s">
        <v>73</v>
      </c>
      <c r="AO1366" s="7">
        <v>31910</v>
      </c>
      <c r="AP1366" s="5" t="s">
        <v>442</v>
      </c>
      <c r="AQ1366" s="5" t="s">
        <v>759</v>
      </c>
      <c r="AR1366" s="5" t="s">
        <v>90</v>
      </c>
      <c r="AS1366" s="5" t="s">
        <v>1173</v>
      </c>
      <c r="AT1366" s="5" t="s">
        <v>104</v>
      </c>
      <c r="AU1366" s="5" t="s">
        <v>649</v>
      </c>
      <c r="AV1366" s="5" t="s">
        <v>3047</v>
      </c>
      <c r="AW1366" s="5" t="s">
        <v>1995</v>
      </c>
      <c r="AX1366" s="5" t="s">
        <v>511</v>
      </c>
      <c r="AY1366" s="5" t="s">
        <v>76</v>
      </c>
      <c r="AZ1366" s="5" t="s">
        <v>75</v>
      </c>
      <c r="BA1366" s="5" t="s">
        <v>3048</v>
      </c>
      <c r="BB1366" s="12" t="s">
        <v>76</v>
      </c>
      <c r="BC1366" s="5" t="s">
        <v>597</v>
      </c>
      <c r="BD1366" s="5" t="s">
        <v>759</v>
      </c>
      <c r="BE1366" s="5" t="s">
        <v>76</v>
      </c>
      <c r="BF1366" s="5" t="s">
        <v>76</v>
      </c>
      <c r="BG1366" s="15">
        <v>36.5</v>
      </c>
      <c r="BH1366" s="5" t="s">
        <v>613</v>
      </c>
      <c r="BI1366" s="5" t="s">
        <v>613</v>
      </c>
      <c r="BJ1366" s="5" t="s">
        <v>1766</v>
      </c>
      <c r="BK1366" s="5" t="s">
        <v>508</v>
      </c>
      <c r="BL1366" s="5" t="s">
        <v>318</v>
      </c>
      <c r="BM1366" s="5" t="s">
        <v>482</v>
      </c>
      <c r="BN1366" s="5">
        <v>161</v>
      </c>
      <c r="BO1366" s="5">
        <f t="shared" si="21"/>
        <v>27.7767061455962</v>
      </c>
      <c r="BP1366" s="5" t="s">
        <v>1268</v>
      </c>
      <c r="BQ1366" s="5" t="s">
        <v>76</v>
      </c>
      <c r="BR1366" s="5">
        <v>3214</v>
      </c>
    </row>
    <row r="1367" s="1" customFormat="1" spans="1:70">
      <c r="A1367" s="1">
        <v>3494135</v>
      </c>
      <c r="B1367" s="1" t="s">
        <v>3049</v>
      </c>
      <c r="D1367" s="4">
        <v>45258</v>
      </c>
      <c r="E1367" s="4">
        <v>45268</v>
      </c>
      <c r="F1367" s="7">
        <v>31912</v>
      </c>
      <c r="G1367" s="1">
        <v>36</v>
      </c>
      <c r="H1367" s="1">
        <v>13</v>
      </c>
      <c r="I1367" s="1">
        <v>48</v>
      </c>
      <c r="J1367" s="1">
        <v>13</v>
      </c>
      <c r="K1367" s="1">
        <v>71</v>
      </c>
      <c r="L1367" s="1">
        <v>41</v>
      </c>
      <c r="M1367" s="1">
        <v>2.12</v>
      </c>
      <c r="O1367" s="7">
        <v>31912</v>
      </c>
      <c r="P1367" s="4">
        <v>45258</v>
      </c>
      <c r="Q1367" s="4">
        <v>45268</v>
      </c>
      <c r="R1367" s="1" t="s">
        <v>80</v>
      </c>
      <c r="AO1367" s="7">
        <v>31912</v>
      </c>
      <c r="AP1367" s="5">
        <v>7.7</v>
      </c>
      <c r="AQ1367" s="5">
        <v>96</v>
      </c>
      <c r="AR1367" s="5">
        <v>58.7</v>
      </c>
      <c r="AS1367" s="5">
        <v>60.5</v>
      </c>
      <c r="AT1367" s="5">
        <v>71</v>
      </c>
      <c r="AU1367" s="5">
        <v>73</v>
      </c>
      <c r="AV1367" s="5">
        <v>36</v>
      </c>
      <c r="AW1367" s="5">
        <v>8.5</v>
      </c>
      <c r="AX1367" s="5">
        <v>654</v>
      </c>
      <c r="AY1367" s="5" t="s">
        <v>76</v>
      </c>
      <c r="AZ1367" s="5" t="s">
        <v>2547</v>
      </c>
      <c r="BA1367" s="5">
        <v>4.7</v>
      </c>
      <c r="BB1367" s="12" t="s">
        <v>76</v>
      </c>
      <c r="BC1367" s="5">
        <v>6.08</v>
      </c>
      <c r="BD1367" s="5">
        <v>96</v>
      </c>
      <c r="BE1367" s="5">
        <v>0.48</v>
      </c>
      <c r="BF1367" s="5">
        <v>2.03</v>
      </c>
      <c r="BG1367" s="15">
        <v>36.8</v>
      </c>
      <c r="BH1367" s="5" t="s">
        <v>76</v>
      </c>
      <c r="BI1367" s="5">
        <v>122</v>
      </c>
      <c r="BJ1367" s="5">
        <v>20</v>
      </c>
      <c r="BK1367" s="5">
        <v>200</v>
      </c>
      <c r="BL1367" s="5">
        <v>104</v>
      </c>
      <c r="BM1367" s="5">
        <v>70</v>
      </c>
      <c r="BN1367" s="5">
        <v>177</v>
      </c>
      <c r="BO1367" s="5">
        <f t="shared" si="21"/>
        <v>22.343515592582</v>
      </c>
      <c r="BP1367" s="5" t="s">
        <v>394</v>
      </c>
      <c r="BQ1367" s="5">
        <v>5.7</v>
      </c>
      <c r="BR1367" s="5" t="s">
        <v>1423</v>
      </c>
    </row>
    <row r="1368" s="1" customFormat="1" spans="1:70">
      <c r="A1368" s="1">
        <v>3313513</v>
      </c>
      <c r="B1368" s="1" t="s">
        <v>3050</v>
      </c>
      <c r="D1368" s="4">
        <v>45008</v>
      </c>
      <c r="E1368" s="4">
        <v>45023</v>
      </c>
      <c r="F1368" s="7">
        <v>31997</v>
      </c>
      <c r="G1368" s="1">
        <v>34</v>
      </c>
      <c r="H1368" s="1">
        <v>10</v>
      </c>
      <c r="I1368" s="1">
        <v>44</v>
      </c>
      <c r="J1368" s="1">
        <v>10</v>
      </c>
      <c r="K1368" s="1">
        <v>58</v>
      </c>
      <c r="L1368" s="1">
        <v>31</v>
      </c>
      <c r="M1368" s="9">
        <v>0.6</v>
      </c>
      <c r="N1368" s="1">
        <v>5.8</v>
      </c>
      <c r="O1368" s="7">
        <v>31997</v>
      </c>
      <c r="P1368" s="4">
        <v>45008</v>
      </c>
      <c r="Q1368" s="4">
        <v>45023</v>
      </c>
      <c r="R1368" s="1" t="s">
        <v>73</v>
      </c>
      <c r="AO1368" s="7">
        <v>31997</v>
      </c>
      <c r="AP1368" s="5">
        <v>9.6</v>
      </c>
      <c r="AQ1368" s="5">
        <v>99</v>
      </c>
      <c r="AR1368" s="5">
        <v>44.4</v>
      </c>
      <c r="AS1368" s="5">
        <v>62.1</v>
      </c>
      <c r="AT1368" s="5">
        <v>66</v>
      </c>
      <c r="AU1368" s="5">
        <v>66</v>
      </c>
      <c r="AV1368" s="5">
        <v>46.6</v>
      </c>
      <c r="AW1368" s="5">
        <v>4.98</v>
      </c>
      <c r="AX1368" s="5">
        <v>51</v>
      </c>
      <c r="AY1368" s="5" t="s">
        <v>125</v>
      </c>
      <c r="AZ1368" s="5" t="s">
        <v>75</v>
      </c>
      <c r="BA1368" s="5" t="s">
        <v>76</v>
      </c>
      <c r="BB1368" s="12" t="s">
        <v>76</v>
      </c>
      <c r="BC1368" s="5">
        <v>4.43</v>
      </c>
      <c r="BD1368" s="5">
        <v>99</v>
      </c>
      <c r="BE1368" s="5" t="s">
        <v>76</v>
      </c>
      <c r="BF1368" s="5" t="s">
        <v>76</v>
      </c>
      <c r="BG1368" s="15">
        <v>36.3</v>
      </c>
      <c r="BH1368" s="5">
        <v>76</v>
      </c>
      <c r="BI1368" s="5">
        <v>76</v>
      </c>
      <c r="BJ1368" s="5">
        <v>18</v>
      </c>
      <c r="BK1368" s="5">
        <v>120</v>
      </c>
      <c r="BL1368" s="5">
        <v>80</v>
      </c>
      <c r="BM1368" s="5">
        <v>80</v>
      </c>
      <c r="BN1368" s="5">
        <v>164</v>
      </c>
      <c r="BO1368" s="5">
        <f t="shared" si="21"/>
        <v>29.7441998810232</v>
      </c>
      <c r="BP1368" s="5" t="s">
        <v>1450</v>
      </c>
      <c r="BQ1368" s="5">
        <v>5.1</v>
      </c>
      <c r="BR1368" s="5">
        <v>933</v>
      </c>
    </row>
    <row r="1369" s="1" customFormat="1" spans="1:70">
      <c r="A1369" s="1">
        <v>3311998</v>
      </c>
      <c r="B1369" s="1" t="s">
        <v>3051</v>
      </c>
      <c r="D1369" s="4">
        <v>45006</v>
      </c>
      <c r="E1369" s="4">
        <v>45015</v>
      </c>
      <c r="F1369" s="7">
        <v>32066</v>
      </c>
      <c r="G1369" s="1">
        <v>49</v>
      </c>
      <c r="H1369" s="1">
        <v>13</v>
      </c>
      <c r="I1369" s="1">
        <v>53</v>
      </c>
      <c r="J1369" s="1">
        <v>13</v>
      </c>
      <c r="K1369" s="1">
        <v>79</v>
      </c>
      <c r="L1369" s="1">
        <v>49</v>
      </c>
      <c r="M1369" s="1">
        <v>1.96</v>
      </c>
      <c r="N1369" s="1">
        <v>15.1</v>
      </c>
      <c r="O1369" s="7">
        <v>32066</v>
      </c>
      <c r="P1369" s="4">
        <v>45006</v>
      </c>
      <c r="Q1369" s="4">
        <v>45015</v>
      </c>
      <c r="R1369" s="1" t="s">
        <v>80</v>
      </c>
      <c r="AO1369" s="7">
        <v>32066</v>
      </c>
      <c r="AP1369" s="5">
        <v>8.3</v>
      </c>
      <c r="AQ1369" s="5">
        <v>130</v>
      </c>
      <c r="AR1369" s="5">
        <v>39.5</v>
      </c>
      <c r="AS1369" s="5">
        <v>74.3</v>
      </c>
      <c r="AT1369" s="5">
        <v>16</v>
      </c>
      <c r="AU1369" s="5">
        <v>23</v>
      </c>
      <c r="AV1369" s="5">
        <v>38.9</v>
      </c>
      <c r="AW1369" s="5">
        <v>7.83</v>
      </c>
      <c r="AX1369" s="5">
        <v>81</v>
      </c>
      <c r="AY1369" s="5" t="s">
        <v>125</v>
      </c>
      <c r="AZ1369" s="5" t="s">
        <v>75</v>
      </c>
      <c r="BA1369" s="5" t="s">
        <v>76</v>
      </c>
      <c r="BB1369" s="12" t="s">
        <v>76</v>
      </c>
      <c r="BC1369" s="5">
        <v>4.95</v>
      </c>
      <c r="BD1369" s="5">
        <v>130</v>
      </c>
      <c r="BE1369" s="5" t="s">
        <v>76</v>
      </c>
      <c r="BF1369" s="5" t="s">
        <v>76</v>
      </c>
      <c r="BG1369" s="15">
        <v>36.8</v>
      </c>
      <c r="BH1369" s="5">
        <v>98</v>
      </c>
      <c r="BI1369" s="5">
        <v>98</v>
      </c>
      <c r="BJ1369" s="5">
        <v>18</v>
      </c>
      <c r="BK1369" s="5">
        <v>191</v>
      </c>
      <c r="BL1369" s="5">
        <v>123</v>
      </c>
      <c r="BM1369" s="5">
        <v>80</v>
      </c>
      <c r="BN1369" s="5">
        <v>170</v>
      </c>
      <c r="BO1369" s="5">
        <f t="shared" si="21"/>
        <v>27.681660899654</v>
      </c>
      <c r="BP1369" s="5" t="s">
        <v>1450</v>
      </c>
      <c r="BQ1369" s="5" t="s">
        <v>76</v>
      </c>
      <c r="BR1369" s="5">
        <v>680</v>
      </c>
    </row>
    <row r="1370" s="1" customFormat="1" spans="1:70">
      <c r="A1370" s="1">
        <v>3252300</v>
      </c>
      <c r="B1370" s="1" t="s">
        <v>2093</v>
      </c>
      <c r="D1370" s="4">
        <v>44906</v>
      </c>
      <c r="E1370" s="4">
        <v>44914</v>
      </c>
      <c r="F1370" s="7">
        <v>32089</v>
      </c>
      <c r="G1370" s="1">
        <v>53</v>
      </c>
      <c r="H1370" s="1">
        <v>9</v>
      </c>
      <c r="I1370" s="1">
        <v>57</v>
      </c>
      <c r="J1370" s="1">
        <v>9</v>
      </c>
      <c r="K1370" s="1">
        <v>30</v>
      </c>
      <c r="L1370" s="1">
        <v>14</v>
      </c>
      <c r="N1370" s="1">
        <v>16.9</v>
      </c>
      <c r="O1370" s="7">
        <v>32089</v>
      </c>
      <c r="P1370" s="4">
        <v>44906</v>
      </c>
      <c r="Q1370" s="4">
        <v>44914</v>
      </c>
      <c r="R1370" s="1" t="s">
        <v>80</v>
      </c>
      <c r="AO1370" s="7">
        <v>32089</v>
      </c>
      <c r="AP1370" s="5">
        <v>8.9</v>
      </c>
      <c r="AQ1370" s="5">
        <v>159</v>
      </c>
      <c r="AR1370" s="5">
        <v>50.6</v>
      </c>
      <c r="AS1370" s="5">
        <v>8.6</v>
      </c>
      <c r="AT1370" s="5">
        <v>49</v>
      </c>
      <c r="AU1370" s="5">
        <v>38</v>
      </c>
      <c r="AV1370" s="5">
        <v>38</v>
      </c>
      <c r="AW1370" s="5">
        <v>5.58</v>
      </c>
      <c r="AX1370" s="5">
        <v>77</v>
      </c>
      <c r="AY1370" s="5">
        <v>106</v>
      </c>
      <c r="AZ1370" s="5" t="s">
        <v>75</v>
      </c>
      <c r="BA1370" s="5" t="s">
        <v>76</v>
      </c>
      <c r="BB1370" s="12" t="s">
        <v>76</v>
      </c>
      <c r="BC1370" s="5">
        <v>4.51</v>
      </c>
      <c r="BD1370" s="5">
        <v>159</v>
      </c>
      <c r="BE1370" s="5" t="s">
        <v>76</v>
      </c>
      <c r="BF1370" s="5" t="s">
        <v>76</v>
      </c>
      <c r="BG1370" s="15">
        <v>36.6</v>
      </c>
      <c r="BH1370" s="5">
        <v>70</v>
      </c>
      <c r="BI1370" s="5" t="s">
        <v>76</v>
      </c>
      <c r="BJ1370" s="5">
        <v>20</v>
      </c>
      <c r="BK1370" s="5">
        <v>150</v>
      </c>
      <c r="BL1370" s="5">
        <v>120</v>
      </c>
      <c r="BM1370" s="5">
        <v>105</v>
      </c>
      <c r="BN1370" s="5">
        <v>178</v>
      </c>
      <c r="BO1370" s="5">
        <f t="shared" si="21"/>
        <v>33.1397550814291</v>
      </c>
      <c r="BP1370" s="5" t="s">
        <v>168</v>
      </c>
      <c r="BQ1370" s="5" t="s">
        <v>76</v>
      </c>
      <c r="BR1370" s="5">
        <v>2762</v>
      </c>
    </row>
    <row r="1371" s="1" customFormat="1" spans="1:70">
      <c r="A1371" s="1">
        <v>3497388</v>
      </c>
      <c r="B1371" s="1" t="s">
        <v>3052</v>
      </c>
      <c r="D1371" s="4">
        <v>45264</v>
      </c>
      <c r="E1371" s="4">
        <v>45268</v>
      </c>
      <c r="F1371" s="7">
        <v>32169</v>
      </c>
      <c r="G1371" s="1">
        <v>30</v>
      </c>
      <c r="H1371" s="1">
        <v>10</v>
      </c>
      <c r="I1371" s="1">
        <v>45</v>
      </c>
      <c r="J1371" s="1">
        <v>9</v>
      </c>
      <c r="K1371" s="1">
        <v>71</v>
      </c>
      <c r="L1371" s="1">
        <v>41</v>
      </c>
      <c r="M1371" s="1">
        <v>0.97</v>
      </c>
      <c r="N1371" s="10">
        <v>8</v>
      </c>
      <c r="O1371" s="7">
        <v>32169</v>
      </c>
      <c r="P1371" s="4">
        <v>45264</v>
      </c>
      <c r="Q1371" s="4">
        <v>45268</v>
      </c>
      <c r="R1371" s="1" t="s">
        <v>80</v>
      </c>
      <c r="AO1371" s="7">
        <v>32169</v>
      </c>
      <c r="AP1371" s="5">
        <v>5.7</v>
      </c>
      <c r="AQ1371" s="5">
        <v>113</v>
      </c>
      <c r="AR1371" s="5">
        <v>35.9</v>
      </c>
      <c r="AS1371" s="5">
        <v>1.5</v>
      </c>
      <c r="AT1371" s="5">
        <v>17</v>
      </c>
      <c r="AU1371" s="5">
        <v>17</v>
      </c>
      <c r="AV1371" s="5" t="s">
        <v>303</v>
      </c>
      <c r="AW1371" s="5">
        <v>9.72</v>
      </c>
      <c r="AX1371" s="5">
        <v>280</v>
      </c>
      <c r="AY1371" s="5">
        <v>23.9</v>
      </c>
      <c r="AZ1371" s="5" t="s">
        <v>75</v>
      </c>
      <c r="BA1371" s="5">
        <v>4.41</v>
      </c>
      <c r="BB1371" s="12" t="s">
        <v>76</v>
      </c>
      <c r="BC1371" s="5">
        <v>3.99</v>
      </c>
      <c r="BD1371" s="5">
        <v>113</v>
      </c>
      <c r="BE1371" s="5">
        <v>0.78</v>
      </c>
      <c r="BF1371" s="5">
        <v>2.29</v>
      </c>
      <c r="BG1371" s="15">
        <v>36.7</v>
      </c>
      <c r="BH1371" s="5">
        <v>98</v>
      </c>
      <c r="BI1371" s="5">
        <v>98</v>
      </c>
      <c r="BJ1371" s="5">
        <v>14</v>
      </c>
      <c r="BK1371" s="5">
        <v>129</v>
      </c>
      <c r="BL1371" s="5">
        <v>94</v>
      </c>
      <c r="BM1371" s="5">
        <v>60</v>
      </c>
      <c r="BN1371" s="5">
        <v>170</v>
      </c>
      <c r="BO1371" s="5">
        <f t="shared" si="21"/>
        <v>20.7612456747405</v>
      </c>
      <c r="BP1371" s="5" t="s">
        <v>415</v>
      </c>
      <c r="BQ1371" s="5" t="s">
        <v>76</v>
      </c>
      <c r="BR1371" s="5">
        <v>800</v>
      </c>
    </row>
    <row r="1372" s="1" customFormat="1" spans="1:70">
      <c r="A1372" s="1" t="s">
        <v>3053</v>
      </c>
      <c r="B1372" s="1" t="s">
        <v>3054</v>
      </c>
      <c r="D1372" s="4">
        <v>44894</v>
      </c>
      <c r="E1372" s="4">
        <v>44911</v>
      </c>
      <c r="F1372" s="7">
        <v>32246</v>
      </c>
      <c r="G1372" s="1">
        <v>45</v>
      </c>
      <c r="H1372" s="1">
        <v>10</v>
      </c>
      <c r="I1372" s="1">
        <v>56</v>
      </c>
      <c r="J1372" s="1">
        <v>10</v>
      </c>
      <c r="K1372" s="1">
        <v>44</v>
      </c>
      <c r="L1372" s="1">
        <v>22</v>
      </c>
      <c r="O1372" s="7">
        <v>32246</v>
      </c>
      <c r="P1372" s="4">
        <v>44894</v>
      </c>
      <c r="Q1372" s="4">
        <v>44911</v>
      </c>
      <c r="R1372" s="1" t="s">
        <v>73</v>
      </c>
      <c r="AO1372" s="7">
        <v>32246</v>
      </c>
      <c r="AP1372" s="5" t="s">
        <v>807</v>
      </c>
      <c r="AQ1372" s="5" t="s">
        <v>205</v>
      </c>
      <c r="AR1372" s="5" t="s">
        <v>3055</v>
      </c>
      <c r="AS1372" s="5" t="s">
        <v>3056</v>
      </c>
      <c r="AT1372" s="5" t="s">
        <v>287</v>
      </c>
      <c r="AU1372" s="5" t="s">
        <v>182</v>
      </c>
      <c r="AV1372" s="5" t="s">
        <v>1206</v>
      </c>
      <c r="AW1372" s="5" t="s">
        <v>3057</v>
      </c>
      <c r="AX1372" s="5" t="s">
        <v>207</v>
      </c>
      <c r="AY1372" s="5" t="s">
        <v>125</v>
      </c>
      <c r="AZ1372" s="5" t="s">
        <v>75</v>
      </c>
      <c r="BA1372" s="5" t="s">
        <v>76</v>
      </c>
      <c r="BB1372" s="12" t="s">
        <v>76</v>
      </c>
      <c r="BC1372" s="5" t="s">
        <v>4</v>
      </c>
      <c r="BD1372" s="5" t="s">
        <v>205</v>
      </c>
      <c r="BE1372" s="5" t="s">
        <v>76</v>
      </c>
      <c r="BF1372" s="5" t="s">
        <v>76</v>
      </c>
      <c r="BG1372" s="15">
        <v>36.5</v>
      </c>
      <c r="BH1372" s="5" t="s">
        <v>425</v>
      </c>
      <c r="BI1372" s="5" t="s">
        <v>425</v>
      </c>
      <c r="BJ1372" s="5" t="s">
        <v>246</v>
      </c>
      <c r="BK1372" s="5" t="s">
        <v>572</v>
      </c>
      <c r="BL1372" s="5" t="s">
        <v>425</v>
      </c>
      <c r="BM1372" s="5" t="s">
        <v>352</v>
      </c>
      <c r="BN1372" s="5">
        <v>168</v>
      </c>
      <c r="BO1372" s="5">
        <f t="shared" si="21"/>
        <v>19.4869614512472</v>
      </c>
      <c r="BP1372" s="5" t="s">
        <v>542</v>
      </c>
      <c r="BQ1372" s="5" t="s">
        <v>76</v>
      </c>
      <c r="BR1372" s="5">
        <v>2086</v>
      </c>
    </row>
    <row r="1373" s="1" customFormat="1" spans="1:70">
      <c r="A1373" s="1">
        <v>3259964</v>
      </c>
      <c r="B1373" s="1" t="s">
        <v>3058</v>
      </c>
      <c r="D1373" s="4">
        <v>44928</v>
      </c>
      <c r="E1373" s="4">
        <v>44935</v>
      </c>
      <c r="F1373" s="7">
        <v>32273</v>
      </c>
      <c r="G1373" s="1">
        <v>41</v>
      </c>
      <c r="H1373" s="1">
        <v>9</v>
      </c>
      <c r="I1373" s="1">
        <v>46</v>
      </c>
      <c r="J1373" s="1">
        <v>9</v>
      </c>
      <c r="K1373" s="1">
        <v>46</v>
      </c>
      <c r="L1373" s="1">
        <v>23</v>
      </c>
      <c r="M1373" s="1">
        <v>1.17</v>
      </c>
      <c r="N1373" s="1">
        <v>7.9</v>
      </c>
      <c r="O1373" s="7">
        <v>32273</v>
      </c>
      <c r="P1373" s="4">
        <v>44928</v>
      </c>
      <c r="Q1373" s="4">
        <v>44935</v>
      </c>
      <c r="R1373" s="1" t="s">
        <v>80</v>
      </c>
      <c r="AO1373" s="7">
        <v>32273</v>
      </c>
      <c r="AP1373" s="5">
        <v>9.2</v>
      </c>
      <c r="AQ1373" s="5">
        <v>160</v>
      </c>
      <c r="AR1373" s="5">
        <v>49.2</v>
      </c>
      <c r="AS1373" s="5">
        <v>23.2</v>
      </c>
      <c r="AT1373" s="5">
        <v>78</v>
      </c>
      <c r="AU1373" s="5">
        <v>80</v>
      </c>
      <c r="AV1373" s="5">
        <v>46.8</v>
      </c>
      <c r="AW1373" s="5">
        <v>6.98</v>
      </c>
      <c r="AX1373" s="5">
        <v>88</v>
      </c>
      <c r="AY1373" s="5">
        <v>97.78</v>
      </c>
      <c r="AZ1373" s="5">
        <v>5.98</v>
      </c>
      <c r="BA1373" s="5">
        <v>5.32</v>
      </c>
      <c r="BB1373" s="12" t="s">
        <v>76</v>
      </c>
      <c r="BC1373" s="5">
        <v>4.75</v>
      </c>
      <c r="BD1373" s="5">
        <v>160</v>
      </c>
      <c r="BE1373" s="5">
        <v>0.96</v>
      </c>
      <c r="BF1373" s="5">
        <v>3.61</v>
      </c>
      <c r="BG1373" s="15">
        <v>36.8</v>
      </c>
      <c r="BH1373" s="5">
        <v>92</v>
      </c>
      <c r="BI1373" s="5">
        <v>92</v>
      </c>
      <c r="BJ1373" s="5">
        <v>19</v>
      </c>
      <c r="BK1373" s="5">
        <v>123</v>
      </c>
      <c r="BL1373" s="5">
        <v>81</v>
      </c>
      <c r="BM1373" s="5">
        <v>105</v>
      </c>
      <c r="BN1373" s="5">
        <v>180</v>
      </c>
      <c r="BO1373" s="5">
        <f t="shared" si="21"/>
        <v>32.4074074074074</v>
      </c>
      <c r="BP1373" s="5" t="s">
        <v>323</v>
      </c>
      <c r="BQ1373" s="5">
        <v>5.9</v>
      </c>
      <c r="BR1373" s="5">
        <v>789</v>
      </c>
    </row>
    <row r="1374" s="1" customFormat="1" spans="1:70">
      <c r="A1374" s="1" t="s">
        <v>3059</v>
      </c>
      <c r="B1374" s="1" t="s">
        <v>3060</v>
      </c>
      <c r="D1374" s="4">
        <v>45007</v>
      </c>
      <c r="E1374" s="4">
        <v>45009</v>
      </c>
      <c r="F1374" s="7">
        <v>32288</v>
      </c>
      <c r="G1374" s="1">
        <v>39</v>
      </c>
      <c r="H1374" s="1">
        <v>10</v>
      </c>
      <c r="I1374" s="1">
        <v>52</v>
      </c>
      <c r="J1374" s="1">
        <v>10</v>
      </c>
      <c r="K1374" s="1">
        <v>62</v>
      </c>
      <c r="L1374" s="1">
        <v>33</v>
      </c>
      <c r="M1374" s="1">
        <v>1.12</v>
      </c>
      <c r="N1374" s="1">
        <v>10.1</v>
      </c>
      <c r="O1374" s="7">
        <v>32288</v>
      </c>
      <c r="P1374" s="4">
        <v>45007</v>
      </c>
      <c r="Q1374" s="4">
        <v>45009</v>
      </c>
      <c r="R1374" s="1" t="s">
        <v>80</v>
      </c>
      <c r="AO1374" s="7">
        <v>32288</v>
      </c>
      <c r="AP1374" s="5" t="s">
        <v>887</v>
      </c>
      <c r="AQ1374" s="5" t="s">
        <v>1578</v>
      </c>
      <c r="AR1374" s="5" t="s">
        <v>1007</v>
      </c>
      <c r="AS1374" s="5" t="s">
        <v>76</v>
      </c>
      <c r="AT1374" s="5" t="s">
        <v>183</v>
      </c>
      <c r="AU1374" s="5" t="s">
        <v>538</v>
      </c>
      <c r="AV1374" s="5" t="s">
        <v>184</v>
      </c>
      <c r="AW1374" s="5" t="s">
        <v>3061</v>
      </c>
      <c r="AX1374" s="5" t="s">
        <v>3062</v>
      </c>
      <c r="AY1374" s="5" t="s">
        <v>76</v>
      </c>
      <c r="AZ1374" s="5" t="s">
        <v>2347</v>
      </c>
      <c r="BA1374" s="5" t="s">
        <v>1884</v>
      </c>
      <c r="BB1374" s="12" t="s">
        <v>76</v>
      </c>
      <c r="BC1374" s="5" t="s">
        <v>292</v>
      </c>
      <c r="BD1374" s="5" t="s">
        <v>1578</v>
      </c>
      <c r="BE1374" s="5" t="s">
        <v>2074</v>
      </c>
      <c r="BF1374" s="5" t="s">
        <v>3063</v>
      </c>
      <c r="BG1374" s="15">
        <v>36.8</v>
      </c>
      <c r="BH1374" s="5" t="s">
        <v>192</v>
      </c>
      <c r="BI1374" s="5" t="s">
        <v>192</v>
      </c>
      <c r="BJ1374" s="5" t="s">
        <v>293</v>
      </c>
      <c r="BK1374" s="5" t="s">
        <v>3064</v>
      </c>
      <c r="BL1374" s="5" t="s">
        <v>481</v>
      </c>
      <c r="BM1374" s="5" t="s">
        <v>140</v>
      </c>
      <c r="BN1374" s="5">
        <v>175</v>
      </c>
      <c r="BO1374" s="5">
        <f t="shared" si="21"/>
        <v>26.1224489795918</v>
      </c>
      <c r="BP1374" s="5" t="s">
        <v>2041</v>
      </c>
      <c r="BQ1374" s="5" t="s">
        <v>76</v>
      </c>
      <c r="BR1374" s="5">
        <v>4594</v>
      </c>
    </row>
    <row r="1375" s="1" customFormat="1" spans="1:70">
      <c r="A1375" s="1">
        <v>3336555</v>
      </c>
      <c r="B1375" s="1" t="s">
        <v>3065</v>
      </c>
      <c r="D1375" s="4">
        <v>45041</v>
      </c>
      <c r="E1375" s="4">
        <v>45045</v>
      </c>
      <c r="F1375" s="7">
        <v>32331</v>
      </c>
      <c r="G1375" s="1">
        <v>44</v>
      </c>
      <c r="H1375" s="1">
        <v>10</v>
      </c>
      <c r="I1375" s="1">
        <v>52</v>
      </c>
      <c r="J1375" s="1">
        <v>10</v>
      </c>
      <c r="K1375" s="1">
        <v>57</v>
      </c>
      <c r="L1375" s="1">
        <v>32</v>
      </c>
      <c r="M1375" s="1">
        <v>2.3</v>
      </c>
      <c r="N1375" s="1">
        <v>11.1</v>
      </c>
      <c r="O1375" s="7">
        <v>32331</v>
      </c>
      <c r="P1375" s="4">
        <v>45041</v>
      </c>
      <c r="Q1375" s="4">
        <v>45045</v>
      </c>
      <c r="R1375" s="1" t="s">
        <v>80</v>
      </c>
      <c r="S1375" s="1">
        <v>34</v>
      </c>
      <c r="T1375" s="1" t="s">
        <v>3066</v>
      </c>
      <c r="Y1375" s="1">
        <v>1</v>
      </c>
      <c r="AO1375" s="7">
        <v>32331</v>
      </c>
      <c r="AP1375" s="5">
        <v>8.2</v>
      </c>
      <c r="AQ1375" s="5">
        <v>158</v>
      </c>
      <c r="AR1375" s="5">
        <v>46</v>
      </c>
      <c r="AS1375" s="5">
        <v>1.4</v>
      </c>
      <c r="AT1375" s="5">
        <v>14</v>
      </c>
      <c r="AU1375" s="5">
        <v>11</v>
      </c>
      <c r="AV1375" s="5">
        <v>42.8</v>
      </c>
      <c r="AW1375" s="5">
        <v>3.79</v>
      </c>
      <c r="AX1375" s="5">
        <v>69</v>
      </c>
      <c r="AY1375" s="5" t="s">
        <v>125</v>
      </c>
      <c r="AZ1375" s="5">
        <v>4.7</v>
      </c>
      <c r="BA1375" s="5">
        <v>4.67</v>
      </c>
      <c r="BB1375" s="12" t="s">
        <v>76</v>
      </c>
      <c r="BC1375" s="5">
        <v>3.84</v>
      </c>
      <c r="BD1375" s="5">
        <v>158</v>
      </c>
      <c r="BE1375" s="5">
        <v>0.86</v>
      </c>
      <c r="BF1375" s="5">
        <v>3.1</v>
      </c>
      <c r="BG1375" s="15">
        <v>36.6</v>
      </c>
      <c r="BH1375" s="5">
        <v>84</v>
      </c>
      <c r="BI1375" s="5">
        <v>98</v>
      </c>
      <c r="BJ1375" s="5">
        <v>18</v>
      </c>
      <c r="BK1375" s="5">
        <v>138</v>
      </c>
      <c r="BL1375" s="5">
        <v>100</v>
      </c>
      <c r="BM1375" s="5">
        <v>110</v>
      </c>
      <c r="BN1375" s="5">
        <v>170</v>
      </c>
      <c r="BO1375" s="5">
        <f t="shared" si="21"/>
        <v>38.0622837370242</v>
      </c>
      <c r="BP1375" s="5" t="s">
        <v>78</v>
      </c>
      <c r="BQ1375" s="5">
        <v>5</v>
      </c>
      <c r="BR1375" s="5">
        <v>339.9</v>
      </c>
    </row>
    <row r="1376" s="1" customFormat="1" spans="1:70">
      <c r="A1376" s="1">
        <v>3283547</v>
      </c>
      <c r="B1376" s="1" t="s">
        <v>3067</v>
      </c>
      <c r="D1376" s="4">
        <v>44967</v>
      </c>
      <c r="E1376" s="4">
        <v>45007</v>
      </c>
      <c r="F1376" s="7">
        <v>32442</v>
      </c>
      <c r="G1376" s="1">
        <v>38</v>
      </c>
      <c r="H1376" s="1">
        <v>9</v>
      </c>
      <c r="I1376" s="1">
        <v>56</v>
      </c>
      <c r="J1376" s="1">
        <v>9</v>
      </c>
      <c r="K1376" s="1">
        <v>50</v>
      </c>
      <c r="L1376" s="1">
        <v>26</v>
      </c>
      <c r="M1376" s="1">
        <v>1.56</v>
      </c>
      <c r="N1376" s="1">
        <v>12</v>
      </c>
      <c r="O1376" s="7">
        <v>32442</v>
      </c>
      <c r="P1376" s="4">
        <v>44967</v>
      </c>
      <c r="Q1376" s="4">
        <v>45007</v>
      </c>
      <c r="R1376" s="1" t="s">
        <v>73</v>
      </c>
      <c r="AO1376" s="7">
        <v>32442</v>
      </c>
      <c r="AP1376" s="5">
        <v>9.8</v>
      </c>
      <c r="AQ1376" s="5">
        <v>97</v>
      </c>
      <c r="AR1376" s="5">
        <v>39.3</v>
      </c>
      <c r="AS1376" s="5">
        <v>9.6</v>
      </c>
      <c r="AT1376" s="5">
        <v>94</v>
      </c>
      <c r="AU1376" s="5">
        <v>96</v>
      </c>
      <c r="AV1376" s="5">
        <v>46.6</v>
      </c>
      <c r="AW1376" s="5">
        <v>7.88</v>
      </c>
      <c r="AX1376" s="5">
        <v>87</v>
      </c>
      <c r="AY1376" s="5">
        <v>99.74</v>
      </c>
      <c r="AZ1376" s="5" t="s">
        <v>75</v>
      </c>
      <c r="BA1376" s="5">
        <v>4.81</v>
      </c>
      <c r="BB1376" s="12" t="s">
        <v>76</v>
      </c>
      <c r="BC1376" s="5">
        <v>5.57</v>
      </c>
      <c r="BD1376" s="5">
        <v>97</v>
      </c>
      <c r="BE1376" s="5" t="s">
        <v>76</v>
      </c>
      <c r="BF1376" s="5" t="s">
        <v>76</v>
      </c>
      <c r="BG1376" s="15">
        <v>36.6</v>
      </c>
      <c r="BH1376" s="5">
        <v>85</v>
      </c>
      <c r="BI1376" s="5">
        <v>85</v>
      </c>
      <c r="BJ1376" s="5">
        <v>18</v>
      </c>
      <c r="BK1376" s="5">
        <v>140</v>
      </c>
      <c r="BL1376" s="5">
        <v>75</v>
      </c>
      <c r="BM1376" s="5">
        <v>60</v>
      </c>
      <c r="BN1376" s="5">
        <v>168</v>
      </c>
      <c r="BO1376" s="5">
        <f t="shared" si="21"/>
        <v>21.2585034013605</v>
      </c>
      <c r="BP1376" s="5" t="s">
        <v>1450</v>
      </c>
      <c r="BQ1376" s="5">
        <v>17.3</v>
      </c>
      <c r="BR1376" s="5">
        <v>9899</v>
      </c>
    </row>
    <row r="1377" s="1" customFormat="1" spans="1:70">
      <c r="A1377" s="1" t="s">
        <v>3068</v>
      </c>
      <c r="B1377" s="1" t="s">
        <v>3069</v>
      </c>
      <c r="D1377" s="4">
        <v>45285</v>
      </c>
      <c r="E1377" s="4">
        <v>45289</v>
      </c>
      <c r="F1377" s="7">
        <v>32513</v>
      </c>
      <c r="G1377" s="1">
        <v>38</v>
      </c>
      <c r="H1377" s="1">
        <v>9</v>
      </c>
      <c r="I1377" s="1">
        <v>50</v>
      </c>
      <c r="J1377" s="1">
        <v>9</v>
      </c>
      <c r="K1377" s="1">
        <v>58</v>
      </c>
      <c r="L1377" s="1">
        <v>31</v>
      </c>
      <c r="M1377" s="1">
        <v>0.71</v>
      </c>
      <c r="N1377" s="1">
        <v>10.1</v>
      </c>
      <c r="O1377" s="7">
        <v>32513</v>
      </c>
      <c r="P1377" s="4">
        <v>45285</v>
      </c>
      <c r="Q1377" s="4">
        <v>45289</v>
      </c>
      <c r="R1377" s="1" t="s">
        <v>73</v>
      </c>
      <c r="S1377" s="1">
        <v>34</v>
      </c>
      <c r="T1377" s="1" t="s">
        <v>3070</v>
      </c>
      <c r="V1377" s="1" t="s">
        <v>155</v>
      </c>
      <c r="AA1377" s="1" t="s">
        <v>155</v>
      </c>
      <c r="AG1377" s="1">
        <v>1</v>
      </c>
      <c r="AH1377" s="1">
        <v>1</v>
      </c>
      <c r="AI1377" s="1">
        <v>1</v>
      </c>
      <c r="AK1377" s="1">
        <v>1</v>
      </c>
      <c r="AN1377" s="1">
        <v>1</v>
      </c>
      <c r="AO1377" s="7">
        <v>32513</v>
      </c>
      <c r="AP1377" s="5" t="s">
        <v>237</v>
      </c>
      <c r="AQ1377" s="5" t="s">
        <v>140</v>
      </c>
      <c r="AR1377" s="5" t="s">
        <v>1008</v>
      </c>
      <c r="AS1377" s="5" t="s">
        <v>76</v>
      </c>
      <c r="AT1377" s="5" t="s">
        <v>246</v>
      </c>
      <c r="AU1377" s="5" t="s">
        <v>525</v>
      </c>
      <c r="AV1377" s="5" t="s">
        <v>1007</v>
      </c>
      <c r="AW1377" s="5" t="s">
        <v>3071</v>
      </c>
      <c r="AX1377" s="5" t="s">
        <v>696</v>
      </c>
      <c r="AY1377" s="5" t="s">
        <v>3072</v>
      </c>
      <c r="AZ1377" s="5" t="s">
        <v>75</v>
      </c>
      <c r="BA1377" s="5" t="s">
        <v>3033</v>
      </c>
      <c r="BB1377" s="12" t="s">
        <v>76</v>
      </c>
      <c r="BC1377" s="5" t="s">
        <v>1770</v>
      </c>
      <c r="BD1377" s="5" t="s">
        <v>140</v>
      </c>
      <c r="BE1377" s="5" t="s">
        <v>2074</v>
      </c>
      <c r="BF1377" s="5" t="s">
        <v>3073</v>
      </c>
      <c r="BG1377" s="15">
        <v>36.5</v>
      </c>
      <c r="BH1377" s="5" t="s">
        <v>100</v>
      </c>
      <c r="BI1377" s="5" t="s">
        <v>100</v>
      </c>
      <c r="BJ1377" s="5" t="s">
        <v>193</v>
      </c>
      <c r="BK1377" s="5" t="s">
        <v>709</v>
      </c>
      <c r="BL1377" s="5" t="s">
        <v>222</v>
      </c>
      <c r="BM1377" s="5" t="s">
        <v>336</v>
      </c>
      <c r="BN1377" s="5">
        <v>167</v>
      </c>
      <c r="BO1377" s="5">
        <f t="shared" si="21"/>
        <v>26.8923231381548</v>
      </c>
      <c r="BP1377" s="5" t="s">
        <v>501</v>
      </c>
      <c r="BQ1377" s="5" t="s">
        <v>1165</v>
      </c>
      <c r="BR1377" s="5">
        <v>2855</v>
      </c>
    </row>
    <row r="1378" s="1" customFormat="1" spans="1:70">
      <c r="A1378" s="1">
        <v>3305299</v>
      </c>
      <c r="B1378" s="1" t="s">
        <v>3074</v>
      </c>
      <c r="D1378" s="4">
        <v>44998</v>
      </c>
      <c r="E1378" s="4">
        <v>45004</v>
      </c>
      <c r="F1378" s="7">
        <v>32568</v>
      </c>
      <c r="G1378" s="1">
        <v>42</v>
      </c>
      <c r="H1378" s="1">
        <v>9</v>
      </c>
      <c r="I1378" s="1">
        <v>61</v>
      </c>
      <c r="J1378" s="1">
        <v>9</v>
      </c>
      <c r="K1378" s="1">
        <v>56</v>
      </c>
      <c r="L1378" s="1">
        <v>30</v>
      </c>
      <c r="M1378" s="1">
        <v>1.27</v>
      </c>
      <c r="N1378" s="1">
        <v>8.8</v>
      </c>
      <c r="O1378" s="7">
        <v>32568</v>
      </c>
      <c r="P1378" s="4">
        <v>44998</v>
      </c>
      <c r="Q1378" s="4">
        <v>45004</v>
      </c>
      <c r="R1378" s="1" t="s">
        <v>80</v>
      </c>
      <c r="AO1378" s="7">
        <v>32568</v>
      </c>
      <c r="AP1378" s="5">
        <v>9.9</v>
      </c>
      <c r="AQ1378" s="5">
        <v>143</v>
      </c>
      <c r="AR1378" s="5">
        <v>43</v>
      </c>
      <c r="AS1378" s="5">
        <v>94.9</v>
      </c>
      <c r="AT1378" s="5">
        <v>96</v>
      </c>
      <c r="AU1378" s="5">
        <v>60</v>
      </c>
      <c r="AV1378" s="5">
        <v>38.8</v>
      </c>
      <c r="AW1378" s="5">
        <v>4.67</v>
      </c>
      <c r="AX1378" s="5">
        <v>73</v>
      </c>
      <c r="AY1378" s="5" t="s">
        <v>125</v>
      </c>
      <c r="AZ1378" s="5" t="s">
        <v>75</v>
      </c>
      <c r="BA1378" s="5">
        <v>5.28</v>
      </c>
      <c r="BB1378" s="12" t="s">
        <v>76</v>
      </c>
      <c r="BC1378" s="5">
        <v>4.11</v>
      </c>
      <c r="BD1378" s="5">
        <v>143</v>
      </c>
      <c r="BE1378" s="5">
        <v>0.78</v>
      </c>
      <c r="BF1378" s="5">
        <v>3.94</v>
      </c>
      <c r="BG1378" s="15">
        <v>36.3</v>
      </c>
      <c r="BH1378" s="5">
        <v>84</v>
      </c>
      <c r="BI1378" s="5">
        <v>84</v>
      </c>
      <c r="BJ1378" s="5">
        <v>18</v>
      </c>
      <c r="BK1378" s="5">
        <v>100</v>
      </c>
      <c r="BL1378" s="5">
        <v>53</v>
      </c>
      <c r="BM1378" s="5">
        <v>95</v>
      </c>
      <c r="BN1378" s="5">
        <v>172</v>
      </c>
      <c r="BO1378" s="5">
        <f t="shared" si="21"/>
        <v>32.1119524067063</v>
      </c>
      <c r="BP1378" s="5" t="s">
        <v>323</v>
      </c>
      <c r="BQ1378" s="5">
        <v>5.7</v>
      </c>
      <c r="BR1378" s="5">
        <v>996</v>
      </c>
    </row>
    <row r="1379" s="1" customFormat="1" spans="1:70">
      <c r="A1379" s="1">
        <v>3274683</v>
      </c>
      <c r="B1379" s="1" t="s">
        <v>3075</v>
      </c>
      <c r="D1379" s="4">
        <v>44957</v>
      </c>
      <c r="E1379" s="4">
        <v>44966</v>
      </c>
      <c r="F1379" s="7">
        <v>32598</v>
      </c>
      <c r="G1379" s="1">
        <v>42</v>
      </c>
      <c r="H1379" s="1">
        <v>10</v>
      </c>
      <c r="I1379" s="1">
        <v>52</v>
      </c>
      <c r="J1379" s="1">
        <v>10</v>
      </c>
      <c r="K1379" s="1">
        <v>34</v>
      </c>
      <c r="L1379" s="1">
        <v>16</v>
      </c>
      <c r="M1379" s="1">
        <v>1.35</v>
      </c>
      <c r="N1379" s="1">
        <v>15.5</v>
      </c>
      <c r="O1379" s="7">
        <v>32598</v>
      </c>
      <c r="P1379" s="4">
        <v>44957</v>
      </c>
      <c r="Q1379" s="4">
        <v>44966</v>
      </c>
      <c r="R1379" s="1" t="s">
        <v>80</v>
      </c>
      <c r="AO1379" s="7">
        <v>32598</v>
      </c>
      <c r="AP1379" s="5">
        <v>6.6</v>
      </c>
      <c r="AQ1379" s="5">
        <v>113</v>
      </c>
      <c r="AR1379" s="5">
        <v>34.8</v>
      </c>
      <c r="AS1379" s="5" t="s">
        <v>81</v>
      </c>
      <c r="AT1379" s="5">
        <v>33</v>
      </c>
      <c r="AU1379" s="5">
        <v>26</v>
      </c>
      <c r="AV1379" s="5">
        <v>45.9</v>
      </c>
      <c r="AW1379" s="5">
        <v>7.23</v>
      </c>
      <c r="AX1379" s="5">
        <v>60</v>
      </c>
      <c r="AY1379" s="5" t="s">
        <v>125</v>
      </c>
      <c r="AZ1379" s="5" t="s">
        <v>375</v>
      </c>
      <c r="BA1379" s="5">
        <v>3.41</v>
      </c>
      <c r="BB1379" s="12" t="s">
        <v>76</v>
      </c>
      <c r="BC1379" s="5">
        <v>4.09</v>
      </c>
      <c r="BD1379" s="5">
        <v>113</v>
      </c>
      <c r="BE1379" s="5">
        <v>0.96</v>
      </c>
      <c r="BF1379" s="5">
        <v>1.98</v>
      </c>
      <c r="BG1379" s="15">
        <v>36.5</v>
      </c>
      <c r="BH1379" s="5">
        <v>108</v>
      </c>
      <c r="BI1379" s="5">
        <v>108</v>
      </c>
      <c r="BJ1379" s="5">
        <v>18</v>
      </c>
      <c r="BK1379" s="5">
        <v>145</v>
      </c>
      <c r="BL1379" s="5">
        <v>115</v>
      </c>
      <c r="BM1379" s="5">
        <v>64</v>
      </c>
      <c r="BN1379" s="5">
        <v>169</v>
      </c>
      <c r="BO1379" s="5">
        <f t="shared" si="21"/>
        <v>22.4081789853296</v>
      </c>
      <c r="BP1379" s="5" t="s">
        <v>588</v>
      </c>
      <c r="BQ1379" s="5">
        <v>9</v>
      </c>
      <c r="BR1379" s="5">
        <v>4356</v>
      </c>
    </row>
    <row r="1380" s="1" customFormat="1" spans="1:70">
      <c r="A1380" s="1">
        <v>3327420</v>
      </c>
      <c r="B1380" s="1" t="s">
        <v>3076</v>
      </c>
      <c r="D1380" s="4">
        <v>45028</v>
      </c>
      <c r="E1380" s="4">
        <v>45037</v>
      </c>
      <c r="F1380" s="7">
        <v>32673</v>
      </c>
      <c r="G1380" s="1">
        <v>40</v>
      </c>
      <c r="H1380" s="1">
        <v>10</v>
      </c>
      <c r="I1380" s="1">
        <v>56</v>
      </c>
      <c r="J1380" s="1">
        <v>10</v>
      </c>
      <c r="K1380" s="1">
        <v>57</v>
      </c>
      <c r="L1380" s="1">
        <v>31</v>
      </c>
      <c r="M1380" s="1">
        <v>0.75</v>
      </c>
      <c r="N1380" s="1">
        <v>11.8</v>
      </c>
      <c r="O1380" s="7">
        <v>32673</v>
      </c>
      <c r="P1380" s="4">
        <v>45028</v>
      </c>
      <c r="Q1380" s="4">
        <v>45037</v>
      </c>
      <c r="R1380" s="1" t="s">
        <v>73</v>
      </c>
      <c r="S1380" s="1">
        <v>33</v>
      </c>
      <c r="T1380" s="1" t="s">
        <v>3077</v>
      </c>
      <c r="V1380" s="1" t="s">
        <v>155</v>
      </c>
      <c r="AA1380" s="1" t="s">
        <v>155</v>
      </c>
      <c r="AM1380" s="1">
        <v>1</v>
      </c>
      <c r="AN1380" s="1">
        <v>1</v>
      </c>
      <c r="AO1380" s="7">
        <v>32673</v>
      </c>
      <c r="AP1380" s="5">
        <v>9.1</v>
      </c>
      <c r="AQ1380" s="5">
        <v>79</v>
      </c>
      <c r="AR1380" s="5">
        <v>24.8</v>
      </c>
      <c r="AS1380" s="5" t="s">
        <v>81</v>
      </c>
      <c r="AT1380" s="5">
        <v>10</v>
      </c>
      <c r="AU1380" s="5">
        <v>9</v>
      </c>
      <c r="AV1380" s="5">
        <v>34.6</v>
      </c>
      <c r="AW1380" s="5">
        <v>22.11</v>
      </c>
      <c r="AX1380" s="5">
        <v>354</v>
      </c>
      <c r="AY1380" s="5">
        <v>19.72</v>
      </c>
      <c r="AZ1380" s="5">
        <v>3.47</v>
      </c>
      <c r="BA1380" s="5">
        <v>6.42</v>
      </c>
      <c r="BB1380" s="12" t="s">
        <v>76</v>
      </c>
      <c r="BC1380" s="5">
        <v>5.02</v>
      </c>
      <c r="BD1380" s="5">
        <v>79</v>
      </c>
      <c r="BE1380" s="5">
        <v>1.15</v>
      </c>
      <c r="BF1380" s="5">
        <v>3.87</v>
      </c>
      <c r="BG1380" s="15">
        <v>36.3</v>
      </c>
      <c r="BH1380" s="5">
        <v>98</v>
      </c>
      <c r="BI1380" s="5">
        <v>98</v>
      </c>
      <c r="BJ1380" s="5">
        <v>16</v>
      </c>
      <c r="BK1380" s="5">
        <v>146</v>
      </c>
      <c r="BL1380" s="5">
        <v>113</v>
      </c>
      <c r="BM1380" s="5">
        <v>67</v>
      </c>
      <c r="BN1380" s="5">
        <v>160</v>
      </c>
      <c r="BO1380" s="5">
        <f t="shared" si="21"/>
        <v>26.171875</v>
      </c>
      <c r="BP1380" s="5" t="s">
        <v>415</v>
      </c>
      <c r="BQ1380" s="5" t="s">
        <v>76</v>
      </c>
      <c r="BR1380" s="5" t="s">
        <v>118</v>
      </c>
    </row>
    <row r="1381" s="1" customFormat="1" spans="1:70">
      <c r="A1381" s="1">
        <v>3268688</v>
      </c>
      <c r="B1381" s="1" t="s">
        <v>3078</v>
      </c>
      <c r="D1381" s="4">
        <v>44945</v>
      </c>
      <c r="E1381" s="4">
        <v>44958</v>
      </c>
      <c r="F1381" s="7">
        <v>32709</v>
      </c>
      <c r="G1381" s="1">
        <v>42</v>
      </c>
      <c r="H1381" s="1">
        <v>12</v>
      </c>
      <c r="I1381" s="1">
        <v>60</v>
      </c>
      <c r="J1381" s="1">
        <v>12</v>
      </c>
      <c r="K1381" s="1">
        <v>29</v>
      </c>
      <c r="L1381" s="1">
        <v>14</v>
      </c>
      <c r="M1381" s="1">
        <v>0.74</v>
      </c>
      <c r="N1381" s="10">
        <v>11</v>
      </c>
      <c r="O1381" s="7">
        <v>32709</v>
      </c>
      <c r="P1381" s="4">
        <v>44945</v>
      </c>
      <c r="Q1381" s="4">
        <v>44958</v>
      </c>
      <c r="R1381" s="1" t="s">
        <v>80</v>
      </c>
      <c r="AO1381" s="7">
        <v>32709</v>
      </c>
      <c r="AP1381" s="5">
        <v>8.2</v>
      </c>
      <c r="AQ1381" s="5">
        <v>180</v>
      </c>
      <c r="AR1381" s="5">
        <v>56.3</v>
      </c>
      <c r="AS1381" s="5">
        <v>7.5</v>
      </c>
      <c r="AT1381" s="5">
        <v>22</v>
      </c>
      <c r="AU1381" s="5">
        <v>16</v>
      </c>
      <c r="AV1381" s="5">
        <v>35.8</v>
      </c>
      <c r="AW1381" s="5">
        <v>8.68</v>
      </c>
      <c r="AX1381" s="5">
        <v>203</v>
      </c>
      <c r="AY1381" s="5">
        <v>42.15</v>
      </c>
      <c r="AZ1381" s="5" t="s">
        <v>75</v>
      </c>
      <c r="BA1381" s="5">
        <v>3.81</v>
      </c>
      <c r="BB1381" s="12" t="s">
        <v>76</v>
      </c>
      <c r="BC1381" s="5">
        <v>5.03</v>
      </c>
      <c r="BD1381" s="5">
        <v>180</v>
      </c>
      <c r="BE1381" s="5">
        <v>0.9</v>
      </c>
      <c r="BF1381" s="5">
        <v>2.42</v>
      </c>
      <c r="BG1381" s="15">
        <v>36.6</v>
      </c>
      <c r="BH1381" s="5" t="s">
        <v>76</v>
      </c>
      <c r="BI1381" s="5">
        <v>78</v>
      </c>
      <c r="BJ1381" s="5">
        <v>18</v>
      </c>
      <c r="BK1381" s="5">
        <v>193</v>
      </c>
      <c r="BL1381" s="5">
        <v>134</v>
      </c>
      <c r="BM1381" s="5">
        <v>112</v>
      </c>
      <c r="BN1381" s="5">
        <v>181</v>
      </c>
      <c r="BO1381" s="5">
        <f t="shared" si="21"/>
        <v>34.1869906291017</v>
      </c>
      <c r="BP1381" s="5" t="s">
        <v>78</v>
      </c>
      <c r="BQ1381" s="5">
        <v>5</v>
      </c>
      <c r="BR1381" s="5">
        <v>555</v>
      </c>
    </row>
    <row r="1382" s="1" customFormat="1" spans="1:70">
      <c r="A1382" s="1">
        <v>3325785</v>
      </c>
      <c r="B1382" s="1" t="s">
        <v>3079</v>
      </c>
      <c r="D1382" s="4">
        <v>45026</v>
      </c>
      <c r="E1382" s="4">
        <v>45034</v>
      </c>
      <c r="F1382" s="7">
        <v>32767</v>
      </c>
      <c r="G1382" s="1">
        <v>35</v>
      </c>
      <c r="H1382" s="1">
        <v>10</v>
      </c>
      <c r="I1382" s="1">
        <v>64</v>
      </c>
      <c r="J1382" s="1">
        <v>10</v>
      </c>
      <c r="K1382" s="1">
        <v>33</v>
      </c>
      <c r="L1382" s="1">
        <v>16</v>
      </c>
      <c r="M1382" s="1">
        <v>1.44</v>
      </c>
      <c r="N1382" s="1">
        <v>9.9</v>
      </c>
      <c r="O1382" s="7">
        <v>32767</v>
      </c>
      <c r="P1382" s="4">
        <v>45026</v>
      </c>
      <c r="Q1382" s="4">
        <v>45034</v>
      </c>
      <c r="R1382" s="1" t="s">
        <v>80</v>
      </c>
      <c r="AO1382" s="7">
        <v>32767</v>
      </c>
      <c r="AP1382" s="5">
        <v>9</v>
      </c>
      <c r="AQ1382" s="5">
        <v>185</v>
      </c>
      <c r="AR1382" s="5">
        <v>54.6</v>
      </c>
      <c r="AS1382" s="5">
        <v>2.3</v>
      </c>
      <c r="AT1382" s="5">
        <v>28</v>
      </c>
      <c r="AU1382" s="5">
        <v>45</v>
      </c>
      <c r="AV1382" s="5">
        <v>42.9</v>
      </c>
      <c r="AW1382" s="5">
        <v>8.91</v>
      </c>
      <c r="AX1382" s="5">
        <v>89</v>
      </c>
      <c r="AY1382" s="5">
        <v>90.77</v>
      </c>
      <c r="AZ1382" s="5">
        <v>4.7</v>
      </c>
      <c r="BA1382" s="5">
        <v>4.99</v>
      </c>
      <c r="BB1382" s="12" t="s">
        <v>76</v>
      </c>
      <c r="BC1382" s="5">
        <v>4.84</v>
      </c>
      <c r="BD1382" s="5">
        <v>185</v>
      </c>
      <c r="BE1382" s="5">
        <v>0.82</v>
      </c>
      <c r="BF1382" s="5">
        <v>3.17</v>
      </c>
      <c r="BG1382" s="15">
        <v>36.5</v>
      </c>
      <c r="BH1382" s="5">
        <v>90</v>
      </c>
      <c r="BI1382" s="5">
        <v>90</v>
      </c>
      <c r="BJ1382" s="5">
        <v>18</v>
      </c>
      <c r="BK1382" s="5">
        <v>128</v>
      </c>
      <c r="BL1382" s="5">
        <v>100</v>
      </c>
      <c r="BM1382" s="5">
        <v>76</v>
      </c>
      <c r="BN1382" s="5">
        <v>173</v>
      </c>
      <c r="BO1382" s="5">
        <f t="shared" si="21"/>
        <v>25.3934311203181</v>
      </c>
      <c r="BP1382" s="5" t="s">
        <v>78</v>
      </c>
      <c r="BQ1382" s="5">
        <v>5.1</v>
      </c>
      <c r="BR1382" s="5">
        <v>417</v>
      </c>
    </row>
    <row r="1383" s="1" customFormat="1" spans="1:70">
      <c r="A1383" s="1">
        <v>3297334</v>
      </c>
      <c r="B1383" s="1" t="s">
        <v>3080</v>
      </c>
      <c r="D1383" s="4">
        <v>44987</v>
      </c>
      <c r="E1383" s="4">
        <v>44993</v>
      </c>
      <c r="F1383" s="7">
        <v>32802</v>
      </c>
      <c r="G1383" s="1">
        <v>49</v>
      </c>
      <c r="H1383" s="1">
        <v>14</v>
      </c>
      <c r="I1383" s="1">
        <v>65</v>
      </c>
      <c r="J1383" s="1">
        <v>14</v>
      </c>
      <c r="K1383" s="1">
        <v>34</v>
      </c>
      <c r="L1383" s="1">
        <v>17</v>
      </c>
      <c r="M1383" s="1">
        <v>1.14</v>
      </c>
      <c r="N1383" s="1">
        <v>18.9</v>
      </c>
      <c r="O1383" s="7">
        <v>32802</v>
      </c>
      <c r="P1383" s="4">
        <v>44987</v>
      </c>
      <c r="Q1383" s="4">
        <v>44993</v>
      </c>
      <c r="R1383" s="1" t="s">
        <v>80</v>
      </c>
      <c r="AO1383" s="7">
        <v>32802</v>
      </c>
      <c r="AP1383" s="5">
        <v>8.1</v>
      </c>
      <c r="AQ1383" s="5">
        <v>177</v>
      </c>
      <c r="AR1383" s="5">
        <v>56.5</v>
      </c>
      <c r="AS1383" s="5" t="s">
        <v>81</v>
      </c>
      <c r="AT1383" s="5">
        <v>42</v>
      </c>
      <c r="AU1383" s="5">
        <v>43</v>
      </c>
      <c r="AV1383" s="5">
        <v>38.6</v>
      </c>
      <c r="AW1383" s="5">
        <v>6.15</v>
      </c>
      <c r="AX1383" s="5">
        <v>79</v>
      </c>
      <c r="AY1383" s="5" t="s">
        <v>125</v>
      </c>
      <c r="AZ1383" s="5">
        <v>5.39</v>
      </c>
      <c r="BA1383" s="5">
        <v>3.14</v>
      </c>
      <c r="BB1383" s="12" t="s">
        <v>76</v>
      </c>
      <c r="BC1383" s="5">
        <v>4.61</v>
      </c>
      <c r="BD1383" s="5">
        <v>177</v>
      </c>
      <c r="BE1383" s="5">
        <v>0.69</v>
      </c>
      <c r="BF1383" s="5">
        <v>2.16</v>
      </c>
      <c r="BG1383" s="15">
        <v>36</v>
      </c>
      <c r="BH1383" s="5">
        <v>112</v>
      </c>
      <c r="BI1383" s="5">
        <v>112</v>
      </c>
      <c r="BJ1383" s="5">
        <v>20</v>
      </c>
      <c r="BK1383" s="5">
        <v>154</v>
      </c>
      <c r="BL1383" s="5">
        <v>115</v>
      </c>
      <c r="BM1383" s="5">
        <v>98</v>
      </c>
      <c r="BN1383" s="5">
        <v>180</v>
      </c>
      <c r="BO1383" s="5">
        <f t="shared" si="21"/>
        <v>30.2469135802469</v>
      </c>
      <c r="BP1383" s="5" t="s">
        <v>323</v>
      </c>
      <c r="BQ1383" s="5">
        <v>6</v>
      </c>
      <c r="BR1383" s="5">
        <v>719</v>
      </c>
    </row>
    <row r="1384" s="1" customFormat="1" spans="1:70">
      <c r="A1384" s="1">
        <v>3297245</v>
      </c>
      <c r="B1384" s="1" t="s">
        <v>3049</v>
      </c>
      <c r="C1384" s="1">
        <v>1</v>
      </c>
      <c r="D1384" s="4">
        <v>44986</v>
      </c>
      <c r="E1384" s="4">
        <v>45010</v>
      </c>
      <c r="F1384" s="7">
        <v>32807</v>
      </c>
      <c r="G1384" s="1">
        <v>27</v>
      </c>
      <c r="H1384" s="1">
        <v>9</v>
      </c>
      <c r="I1384" s="1">
        <v>40</v>
      </c>
      <c r="J1384" s="1">
        <v>9</v>
      </c>
      <c r="K1384" s="1">
        <v>56</v>
      </c>
      <c r="L1384" s="1">
        <v>29</v>
      </c>
      <c r="M1384" s="1">
        <v>0.88</v>
      </c>
      <c r="O1384" s="7">
        <v>32807</v>
      </c>
      <c r="P1384" s="4">
        <v>44986</v>
      </c>
      <c r="Q1384" s="4">
        <v>45010</v>
      </c>
      <c r="R1384" s="1" t="s">
        <v>80</v>
      </c>
      <c r="AO1384" s="7">
        <v>32807</v>
      </c>
      <c r="AP1384" s="5">
        <v>9.9</v>
      </c>
      <c r="AQ1384" s="5">
        <v>97</v>
      </c>
      <c r="AR1384" s="5">
        <v>40.6</v>
      </c>
      <c r="AS1384" s="5">
        <v>88.2</v>
      </c>
      <c r="AT1384" s="5">
        <v>83</v>
      </c>
      <c r="AU1384" s="5" t="s">
        <v>171</v>
      </c>
      <c r="AV1384" s="5">
        <v>36.3</v>
      </c>
      <c r="AW1384" s="5">
        <v>9.95</v>
      </c>
      <c r="AX1384" s="5">
        <v>88</v>
      </c>
      <c r="AY1384" s="5" t="s">
        <v>125</v>
      </c>
      <c r="AZ1384" s="5" t="s">
        <v>75</v>
      </c>
      <c r="BA1384" s="5" t="s">
        <v>76</v>
      </c>
      <c r="BB1384" s="12" t="s">
        <v>76</v>
      </c>
      <c r="BC1384" s="5">
        <v>5.78</v>
      </c>
      <c r="BD1384" s="5">
        <v>97</v>
      </c>
      <c r="BE1384" s="5" t="s">
        <v>76</v>
      </c>
      <c r="BF1384" s="5" t="s">
        <v>76</v>
      </c>
      <c r="BG1384" s="15">
        <v>38.9</v>
      </c>
      <c r="BH1384" s="5">
        <v>137</v>
      </c>
      <c r="BI1384" s="5">
        <v>137</v>
      </c>
      <c r="BJ1384" s="5">
        <v>28</v>
      </c>
      <c r="BK1384" s="5">
        <v>140</v>
      </c>
      <c r="BL1384" s="5">
        <v>73</v>
      </c>
      <c r="BM1384" s="5" t="s">
        <v>77</v>
      </c>
      <c r="BN1384" s="5" t="s">
        <v>77</v>
      </c>
      <c r="BO1384" s="5" t="e">
        <f t="shared" si="21"/>
        <v>#VALUE!</v>
      </c>
      <c r="BP1384" s="5" t="s">
        <v>117</v>
      </c>
      <c r="BQ1384" s="5" t="s">
        <v>76</v>
      </c>
      <c r="BR1384" s="5">
        <v>9369</v>
      </c>
    </row>
    <row r="1385" s="1" customFormat="1" spans="1:70">
      <c r="A1385" s="1">
        <v>3246525</v>
      </c>
      <c r="B1385" s="1" t="s">
        <v>3081</v>
      </c>
      <c r="D1385" s="4">
        <v>44894</v>
      </c>
      <c r="E1385" s="4">
        <v>44910</v>
      </c>
      <c r="F1385" s="7">
        <v>32813</v>
      </c>
      <c r="G1385" s="1">
        <v>39</v>
      </c>
      <c r="H1385" s="1">
        <v>9</v>
      </c>
      <c r="I1385" s="1">
        <v>48</v>
      </c>
      <c r="J1385" s="1">
        <v>9</v>
      </c>
      <c r="K1385" s="1">
        <v>58</v>
      </c>
      <c r="L1385" s="1">
        <v>30</v>
      </c>
      <c r="M1385" s="1">
        <v>1.34</v>
      </c>
      <c r="N1385" s="1">
        <v>16.2</v>
      </c>
      <c r="O1385" s="7">
        <v>32813</v>
      </c>
      <c r="P1385" s="4">
        <v>44894</v>
      </c>
      <c r="Q1385" s="4">
        <v>44910</v>
      </c>
      <c r="R1385" s="1" t="s">
        <v>80</v>
      </c>
      <c r="AO1385" s="7">
        <v>32813</v>
      </c>
      <c r="AP1385" s="5">
        <v>9.9</v>
      </c>
      <c r="AQ1385" s="5">
        <v>96</v>
      </c>
      <c r="AR1385" s="5">
        <v>43.7</v>
      </c>
      <c r="AS1385" s="5">
        <v>75.3</v>
      </c>
      <c r="AT1385" s="5">
        <v>54</v>
      </c>
      <c r="AU1385" s="5">
        <v>39</v>
      </c>
      <c r="AV1385" s="5">
        <v>43.9</v>
      </c>
      <c r="AW1385" s="5">
        <v>9</v>
      </c>
      <c r="AX1385" s="5">
        <v>53</v>
      </c>
      <c r="AY1385" s="5" t="s">
        <v>125</v>
      </c>
      <c r="AZ1385" s="5" t="s">
        <v>75</v>
      </c>
      <c r="BA1385" s="5" t="s">
        <v>76</v>
      </c>
      <c r="BB1385" s="12" t="s">
        <v>76</v>
      </c>
      <c r="BC1385" s="5">
        <v>4.31</v>
      </c>
      <c r="BD1385" s="5">
        <v>96</v>
      </c>
      <c r="BE1385" s="5" t="s">
        <v>76</v>
      </c>
      <c r="BF1385" s="5" t="s">
        <v>76</v>
      </c>
      <c r="BG1385" s="15">
        <v>36.4</v>
      </c>
      <c r="BH1385" s="5">
        <v>72</v>
      </c>
      <c r="BI1385" s="5">
        <v>72</v>
      </c>
      <c r="BJ1385" s="5">
        <v>18</v>
      </c>
      <c r="BK1385" s="5">
        <v>116</v>
      </c>
      <c r="BL1385" s="5">
        <v>64</v>
      </c>
      <c r="BM1385" s="5">
        <v>60</v>
      </c>
      <c r="BN1385" s="5">
        <v>167</v>
      </c>
      <c r="BO1385" s="5">
        <f t="shared" si="21"/>
        <v>21.5138585105239</v>
      </c>
      <c r="BP1385" s="5" t="s">
        <v>1450</v>
      </c>
      <c r="BQ1385" s="5" t="s">
        <v>76</v>
      </c>
      <c r="BR1385" s="5">
        <v>878</v>
      </c>
    </row>
    <row r="1386" s="1" customFormat="1" spans="1:70">
      <c r="A1386" s="1">
        <v>3334295</v>
      </c>
      <c r="B1386" s="1" t="s">
        <v>3082</v>
      </c>
      <c r="C1386" s="1">
        <v>1</v>
      </c>
      <c r="D1386" s="4">
        <v>45037</v>
      </c>
      <c r="E1386" s="4">
        <v>45044</v>
      </c>
      <c r="F1386" s="7">
        <v>32892</v>
      </c>
      <c r="G1386" s="1">
        <v>36</v>
      </c>
      <c r="H1386" s="1">
        <v>12</v>
      </c>
      <c r="I1386" s="1">
        <v>51</v>
      </c>
      <c r="J1386" s="1">
        <v>11</v>
      </c>
      <c r="K1386" s="1">
        <v>50</v>
      </c>
      <c r="L1386" s="1">
        <v>25</v>
      </c>
      <c r="M1386" s="1">
        <v>1.13</v>
      </c>
      <c r="N1386" s="1">
        <v>15.8</v>
      </c>
      <c r="O1386" s="7">
        <v>32892</v>
      </c>
      <c r="P1386" s="4">
        <v>45037</v>
      </c>
      <c r="Q1386" s="4">
        <v>45044</v>
      </c>
      <c r="R1386" s="1" t="s">
        <v>73</v>
      </c>
      <c r="AO1386" s="7">
        <v>32892</v>
      </c>
      <c r="AP1386" s="5">
        <v>16</v>
      </c>
      <c r="AQ1386" s="5">
        <v>95</v>
      </c>
      <c r="AR1386" s="5">
        <v>32.6</v>
      </c>
      <c r="AS1386" s="5">
        <v>3.9</v>
      </c>
      <c r="AT1386" s="5">
        <v>47</v>
      </c>
      <c r="AU1386" s="5">
        <v>53</v>
      </c>
      <c r="AV1386" s="5">
        <v>44.6</v>
      </c>
      <c r="AW1386" s="5">
        <v>23.23</v>
      </c>
      <c r="AX1386" s="5">
        <v>319</v>
      </c>
      <c r="AY1386" s="5">
        <v>17.1</v>
      </c>
      <c r="AZ1386" s="5" t="s">
        <v>75</v>
      </c>
      <c r="BA1386" s="5" t="s">
        <v>76</v>
      </c>
      <c r="BB1386" s="12" t="s">
        <v>76</v>
      </c>
      <c r="BC1386" s="5" t="s">
        <v>4</v>
      </c>
      <c r="BD1386" s="5">
        <v>95</v>
      </c>
      <c r="BE1386" s="5" t="s">
        <v>76</v>
      </c>
      <c r="BF1386" s="5" t="s">
        <v>76</v>
      </c>
      <c r="BG1386" s="15">
        <v>36.5</v>
      </c>
      <c r="BH1386" s="5">
        <v>113</v>
      </c>
      <c r="BI1386" s="5">
        <v>113</v>
      </c>
      <c r="BJ1386" s="5">
        <v>113</v>
      </c>
      <c r="BK1386" s="5">
        <v>250</v>
      </c>
      <c r="BL1386" s="5">
        <v>161</v>
      </c>
      <c r="BM1386" s="5">
        <v>80</v>
      </c>
      <c r="BN1386" s="5">
        <v>160</v>
      </c>
      <c r="BO1386" s="5">
        <f t="shared" si="21"/>
        <v>31.25</v>
      </c>
      <c r="BP1386" s="5" t="s">
        <v>415</v>
      </c>
      <c r="BQ1386" s="5">
        <v>4.3</v>
      </c>
      <c r="BR1386" s="5" t="s">
        <v>1155</v>
      </c>
    </row>
    <row r="1387" s="1" customFormat="1" spans="1:70">
      <c r="A1387" s="1">
        <v>3287088</v>
      </c>
      <c r="B1387" s="1" t="s">
        <v>3083</v>
      </c>
      <c r="D1387" s="4">
        <v>44972</v>
      </c>
      <c r="E1387" s="4">
        <v>44980</v>
      </c>
      <c r="F1387" s="7">
        <v>32910</v>
      </c>
      <c r="G1387" s="1">
        <v>32</v>
      </c>
      <c r="H1387" s="1">
        <v>9</v>
      </c>
      <c r="I1387" s="1">
        <v>48</v>
      </c>
      <c r="J1387" s="1">
        <v>9</v>
      </c>
      <c r="K1387" s="1">
        <v>57</v>
      </c>
      <c r="L1387" s="1">
        <v>30</v>
      </c>
      <c r="M1387" s="1">
        <v>1.34</v>
      </c>
      <c r="N1387" s="1">
        <v>10.2</v>
      </c>
      <c r="O1387" s="7">
        <v>32910</v>
      </c>
      <c r="P1387" s="4">
        <v>44972</v>
      </c>
      <c r="Q1387" s="4">
        <v>44980</v>
      </c>
      <c r="R1387" s="1" t="s">
        <v>80</v>
      </c>
      <c r="AO1387" s="7">
        <v>32910</v>
      </c>
      <c r="AP1387" s="5">
        <v>8.5</v>
      </c>
      <c r="AQ1387" s="5">
        <v>112</v>
      </c>
      <c r="AR1387" s="5">
        <v>34.8</v>
      </c>
      <c r="AS1387" s="5">
        <v>13.1</v>
      </c>
      <c r="AT1387" s="5">
        <v>15</v>
      </c>
      <c r="AU1387" s="5">
        <v>36</v>
      </c>
      <c r="AV1387" s="5">
        <v>42.7</v>
      </c>
      <c r="AW1387" s="5">
        <v>19</v>
      </c>
      <c r="AX1387" s="5">
        <v>451</v>
      </c>
      <c r="AY1387" s="5">
        <v>17.75</v>
      </c>
      <c r="AZ1387" s="5">
        <v>6.6</v>
      </c>
      <c r="BA1387" s="5">
        <v>2.68</v>
      </c>
      <c r="BB1387" s="12" t="s">
        <v>76</v>
      </c>
      <c r="BC1387" s="5">
        <v>3.87</v>
      </c>
      <c r="BD1387" s="5">
        <v>112</v>
      </c>
      <c r="BE1387" s="5">
        <v>0.74</v>
      </c>
      <c r="BF1387" s="5">
        <v>1.43</v>
      </c>
      <c r="BG1387" s="15">
        <v>36.5</v>
      </c>
      <c r="BH1387" s="5" t="s">
        <v>76</v>
      </c>
      <c r="BI1387" s="5">
        <v>85</v>
      </c>
      <c r="BJ1387" s="5">
        <v>14</v>
      </c>
      <c r="BK1387" s="5">
        <v>160</v>
      </c>
      <c r="BL1387" s="5">
        <v>116</v>
      </c>
      <c r="BM1387" s="5">
        <v>72</v>
      </c>
      <c r="BN1387" s="5">
        <v>165</v>
      </c>
      <c r="BO1387" s="5">
        <f t="shared" si="21"/>
        <v>26.4462809917355</v>
      </c>
      <c r="BP1387" s="5" t="s">
        <v>156</v>
      </c>
      <c r="BQ1387" s="5">
        <v>4.6</v>
      </c>
      <c r="BR1387" s="5">
        <v>4471</v>
      </c>
    </row>
    <row r="1388" s="1" customFormat="1" spans="1:70">
      <c r="A1388" s="1">
        <v>3264877</v>
      </c>
      <c r="B1388" s="1" t="s">
        <v>3084</v>
      </c>
      <c r="D1388" s="4">
        <v>44936</v>
      </c>
      <c r="E1388" s="4">
        <v>44940</v>
      </c>
      <c r="F1388" s="7">
        <v>32917</v>
      </c>
      <c r="G1388" s="1">
        <v>36</v>
      </c>
      <c r="H1388" s="1">
        <v>10</v>
      </c>
      <c r="I1388" s="1">
        <v>43</v>
      </c>
      <c r="J1388" s="1">
        <v>10</v>
      </c>
      <c r="K1388" s="1">
        <v>60</v>
      </c>
      <c r="L1388" s="1">
        <v>32</v>
      </c>
      <c r="M1388" s="1">
        <v>1.35</v>
      </c>
      <c r="N1388" s="1">
        <v>8.3</v>
      </c>
      <c r="O1388" s="7">
        <v>32917</v>
      </c>
      <c r="P1388" s="4">
        <v>44936</v>
      </c>
      <c r="Q1388" s="4">
        <v>44940</v>
      </c>
      <c r="R1388" s="1" t="s">
        <v>80</v>
      </c>
      <c r="AO1388" s="7">
        <v>32917</v>
      </c>
      <c r="AP1388" s="5">
        <v>6.1</v>
      </c>
      <c r="AQ1388" s="5">
        <v>96</v>
      </c>
      <c r="AR1388" s="5">
        <v>31.8</v>
      </c>
      <c r="AS1388" s="5" t="s">
        <v>81</v>
      </c>
      <c r="AT1388" s="5">
        <v>22</v>
      </c>
      <c r="AU1388" s="5">
        <v>19</v>
      </c>
      <c r="AV1388" s="5">
        <v>32.6</v>
      </c>
      <c r="AW1388" s="5">
        <v>2.6</v>
      </c>
      <c r="AX1388" s="5">
        <v>53</v>
      </c>
      <c r="AY1388" s="5" t="s">
        <v>125</v>
      </c>
      <c r="AZ1388" s="5" t="s">
        <v>75</v>
      </c>
      <c r="BA1388" s="5">
        <v>3.21</v>
      </c>
      <c r="BB1388" s="12" t="s">
        <v>76</v>
      </c>
      <c r="BC1388" s="5">
        <v>3.89</v>
      </c>
      <c r="BD1388" s="5">
        <v>96</v>
      </c>
      <c r="BE1388" s="5">
        <v>0.55</v>
      </c>
      <c r="BF1388" s="5">
        <v>2.52</v>
      </c>
      <c r="BG1388" s="15">
        <v>36.3</v>
      </c>
      <c r="BH1388" s="5">
        <v>109</v>
      </c>
      <c r="BI1388" s="5">
        <v>109</v>
      </c>
      <c r="BJ1388" s="5">
        <v>16</v>
      </c>
      <c r="BK1388" s="5">
        <v>109</v>
      </c>
      <c r="BL1388" s="5">
        <v>63</v>
      </c>
      <c r="BM1388" s="5">
        <v>75</v>
      </c>
      <c r="BN1388" s="5">
        <v>183</v>
      </c>
      <c r="BO1388" s="5">
        <f t="shared" si="21"/>
        <v>22.3954134193317</v>
      </c>
      <c r="BP1388" s="5" t="s">
        <v>323</v>
      </c>
      <c r="BQ1388" s="5">
        <v>5.2</v>
      </c>
      <c r="BR1388" s="5">
        <v>868</v>
      </c>
    </row>
    <row r="1389" s="1" customFormat="1" spans="1:70">
      <c r="A1389" s="1">
        <v>3292147</v>
      </c>
      <c r="B1389" s="1" t="s">
        <v>3044</v>
      </c>
      <c r="D1389" s="4">
        <v>44980</v>
      </c>
      <c r="E1389" s="4">
        <v>44987</v>
      </c>
      <c r="F1389" s="7">
        <v>32934</v>
      </c>
      <c r="G1389" s="1">
        <v>48</v>
      </c>
      <c r="H1389" s="1">
        <v>14</v>
      </c>
      <c r="I1389" s="1">
        <v>62</v>
      </c>
      <c r="J1389" s="1">
        <v>15</v>
      </c>
      <c r="K1389" s="1">
        <v>30</v>
      </c>
      <c r="L1389" s="1">
        <v>14</v>
      </c>
      <c r="M1389" s="1">
        <v>2.48</v>
      </c>
      <c r="N1389" s="1">
        <v>16.4</v>
      </c>
      <c r="O1389" s="7">
        <v>32934</v>
      </c>
      <c r="P1389" s="4">
        <v>44980</v>
      </c>
      <c r="Q1389" s="4">
        <v>44987</v>
      </c>
      <c r="R1389" s="1" t="s">
        <v>80</v>
      </c>
      <c r="AO1389" s="7">
        <v>32934</v>
      </c>
      <c r="AP1389" s="5" t="s">
        <v>76</v>
      </c>
      <c r="AQ1389" s="5" t="s">
        <v>76</v>
      </c>
      <c r="AR1389" s="5" t="s">
        <v>76</v>
      </c>
      <c r="AS1389" s="5" t="s">
        <v>76</v>
      </c>
      <c r="AT1389" s="5">
        <v>22</v>
      </c>
      <c r="AU1389" s="5">
        <v>40</v>
      </c>
      <c r="AV1389" s="5">
        <v>39.9</v>
      </c>
      <c r="AW1389" s="5">
        <v>8.64</v>
      </c>
      <c r="AX1389" s="5">
        <v>170</v>
      </c>
      <c r="AY1389" s="5">
        <v>43.58</v>
      </c>
      <c r="AZ1389" s="5">
        <v>7.25</v>
      </c>
      <c r="BA1389" s="5">
        <v>5.85</v>
      </c>
      <c r="BB1389" s="12" t="s">
        <v>76</v>
      </c>
      <c r="BC1389" s="5">
        <v>3.63</v>
      </c>
      <c r="BD1389" s="5" t="s">
        <v>76</v>
      </c>
      <c r="BE1389" s="5">
        <v>0.73</v>
      </c>
      <c r="BF1389" s="5">
        <v>3.95</v>
      </c>
      <c r="BG1389" s="15">
        <v>36.5</v>
      </c>
      <c r="BH1389" s="5">
        <v>96</v>
      </c>
      <c r="BI1389" s="5">
        <v>96</v>
      </c>
      <c r="BJ1389" s="5">
        <v>17</v>
      </c>
      <c r="BK1389" s="5">
        <v>154</v>
      </c>
      <c r="BL1389" s="5">
        <v>101</v>
      </c>
      <c r="BM1389" s="5">
        <v>65</v>
      </c>
      <c r="BN1389" s="5">
        <v>165</v>
      </c>
      <c r="BO1389" s="5">
        <f t="shared" si="21"/>
        <v>23.8751147842057</v>
      </c>
      <c r="BP1389" s="5" t="s">
        <v>121</v>
      </c>
      <c r="BQ1389" s="5" t="s">
        <v>76</v>
      </c>
      <c r="BR1389" s="5">
        <v>1964</v>
      </c>
    </row>
    <row r="1390" s="1" customFormat="1" spans="1:70">
      <c r="A1390" s="1">
        <v>3308430</v>
      </c>
      <c r="B1390" s="1" t="s">
        <v>3085</v>
      </c>
      <c r="C1390" s="1">
        <v>1</v>
      </c>
      <c r="D1390" s="4">
        <v>45001</v>
      </c>
      <c r="E1390" s="4">
        <v>45012</v>
      </c>
      <c r="F1390" s="7">
        <v>33021</v>
      </c>
      <c r="G1390" s="1">
        <v>44</v>
      </c>
      <c r="H1390" s="1">
        <v>9</v>
      </c>
      <c r="I1390" s="1">
        <v>67</v>
      </c>
      <c r="J1390" s="1">
        <v>9</v>
      </c>
      <c r="K1390" s="1">
        <v>27</v>
      </c>
      <c r="L1390" s="1">
        <v>13</v>
      </c>
      <c r="N1390" s="1">
        <v>10.6</v>
      </c>
      <c r="O1390" s="7">
        <v>33021</v>
      </c>
      <c r="P1390" s="4">
        <v>45001</v>
      </c>
      <c r="Q1390" s="4">
        <v>45012</v>
      </c>
      <c r="R1390" s="1" t="s">
        <v>80</v>
      </c>
      <c r="AO1390" s="7">
        <v>33021</v>
      </c>
      <c r="AP1390" s="5">
        <v>8.5</v>
      </c>
      <c r="AQ1390" s="5">
        <v>166</v>
      </c>
      <c r="AR1390" s="5">
        <v>52.6</v>
      </c>
      <c r="AS1390" s="5">
        <v>11.9</v>
      </c>
      <c r="AT1390" s="5">
        <v>77</v>
      </c>
      <c r="AU1390" s="5">
        <v>87</v>
      </c>
      <c r="AV1390" s="5">
        <v>36.4</v>
      </c>
      <c r="AW1390" s="5">
        <v>7.71</v>
      </c>
      <c r="AX1390" s="5">
        <v>70</v>
      </c>
      <c r="AY1390" s="5" t="s">
        <v>125</v>
      </c>
      <c r="AZ1390" s="5" t="s">
        <v>75</v>
      </c>
      <c r="BA1390" s="5">
        <v>3.37</v>
      </c>
      <c r="BB1390" s="12" t="s">
        <v>76</v>
      </c>
      <c r="BC1390" s="5">
        <v>4.25</v>
      </c>
      <c r="BD1390" s="5">
        <v>166</v>
      </c>
      <c r="BE1390" s="5" t="s">
        <v>76</v>
      </c>
      <c r="BF1390" s="5" t="s">
        <v>76</v>
      </c>
      <c r="BG1390" s="15">
        <v>36.5</v>
      </c>
      <c r="BH1390" s="5">
        <v>87</v>
      </c>
      <c r="BI1390" s="5">
        <v>87</v>
      </c>
      <c r="BJ1390" s="5">
        <v>16</v>
      </c>
      <c r="BK1390" s="5">
        <v>110</v>
      </c>
      <c r="BL1390" s="5">
        <v>78</v>
      </c>
      <c r="BM1390" s="5">
        <v>68</v>
      </c>
      <c r="BN1390" s="5">
        <v>175</v>
      </c>
      <c r="BO1390" s="5">
        <f t="shared" si="21"/>
        <v>22.2040816326531</v>
      </c>
      <c r="BP1390" s="5" t="s">
        <v>107</v>
      </c>
      <c r="BQ1390" s="5">
        <v>6.4</v>
      </c>
      <c r="BR1390" s="5">
        <v>4891</v>
      </c>
    </row>
    <row r="1391" s="1" customFormat="1" spans="1:70">
      <c r="A1391" s="1" t="s">
        <v>3086</v>
      </c>
      <c r="B1391" s="1" t="s">
        <v>3087</v>
      </c>
      <c r="C1391" s="1">
        <v>1</v>
      </c>
      <c r="D1391" s="4">
        <v>44902</v>
      </c>
      <c r="E1391" s="4">
        <v>44956</v>
      </c>
      <c r="F1391" s="7">
        <v>33039</v>
      </c>
      <c r="G1391" s="1">
        <v>30</v>
      </c>
      <c r="H1391" s="1">
        <v>9</v>
      </c>
      <c r="I1391" s="1">
        <v>37</v>
      </c>
      <c r="J1391" s="1">
        <v>9</v>
      </c>
      <c r="K1391" s="1">
        <v>39</v>
      </c>
      <c r="L1391" s="1">
        <v>18</v>
      </c>
      <c r="M1391" s="1">
        <v>1.36</v>
      </c>
      <c r="N1391" s="10">
        <v>7</v>
      </c>
      <c r="O1391" s="7">
        <v>33039</v>
      </c>
      <c r="P1391" s="4">
        <v>44902</v>
      </c>
      <c r="Q1391" s="4">
        <v>44956</v>
      </c>
      <c r="R1391" s="1" t="s">
        <v>80</v>
      </c>
      <c r="AO1391" s="7">
        <v>33039</v>
      </c>
      <c r="AP1391" s="5" t="s">
        <v>591</v>
      </c>
      <c r="AQ1391" s="5" t="s">
        <v>243</v>
      </c>
      <c r="AR1391" s="5" t="s">
        <v>423</v>
      </c>
      <c r="AS1391" s="5" t="s">
        <v>3088</v>
      </c>
      <c r="AT1391" s="5" t="s">
        <v>93</v>
      </c>
      <c r="AU1391" s="5" t="s">
        <v>93</v>
      </c>
      <c r="AV1391" s="5" t="s">
        <v>489</v>
      </c>
      <c r="AW1391" s="5" t="s">
        <v>1175</v>
      </c>
      <c r="AX1391" s="5" t="s">
        <v>760</v>
      </c>
      <c r="AY1391" s="5" t="s">
        <v>125</v>
      </c>
      <c r="AZ1391" s="5" t="s">
        <v>75</v>
      </c>
      <c r="BA1391" s="5" t="s">
        <v>76</v>
      </c>
      <c r="BB1391" s="12" t="s">
        <v>76</v>
      </c>
      <c r="BC1391" s="5" t="s">
        <v>1087</v>
      </c>
      <c r="BD1391" s="5" t="s">
        <v>243</v>
      </c>
      <c r="BE1391" s="5" t="s">
        <v>76</v>
      </c>
      <c r="BF1391" s="5" t="s">
        <v>76</v>
      </c>
      <c r="BG1391" s="15">
        <v>37.4</v>
      </c>
      <c r="BH1391" s="5" t="s">
        <v>419</v>
      </c>
      <c r="BI1391" s="5" t="s">
        <v>419</v>
      </c>
      <c r="BJ1391" s="5" t="s">
        <v>769</v>
      </c>
      <c r="BK1391" s="5" t="s">
        <v>825</v>
      </c>
      <c r="BL1391" s="5" t="s">
        <v>215</v>
      </c>
      <c r="BM1391" s="5" t="s">
        <v>204</v>
      </c>
      <c r="BN1391" s="5">
        <v>175</v>
      </c>
      <c r="BO1391" s="5">
        <f t="shared" si="21"/>
        <v>18.6122448979592</v>
      </c>
      <c r="BP1391" s="5" t="s">
        <v>542</v>
      </c>
      <c r="BQ1391" s="5" t="s">
        <v>76</v>
      </c>
      <c r="BR1391" s="5">
        <v>9450</v>
      </c>
    </row>
    <row r="1392" s="1" customFormat="1" spans="1:70">
      <c r="A1392" s="1">
        <v>3499868</v>
      </c>
      <c r="B1392" s="1" t="s">
        <v>3089</v>
      </c>
      <c r="D1392" s="4">
        <v>45266</v>
      </c>
      <c r="E1392" s="4">
        <v>45268</v>
      </c>
      <c r="F1392" s="7">
        <v>33054</v>
      </c>
      <c r="G1392" s="1">
        <v>40</v>
      </c>
      <c r="H1392" s="1">
        <v>10</v>
      </c>
      <c r="I1392" s="1">
        <v>55</v>
      </c>
      <c r="J1392" s="1">
        <v>10</v>
      </c>
      <c r="K1392" s="1">
        <v>57</v>
      </c>
      <c r="L1392" s="1">
        <v>30</v>
      </c>
      <c r="M1392" s="1">
        <v>1.34</v>
      </c>
      <c r="N1392" s="1">
        <v>9.4</v>
      </c>
      <c r="O1392" s="7">
        <v>33054</v>
      </c>
      <c r="P1392" s="4">
        <v>45266</v>
      </c>
      <c r="Q1392" s="4">
        <v>45268</v>
      </c>
      <c r="R1392" s="1" t="s">
        <v>73</v>
      </c>
      <c r="AO1392" s="7">
        <v>33054</v>
      </c>
      <c r="AP1392" s="5">
        <v>9.2</v>
      </c>
      <c r="AQ1392" s="5">
        <v>120</v>
      </c>
      <c r="AR1392" s="5">
        <v>35.9</v>
      </c>
      <c r="AS1392" s="5" t="s">
        <v>81</v>
      </c>
      <c r="AT1392" s="5">
        <v>21</v>
      </c>
      <c r="AU1392" s="5">
        <v>27</v>
      </c>
      <c r="AV1392" s="5">
        <v>42.7</v>
      </c>
      <c r="AW1392" s="5">
        <v>4.01</v>
      </c>
      <c r="AX1392" s="5">
        <v>49</v>
      </c>
      <c r="AY1392" s="5" t="s">
        <v>125</v>
      </c>
      <c r="AZ1392" s="5" t="s">
        <v>75</v>
      </c>
      <c r="BA1392" s="5" t="s">
        <v>76</v>
      </c>
      <c r="BB1392" s="12" t="s">
        <v>76</v>
      </c>
      <c r="BC1392" s="5">
        <v>3.99</v>
      </c>
      <c r="BD1392" s="5">
        <v>120</v>
      </c>
      <c r="BE1392" s="5" t="s">
        <v>76</v>
      </c>
      <c r="BF1392" s="5" t="s">
        <v>76</v>
      </c>
      <c r="BG1392" s="15">
        <v>36.3</v>
      </c>
      <c r="BH1392" s="5">
        <v>40</v>
      </c>
      <c r="BI1392" s="5">
        <v>40</v>
      </c>
      <c r="BJ1392" s="5">
        <v>18</v>
      </c>
      <c r="BK1392" s="5">
        <v>120</v>
      </c>
      <c r="BL1392" s="5">
        <v>65</v>
      </c>
      <c r="BM1392" s="5">
        <v>98</v>
      </c>
      <c r="BN1392" s="5">
        <v>165</v>
      </c>
      <c r="BO1392" s="5">
        <f t="shared" si="21"/>
        <v>35.9963269054178</v>
      </c>
      <c r="BP1392" s="5" t="s">
        <v>78</v>
      </c>
      <c r="BQ1392" s="5">
        <v>5.2</v>
      </c>
      <c r="BR1392" s="5">
        <v>475</v>
      </c>
    </row>
    <row r="1393" s="1" customFormat="1" spans="1:70">
      <c r="A1393" s="1">
        <v>3261189</v>
      </c>
      <c r="B1393" s="1" t="s">
        <v>3090</v>
      </c>
      <c r="D1393" s="4">
        <v>44930</v>
      </c>
      <c r="E1393" s="4">
        <v>44986</v>
      </c>
      <c r="F1393" s="7">
        <v>33110</v>
      </c>
      <c r="G1393" s="1">
        <v>46</v>
      </c>
      <c r="H1393" s="1">
        <v>14</v>
      </c>
      <c r="I1393" s="1">
        <v>65</v>
      </c>
      <c r="J1393" s="1">
        <v>14</v>
      </c>
      <c r="K1393" s="1">
        <v>52</v>
      </c>
      <c r="L1393" s="1">
        <v>27</v>
      </c>
      <c r="M1393" s="1">
        <v>1.48</v>
      </c>
      <c r="N1393" s="1">
        <v>8.8</v>
      </c>
      <c r="O1393" s="7">
        <v>33110</v>
      </c>
      <c r="P1393" s="4">
        <v>44930</v>
      </c>
      <c r="Q1393" s="4">
        <v>44986</v>
      </c>
      <c r="R1393" s="1" t="s">
        <v>80</v>
      </c>
      <c r="AO1393" s="7">
        <v>33110</v>
      </c>
      <c r="AP1393" s="5">
        <v>9.7</v>
      </c>
      <c r="AQ1393" s="5">
        <v>98</v>
      </c>
      <c r="AR1393" s="5">
        <v>44.93</v>
      </c>
      <c r="AS1393" s="5">
        <v>95.4</v>
      </c>
      <c r="AT1393" s="5">
        <v>72</v>
      </c>
      <c r="AU1393" s="5">
        <v>91</v>
      </c>
      <c r="AV1393" s="5">
        <v>41.5</v>
      </c>
      <c r="AW1393" s="5">
        <v>9.93</v>
      </c>
      <c r="AX1393" s="5">
        <v>69</v>
      </c>
      <c r="AY1393" s="5" t="s">
        <v>125</v>
      </c>
      <c r="AZ1393" s="5" t="s">
        <v>75</v>
      </c>
      <c r="BA1393" s="5" t="s">
        <v>76</v>
      </c>
      <c r="BB1393" s="12" t="s">
        <v>76</v>
      </c>
      <c r="BC1393" s="5">
        <v>4.76</v>
      </c>
      <c r="BD1393" s="5">
        <v>98</v>
      </c>
      <c r="BE1393" s="5" t="s">
        <v>76</v>
      </c>
      <c r="BF1393" s="5" t="s">
        <v>76</v>
      </c>
      <c r="BG1393" s="15">
        <v>36.5</v>
      </c>
      <c r="BH1393" s="5" t="s">
        <v>76</v>
      </c>
      <c r="BI1393" s="5">
        <v>117</v>
      </c>
      <c r="BJ1393" s="5">
        <v>20</v>
      </c>
      <c r="BK1393" s="5">
        <v>212</v>
      </c>
      <c r="BL1393" s="5">
        <v>135</v>
      </c>
      <c r="BM1393" s="5">
        <v>77</v>
      </c>
      <c r="BN1393" s="5">
        <v>180</v>
      </c>
      <c r="BO1393" s="5">
        <f t="shared" si="21"/>
        <v>23.7654320987654</v>
      </c>
      <c r="BP1393" s="5" t="s">
        <v>113</v>
      </c>
      <c r="BQ1393" s="5" t="s">
        <v>76</v>
      </c>
      <c r="BR1393" s="5">
        <v>980</v>
      </c>
    </row>
    <row r="1394" s="1" customFormat="1" spans="1:70">
      <c r="A1394" s="1">
        <v>3278471</v>
      </c>
      <c r="B1394" s="1" t="s">
        <v>3091</v>
      </c>
      <c r="D1394" s="4">
        <v>44961</v>
      </c>
      <c r="E1394" s="4">
        <v>44978</v>
      </c>
      <c r="F1394" s="7">
        <v>33207</v>
      </c>
      <c r="G1394" s="1">
        <v>35</v>
      </c>
      <c r="H1394" s="1">
        <v>9</v>
      </c>
      <c r="I1394" s="1">
        <v>49</v>
      </c>
      <c r="J1394" s="1">
        <v>9</v>
      </c>
      <c r="K1394" s="1">
        <v>57</v>
      </c>
      <c r="L1394" s="1">
        <v>30</v>
      </c>
      <c r="M1394" s="1">
        <v>1.26</v>
      </c>
      <c r="N1394" s="1">
        <v>17.8</v>
      </c>
      <c r="O1394" s="7">
        <v>33207</v>
      </c>
      <c r="P1394" s="4">
        <v>44961</v>
      </c>
      <c r="Q1394" s="4">
        <v>44978</v>
      </c>
      <c r="R1394" s="1" t="s">
        <v>80</v>
      </c>
      <c r="AO1394" s="7">
        <v>33207</v>
      </c>
      <c r="AP1394" s="5">
        <v>9.9</v>
      </c>
      <c r="AQ1394" s="5">
        <v>144</v>
      </c>
      <c r="AR1394" s="5">
        <v>44.2</v>
      </c>
      <c r="AS1394" s="5">
        <v>55.5</v>
      </c>
      <c r="AT1394" s="5">
        <v>63</v>
      </c>
      <c r="AU1394" s="5">
        <v>48</v>
      </c>
      <c r="AV1394" s="5">
        <v>44.9</v>
      </c>
      <c r="AW1394" s="5">
        <v>8.74</v>
      </c>
      <c r="AX1394" s="5">
        <v>58</v>
      </c>
      <c r="AY1394" s="5" t="s">
        <v>125</v>
      </c>
      <c r="AZ1394" s="5" t="s">
        <v>75</v>
      </c>
      <c r="BA1394" s="5">
        <v>2.51</v>
      </c>
      <c r="BB1394" s="12" t="s">
        <v>76</v>
      </c>
      <c r="BC1394" s="5">
        <v>4.85</v>
      </c>
      <c r="BD1394" s="5">
        <v>144</v>
      </c>
      <c r="BE1394" s="5">
        <v>0.62</v>
      </c>
      <c r="BF1394" s="5">
        <v>1.73</v>
      </c>
      <c r="BG1394" s="15">
        <v>36.3</v>
      </c>
      <c r="BH1394" s="5">
        <v>102</v>
      </c>
      <c r="BI1394" s="5">
        <v>102</v>
      </c>
      <c r="BJ1394" s="5">
        <v>18</v>
      </c>
      <c r="BK1394" s="5">
        <v>125</v>
      </c>
      <c r="BL1394" s="5">
        <v>70</v>
      </c>
      <c r="BM1394" s="5">
        <v>52</v>
      </c>
      <c r="BN1394" s="5">
        <v>168</v>
      </c>
      <c r="BO1394" s="5">
        <f t="shared" si="21"/>
        <v>18.4240362811791</v>
      </c>
      <c r="BP1394" s="5" t="s">
        <v>1450</v>
      </c>
      <c r="BQ1394" s="5" t="s">
        <v>76</v>
      </c>
      <c r="BR1394" s="5">
        <v>989</v>
      </c>
    </row>
    <row r="1395" s="1" customFormat="1" spans="1:70">
      <c r="A1395" s="1">
        <v>3247791</v>
      </c>
      <c r="B1395" s="1" t="s">
        <v>3092</v>
      </c>
      <c r="D1395" s="4">
        <v>44896</v>
      </c>
      <c r="E1395" s="4">
        <v>44911</v>
      </c>
      <c r="F1395" s="7">
        <v>33212</v>
      </c>
      <c r="G1395" s="1">
        <v>35</v>
      </c>
      <c r="H1395" s="1">
        <v>7</v>
      </c>
      <c r="I1395" s="1">
        <v>44</v>
      </c>
      <c r="J1395" s="1">
        <v>7</v>
      </c>
      <c r="K1395" s="1">
        <v>70</v>
      </c>
      <c r="L1395" s="1">
        <v>39</v>
      </c>
      <c r="M1395" s="1">
        <v>1.95</v>
      </c>
      <c r="N1395" s="1">
        <v>7.4</v>
      </c>
      <c r="O1395" s="7">
        <v>33212</v>
      </c>
      <c r="P1395" s="4">
        <v>44896</v>
      </c>
      <c r="Q1395" s="4">
        <v>44911</v>
      </c>
      <c r="R1395" s="1" t="s">
        <v>80</v>
      </c>
      <c r="AO1395" s="7">
        <v>33212</v>
      </c>
      <c r="AP1395" s="5">
        <v>8.7</v>
      </c>
      <c r="AQ1395" s="5">
        <v>143</v>
      </c>
      <c r="AR1395" s="5">
        <v>43.9</v>
      </c>
      <c r="AS1395" s="5">
        <v>58.8</v>
      </c>
      <c r="AT1395" s="5">
        <v>51</v>
      </c>
      <c r="AU1395" s="5">
        <v>82</v>
      </c>
      <c r="AV1395" s="5">
        <v>40.7</v>
      </c>
      <c r="AW1395" s="5">
        <v>9.88</v>
      </c>
      <c r="AX1395" s="5">
        <v>83</v>
      </c>
      <c r="AY1395" s="5" t="s">
        <v>125</v>
      </c>
      <c r="AZ1395" s="5" t="s">
        <v>75</v>
      </c>
      <c r="BA1395" s="5" t="s">
        <v>76</v>
      </c>
      <c r="BB1395" s="12" t="s">
        <v>76</v>
      </c>
      <c r="BC1395" s="5">
        <v>4.52</v>
      </c>
      <c r="BD1395" s="5">
        <v>143</v>
      </c>
      <c r="BE1395" s="5" t="s">
        <v>76</v>
      </c>
      <c r="BF1395" s="5" t="s">
        <v>76</v>
      </c>
      <c r="BG1395" s="5" t="s">
        <v>76</v>
      </c>
      <c r="BH1395" s="5" t="s">
        <v>76</v>
      </c>
      <c r="BI1395" s="5">
        <v>110</v>
      </c>
      <c r="BJ1395" s="5">
        <v>20</v>
      </c>
      <c r="BK1395" s="5" t="s">
        <v>76</v>
      </c>
      <c r="BL1395" s="5" t="s">
        <v>76</v>
      </c>
      <c r="BM1395" s="5">
        <v>62.5</v>
      </c>
      <c r="BN1395" s="5">
        <v>180</v>
      </c>
      <c r="BO1395" s="5">
        <f t="shared" si="21"/>
        <v>19.2901234567901</v>
      </c>
      <c r="BP1395" s="5" t="s">
        <v>1450</v>
      </c>
      <c r="BQ1395" s="5" t="s">
        <v>76</v>
      </c>
      <c r="BR1395" s="5">
        <v>763</v>
      </c>
    </row>
    <row r="1396" s="1" customFormat="1" spans="1:70">
      <c r="A1396" s="1">
        <v>3258359</v>
      </c>
      <c r="B1396" s="1" t="s">
        <v>3093</v>
      </c>
      <c r="D1396" s="4">
        <v>44925</v>
      </c>
      <c r="E1396" s="4">
        <v>44937</v>
      </c>
      <c r="F1396" s="7">
        <v>33226</v>
      </c>
      <c r="G1396" s="1">
        <v>29</v>
      </c>
      <c r="H1396" s="1">
        <v>8</v>
      </c>
      <c r="I1396" s="1">
        <v>50</v>
      </c>
      <c r="J1396" s="1">
        <v>8</v>
      </c>
      <c r="K1396" s="1">
        <v>57</v>
      </c>
      <c r="L1396" s="1">
        <v>30</v>
      </c>
      <c r="M1396" s="1">
        <v>1.44</v>
      </c>
      <c r="N1396" s="1">
        <v>7.3</v>
      </c>
      <c r="O1396" s="7">
        <v>33226</v>
      </c>
      <c r="P1396" s="4">
        <v>44925</v>
      </c>
      <c r="Q1396" s="4">
        <v>44937</v>
      </c>
      <c r="R1396" s="1" t="s">
        <v>73</v>
      </c>
      <c r="AO1396" s="7">
        <v>33226</v>
      </c>
      <c r="AP1396" s="5">
        <v>7.3</v>
      </c>
      <c r="AQ1396" s="5">
        <v>130</v>
      </c>
      <c r="AR1396" s="5">
        <v>57</v>
      </c>
      <c r="AS1396" s="5">
        <v>8.7</v>
      </c>
      <c r="AT1396" s="5">
        <v>27</v>
      </c>
      <c r="AU1396" s="5">
        <v>38</v>
      </c>
      <c r="AV1396" s="5">
        <v>36.9</v>
      </c>
      <c r="AW1396" s="5">
        <v>5.95</v>
      </c>
      <c r="AX1396" s="5">
        <v>44</v>
      </c>
      <c r="AY1396" s="5" t="s">
        <v>125</v>
      </c>
      <c r="AZ1396" s="5" t="s">
        <v>75</v>
      </c>
      <c r="BA1396" s="5" t="s">
        <v>76</v>
      </c>
      <c r="BB1396" s="12" t="s">
        <v>76</v>
      </c>
      <c r="BC1396" s="5">
        <v>4.41</v>
      </c>
      <c r="BD1396" s="5">
        <v>130</v>
      </c>
      <c r="BE1396" s="5" t="s">
        <v>76</v>
      </c>
      <c r="BF1396" s="5" t="s">
        <v>76</v>
      </c>
      <c r="BG1396" s="15">
        <v>36.6</v>
      </c>
      <c r="BH1396" s="5" t="s">
        <v>76</v>
      </c>
      <c r="BI1396" s="5">
        <v>123</v>
      </c>
      <c r="BJ1396" s="5">
        <v>25</v>
      </c>
      <c r="BK1396" s="5">
        <v>114</v>
      </c>
      <c r="BL1396" s="5">
        <v>78</v>
      </c>
      <c r="BM1396" s="5">
        <v>60</v>
      </c>
      <c r="BN1396" s="5">
        <v>164</v>
      </c>
      <c r="BO1396" s="5">
        <f t="shared" si="21"/>
        <v>22.3081499107674</v>
      </c>
      <c r="BP1396" s="5" t="s">
        <v>168</v>
      </c>
      <c r="BQ1396" s="5" t="s">
        <v>76</v>
      </c>
      <c r="BR1396" s="5">
        <v>666</v>
      </c>
    </row>
    <row r="1397" s="1" customFormat="1" spans="1:70">
      <c r="A1397" s="1">
        <v>3281537</v>
      </c>
      <c r="B1397" s="1" t="s">
        <v>3094</v>
      </c>
      <c r="D1397" s="4">
        <v>44965</v>
      </c>
      <c r="E1397" s="4">
        <v>44969</v>
      </c>
      <c r="F1397" s="7">
        <v>33427</v>
      </c>
      <c r="G1397" s="1">
        <v>37</v>
      </c>
      <c r="H1397" s="1">
        <v>9</v>
      </c>
      <c r="I1397" s="1">
        <v>52</v>
      </c>
      <c r="J1397" s="1">
        <v>9</v>
      </c>
      <c r="K1397" s="1">
        <v>52</v>
      </c>
      <c r="L1397" s="1">
        <v>27</v>
      </c>
      <c r="M1397" s="1">
        <v>1.2</v>
      </c>
      <c r="N1397" s="1">
        <v>13.2</v>
      </c>
      <c r="O1397" s="7">
        <v>33427</v>
      </c>
      <c r="P1397" s="4">
        <v>44965</v>
      </c>
      <c r="Q1397" s="4">
        <v>44969</v>
      </c>
      <c r="R1397" s="1" t="s">
        <v>80</v>
      </c>
      <c r="AO1397" s="7">
        <v>33427</v>
      </c>
      <c r="AP1397" s="5">
        <v>8.2</v>
      </c>
      <c r="AQ1397" s="5">
        <v>142</v>
      </c>
      <c r="AR1397" s="5">
        <v>42.1</v>
      </c>
      <c r="AS1397" s="5">
        <v>8.5</v>
      </c>
      <c r="AT1397" s="5">
        <v>25</v>
      </c>
      <c r="AU1397" s="5">
        <v>32</v>
      </c>
      <c r="AV1397" s="5">
        <v>44.5</v>
      </c>
      <c r="AW1397" s="5">
        <v>5.6</v>
      </c>
      <c r="AX1397" s="5">
        <v>76</v>
      </c>
      <c r="AY1397" s="5" t="s">
        <v>125</v>
      </c>
      <c r="AZ1397" s="5" t="s">
        <v>75</v>
      </c>
      <c r="BA1397" s="5">
        <v>3.57</v>
      </c>
      <c r="BB1397" s="12" t="s">
        <v>76</v>
      </c>
      <c r="BC1397" s="5">
        <v>3.88</v>
      </c>
      <c r="BD1397" s="5">
        <v>142</v>
      </c>
      <c r="BE1397" s="5">
        <v>0.56</v>
      </c>
      <c r="BF1397" s="5">
        <v>2.14</v>
      </c>
      <c r="BG1397" s="15">
        <v>36.5</v>
      </c>
      <c r="BH1397" s="5">
        <v>74</v>
      </c>
      <c r="BI1397" s="5">
        <v>74</v>
      </c>
      <c r="BJ1397" s="5">
        <v>18</v>
      </c>
      <c r="BK1397" s="5">
        <v>141</v>
      </c>
      <c r="BL1397" s="5">
        <v>93</v>
      </c>
      <c r="BM1397" s="5">
        <v>110</v>
      </c>
      <c r="BN1397" s="5">
        <v>178</v>
      </c>
      <c r="BO1397" s="5">
        <f t="shared" si="21"/>
        <v>34.7178386567353</v>
      </c>
      <c r="BP1397" s="5" t="s">
        <v>323</v>
      </c>
      <c r="BQ1397" s="5" t="s">
        <v>76</v>
      </c>
      <c r="BR1397" s="5">
        <v>557</v>
      </c>
    </row>
    <row r="1398" s="1" customFormat="1" spans="1:70">
      <c r="A1398" s="1">
        <v>3248932</v>
      </c>
      <c r="B1398" s="1" t="s">
        <v>3094</v>
      </c>
      <c r="D1398" s="4">
        <v>44899</v>
      </c>
      <c r="E1398" s="4">
        <v>44903</v>
      </c>
      <c r="F1398" s="7">
        <v>33427</v>
      </c>
      <c r="G1398" s="1">
        <v>41</v>
      </c>
      <c r="H1398" s="1">
        <v>11</v>
      </c>
      <c r="I1398" s="1">
        <v>53</v>
      </c>
      <c r="J1398" s="1">
        <v>11</v>
      </c>
      <c r="K1398" s="1">
        <v>56</v>
      </c>
      <c r="L1398" s="1">
        <v>29</v>
      </c>
      <c r="M1398" s="1">
        <v>1.16</v>
      </c>
      <c r="N1398" s="1">
        <v>13.6</v>
      </c>
      <c r="O1398" s="7">
        <v>33427</v>
      </c>
      <c r="P1398" s="4">
        <v>44899</v>
      </c>
      <c r="Q1398" s="4">
        <v>44903</v>
      </c>
      <c r="R1398" s="1" t="s">
        <v>80</v>
      </c>
      <c r="S1398" s="1">
        <v>31</v>
      </c>
      <c r="T1398" s="1">
        <v>18751509965</v>
      </c>
      <c r="V1398" s="1">
        <v>1</v>
      </c>
      <c r="W1398" s="1">
        <v>1</v>
      </c>
      <c r="Z1398" s="1">
        <v>1</v>
      </c>
      <c r="AF1398" s="1">
        <v>1</v>
      </c>
      <c r="AG1398" s="1">
        <v>1</v>
      </c>
      <c r="AH1398" s="1">
        <v>1</v>
      </c>
      <c r="AI1398" s="1">
        <v>1</v>
      </c>
      <c r="AK1398" s="1">
        <v>1</v>
      </c>
      <c r="AM1398" s="1">
        <v>1</v>
      </c>
      <c r="AO1398" s="7">
        <v>33427</v>
      </c>
      <c r="AP1398" s="5">
        <v>9.7</v>
      </c>
      <c r="AQ1398" s="5">
        <v>154</v>
      </c>
      <c r="AR1398" s="5">
        <v>47.4</v>
      </c>
      <c r="AS1398" s="5">
        <v>7.2</v>
      </c>
      <c r="AT1398" s="5">
        <v>75</v>
      </c>
      <c r="AU1398" s="5">
        <v>39</v>
      </c>
      <c r="AV1398" s="5">
        <v>41.2</v>
      </c>
      <c r="AW1398" s="5">
        <v>4.21</v>
      </c>
      <c r="AX1398" s="5">
        <v>73</v>
      </c>
      <c r="AY1398" s="5" t="s">
        <v>125</v>
      </c>
      <c r="AZ1398" s="5" t="s">
        <v>75</v>
      </c>
      <c r="BA1398" s="5">
        <v>6.52</v>
      </c>
      <c r="BB1398" s="12" t="s">
        <v>76</v>
      </c>
      <c r="BC1398" s="5">
        <v>4.22</v>
      </c>
      <c r="BD1398" s="5">
        <v>154</v>
      </c>
      <c r="BE1398" s="5">
        <v>0.61</v>
      </c>
      <c r="BF1398" s="5">
        <v>5</v>
      </c>
      <c r="BG1398" s="15">
        <v>36.6</v>
      </c>
      <c r="BH1398" s="5">
        <v>88</v>
      </c>
      <c r="BI1398" s="5">
        <v>88</v>
      </c>
      <c r="BJ1398" s="5">
        <v>20</v>
      </c>
      <c r="BK1398" s="5">
        <v>155</v>
      </c>
      <c r="BL1398" s="5">
        <v>110</v>
      </c>
      <c r="BM1398" s="5">
        <v>115</v>
      </c>
      <c r="BN1398" s="5">
        <v>178</v>
      </c>
      <c r="BO1398" s="5">
        <f t="shared" si="21"/>
        <v>36.2959222320414</v>
      </c>
      <c r="BP1398" s="5" t="s">
        <v>323</v>
      </c>
      <c r="BQ1398" s="5">
        <v>5.3</v>
      </c>
      <c r="BR1398" s="5">
        <v>424</v>
      </c>
    </row>
    <row r="1399" s="1" customFormat="1" spans="1:70">
      <c r="A1399" s="1">
        <v>3328115</v>
      </c>
      <c r="B1399" s="1" t="s">
        <v>3095</v>
      </c>
      <c r="C1399" s="1">
        <v>1</v>
      </c>
      <c r="D1399" s="4">
        <v>45032</v>
      </c>
      <c r="E1399" s="4">
        <v>45036</v>
      </c>
      <c r="F1399" s="7">
        <v>33439</v>
      </c>
      <c r="G1399" s="1">
        <v>38</v>
      </c>
      <c r="H1399" s="1">
        <v>9</v>
      </c>
      <c r="I1399" s="1">
        <v>57</v>
      </c>
      <c r="J1399" s="1">
        <v>9</v>
      </c>
      <c r="K1399" s="1">
        <v>51</v>
      </c>
      <c r="M1399" s="1">
        <v>1.08</v>
      </c>
      <c r="N1399" s="1">
        <v>6.9</v>
      </c>
      <c r="O1399" s="7">
        <v>33439</v>
      </c>
      <c r="P1399" s="4">
        <v>45032</v>
      </c>
      <c r="Q1399" s="4">
        <v>45036</v>
      </c>
      <c r="R1399" s="1" t="s">
        <v>80</v>
      </c>
      <c r="S1399" s="1">
        <v>31</v>
      </c>
      <c r="T1399" s="1" t="s">
        <v>3096</v>
      </c>
      <c r="Z1399" s="1">
        <v>1</v>
      </c>
      <c r="AG1399" s="1">
        <v>1</v>
      </c>
      <c r="AH1399" s="1">
        <v>1</v>
      </c>
      <c r="AK1399" s="1">
        <v>1</v>
      </c>
      <c r="AO1399" s="7">
        <v>33439</v>
      </c>
      <c r="AP1399" s="5">
        <v>7.4</v>
      </c>
      <c r="AQ1399" s="5">
        <v>144</v>
      </c>
      <c r="AR1399" s="5">
        <v>42.7</v>
      </c>
      <c r="AS1399" s="5" t="s">
        <v>881</v>
      </c>
      <c r="AT1399" s="5">
        <v>24</v>
      </c>
      <c r="AU1399" s="5">
        <v>43</v>
      </c>
      <c r="AV1399" s="5">
        <v>46.4</v>
      </c>
      <c r="AW1399" s="5">
        <v>4.9</v>
      </c>
      <c r="AX1399" s="5">
        <v>68</v>
      </c>
      <c r="AY1399" s="5" t="s">
        <v>125</v>
      </c>
      <c r="AZ1399" s="5" t="s">
        <v>75</v>
      </c>
      <c r="BA1399" s="5">
        <v>3.06</v>
      </c>
      <c r="BB1399" s="12" t="s">
        <v>76</v>
      </c>
      <c r="BC1399" s="5">
        <v>4.64</v>
      </c>
      <c r="BD1399" s="5">
        <v>144</v>
      </c>
      <c r="BE1399" s="5">
        <v>0.97</v>
      </c>
      <c r="BF1399" s="5">
        <v>1.67</v>
      </c>
      <c r="BG1399" s="15">
        <v>36.6</v>
      </c>
      <c r="BH1399" s="5">
        <v>79</v>
      </c>
      <c r="BI1399" s="5">
        <v>79</v>
      </c>
      <c r="BJ1399" s="5">
        <v>18</v>
      </c>
      <c r="BK1399" s="5">
        <v>133</v>
      </c>
      <c r="BL1399" s="5">
        <v>75</v>
      </c>
      <c r="BM1399" s="5">
        <v>90</v>
      </c>
      <c r="BN1399" s="5">
        <v>185</v>
      </c>
      <c r="BO1399" s="5">
        <f t="shared" si="21"/>
        <v>26.2965668371074</v>
      </c>
      <c r="BP1399" s="5" t="s">
        <v>156</v>
      </c>
      <c r="BQ1399" s="5">
        <v>6</v>
      </c>
      <c r="BR1399" s="5">
        <v>381</v>
      </c>
    </row>
    <row r="1400" s="1" customFormat="1" spans="1:70">
      <c r="A1400" s="1">
        <v>3260920</v>
      </c>
      <c r="B1400" s="1" t="s">
        <v>3097</v>
      </c>
      <c r="D1400" s="4">
        <v>44929</v>
      </c>
      <c r="E1400" s="4">
        <v>44937</v>
      </c>
      <c r="F1400" s="7">
        <v>33440</v>
      </c>
      <c r="G1400" s="1">
        <v>39</v>
      </c>
      <c r="H1400" s="1">
        <v>9</v>
      </c>
      <c r="I1400" s="1">
        <v>66</v>
      </c>
      <c r="J1400" s="1">
        <v>9</v>
      </c>
      <c r="K1400" s="1">
        <v>28</v>
      </c>
      <c r="L1400" s="1">
        <v>13</v>
      </c>
      <c r="M1400" s="1">
        <v>2.3</v>
      </c>
      <c r="N1400" s="1">
        <v>12.3</v>
      </c>
      <c r="O1400" s="7">
        <v>33440</v>
      </c>
      <c r="P1400" s="4">
        <v>44929</v>
      </c>
      <c r="Q1400" s="4">
        <v>44937</v>
      </c>
      <c r="R1400" s="1" t="s">
        <v>73</v>
      </c>
      <c r="AO1400" s="7">
        <v>33440</v>
      </c>
      <c r="AP1400" s="5">
        <v>7.7</v>
      </c>
      <c r="AQ1400" s="5">
        <v>171</v>
      </c>
      <c r="AR1400" s="5">
        <v>58.8</v>
      </c>
      <c r="AS1400" s="5" t="s">
        <v>81</v>
      </c>
      <c r="AT1400" s="5">
        <v>42</v>
      </c>
      <c r="AU1400" s="5">
        <v>33</v>
      </c>
      <c r="AV1400" s="5">
        <v>43.9</v>
      </c>
      <c r="AW1400" s="5">
        <v>6.7</v>
      </c>
      <c r="AX1400" s="5">
        <v>95</v>
      </c>
      <c r="AY1400" s="5">
        <v>88.53</v>
      </c>
      <c r="AZ1400" s="5">
        <v>6.6</v>
      </c>
      <c r="BA1400" s="5">
        <v>3.43</v>
      </c>
      <c r="BB1400" s="12" t="s">
        <v>76</v>
      </c>
      <c r="BC1400" s="5">
        <v>4.53</v>
      </c>
      <c r="BD1400" s="5">
        <v>171</v>
      </c>
      <c r="BE1400" s="5">
        <v>0.62</v>
      </c>
      <c r="BF1400" s="5">
        <v>2.01</v>
      </c>
      <c r="BG1400" s="15">
        <v>36.2</v>
      </c>
      <c r="BH1400" s="5">
        <v>110</v>
      </c>
      <c r="BI1400" s="5">
        <v>110</v>
      </c>
      <c r="BJ1400" s="5">
        <v>16</v>
      </c>
      <c r="BK1400" s="5">
        <v>153</v>
      </c>
      <c r="BL1400" s="5">
        <v>110</v>
      </c>
      <c r="BM1400" s="5">
        <v>95</v>
      </c>
      <c r="BN1400" s="5">
        <v>163</v>
      </c>
      <c r="BO1400" s="5">
        <f t="shared" si="21"/>
        <v>35.7559561895442</v>
      </c>
      <c r="BP1400" s="5" t="s">
        <v>323</v>
      </c>
      <c r="BQ1400" s="5">
        <v>6</v>
      </c>
      <c r="BR1400" s="5">
        <v>454</v>
      </c>
    </row>
    <row r="1401" s="1" customFormat="1" spans="1:70">
      <c r="A1401" s="1">
        <v>3274976</v>
      </c>
      <c r="B1401" s="1" t="s">
        <v>3098</v>
      </c>
      <c r="D1401" s="4">
        <v>44957</v>
      </c>
      <c r="E1401" s="4">
        <v>44966</v>
      </c>
      <c r="F1401" s="7">
        <v>33556</v>
      </c>
      <c r="G1401" s="1">
        <v>32</v>
      </c>
      <c r="H1401" s="1">
        <v>9</v>
      </c>
      <c r="I1401" s="1">
        <v>44</v>
      </c>
      <c r="J1401" s="1">
        <v>9</v>
      </c>
      <c r="K1401" s="1">
        <v>53</v>
      </c>
      <c r="L1401" s="1">
        <v>27</v>
      </c>
      <c r="M1401" s="1">
        <v>1.14</v>
      </c>
      <c r="N1401" s="1">
        <v>9.1</v>
      </c>
      <c r="O1401" s="7">
        <v>33556</v>
      </c>
      <c r="P1401" s="4">
        <v>44957</v>
      </c>
      <c r="Q1401" s="4">
        <v>44966</v>
      </c>
      <c r="R1401" s="1" t="s">
        <v>80</v>
      </c>
      <c r="AO1401" s="7">
        <v>33556</v>
      </c>
      <c r="AP1401" s="5">
        <v>7.9</v>
      </c>
      <c r="AQ1401" s="5">
        <v>165</v>
      </c>
      <c r="AR1401" s="5">
        <v>50.3</v>
      </c>
      <c r="AS1401" s="5" t="s">
        <v>81</v>
      </c>
      <c r="AT1401" s="5">
        <v>82</v>
      </c>
      <c r="AU1401" s="5">
        <v>33</v>
      </c>
      <c r="AV1401" s="5">
        <v>53.5</v>
      </c>
      <c r="AW1401" s="5">
        <v>9.75</v>
      </c>
      <c r="AX1401" s="5">
        <v>78</v>
      </c>
      <c r="AY1401" s="5" t="s">
        <v>125</v>
      </c>
      <c r="AZ1401" s="5" t="s">
        <v>75</v>
      </c>
      <c r="BA1401" s="5" t="s">
        <v>76</v>
      </c>
      <c r="BB1401" s="12" t="s">
        <v>76</v>
      </c>
      <c r="BC1401" s="5">
        <v>4.63</v>
      </c>
      <c r="BD1401" s="5">
        <v>165</v>
      </c>
      <c r="BE1401" s="5" t="s">
        <v>76</v>
      </c>
      <c r="BF1401" s="5" t="s">
        <v>76</v>
      </c>
      <c r="BG1401" s="15">
        <v>36.5</v>
      </c>
      <c r="BH1401" s="5">
        <v>70</v>
      </c>
      <c r="BI1401" s="5">
        <v>70</v>
      </c>
      <c r="BJ1401" s="5">
        <v>18</v>
      </c>
      <c r="BK1401" s="5">
        <v>138</v>
      </c>
      <c r="BL1401" s="5">
        <v>90</v>
      </c>
      <c r="BM1401" s="5">
        <v>62</v>
      </c>
      <c r="BN1401" s="5">
        <v>163</v>
      </c>
      <c r="BO1401" s="5">
        <f t="shared" si="21"/>
        <v>23.3354661447552</v>
      </c>
      <c r="BP1401" s="5" t="s">
        <v>1450</v>
      </c>
      <c r="BQ1401" s="5" t="s">
        <v>76</v>
      </c>
      <c r="BR1401" s="5">
        <v>679</v>
      </c>
    </row>
    <row r="1402" s="1" customFormat="1" spans="1:70">
      <c r="A1402" s="1">
        <v>3510112</v>
      </c>
      <c r="B1402" s="1" t="s">
        <v>3099</v>
      </c>
      <c r="C1402" s="1">
        <v>1</v>
      </c>
      <c r="D1402" s="4">
        <v>45280</v>
      </c>
      <c r="E1402" s="4">
        <v>45285</v>
      </c>
      <c r="F1402" s="7">
        <v>33836</v>
      </c>
      <c r="G1402" s="1">
        <v>42</v>
      </c>
      <c r="H1402" s="1">
        <v>11</v>
      </c>
      <c r="I1402" s="1">
        <v>58</v>
      </c>
      <c r="J1402" s="1">
        <v>12</v>
      </c>
      <c r="K1402" s="1">
        <v>64</v>
      </c>
      <c r="L1402" s="1">
        <v>35</v>
      </c>
      <c r="M1402" s="1">
        <v>0.63</v>
      </c>
      <c r="N1402" s="1">
        <v>7.7</v>
      </c>
      <c r="O1402" s="7">
        <v>33836</v>
      </c>
      <c r="P1402" s="4">
        <v>45280</v>
      </c>
      <c r="Q1402" s="4">
        <v>45285</v>
      </c>
      <c r="R1402" s="1" t="s">
        <v>80</v>
      </c>
      <c r="AO1402" s="7">
        <v>33836</v>
      </c>
      <c r="AP1402" s="5">
        <v>6.2</v>
      </c>
      <c r="AQ1402" s="5">
        <v>89</v>
      </c>
      <c r="AR1402" s="5">
        <v>27.7</v>
      </c>
      <c r="AS1402" s="5">
        <v>6.6</v>
      </c>
      <c r="AT1402" s="5">
        <v>16</v>
      </c>
      <c r="AU1402" s="5">
        <v>11</v>
      </c>
      <c r="AV1402" s="5" t="s">
        <v>303</v>
      </c>
      <c r="AW1402" s="5" t="s">
        <v>81</v>
      </c>
      <c r="AX1402" s="5" t="s">
        <v>1455</v>
      </c>
      <c r="AY1402" s="5" t="s">
        <v>76</v>
      </c>
      <c r="AZ1402" s="5" t="s">
        <v>3100</v>
      </c>
      <c r="BA1402" s="5">
        <v>5.12</v>
      </c>
      <c r="BB1402" s="12" t="s">
        <v>76</v>
      </c>
      <c r="BC1402" s="5">
        <v>4.32</v>
      </c>
      <c r="BD1402" s="5">
        <v>89</v>
      </c>
      <c r="BE1402" s="5">
        <v>0.9</v>
      </c>
      <c r="BF1402" s="5">
        <v>2.74</v>
      </c>
      <c r="BG1402" s="15">
        <v>36.5</v>
      </c>
      <c r="BH1402" s="5">
        <v>76</v>
      </c>
      <c r="BI1402" s="5">
        <v>76</v>
      </c>
      <c r="BJ1402" s="5">
        <v>16</v>
      </c>
      <c r="BK1402" s="5">
        <v>181</v>
      </c>
      <c r="BL1402" s="5">
        <v>102</v>
      </c>
      <c r="BM1402" s="5">
        <v>95</v>
      </c>
      <c r="BN1402" s="5">
        <v>173</v>
      </c>
      <c r="BO1402" s="5">
        <f t="shared" si="21"/>
        <v>31.7417889003976</v>
      </c>
      <c r="BP1402" s="5" t="s">
        <v>415</v>
      </c>
      <c r="BQ1402" s="5" t="s">
        <v>76</v>
      </c>
      <c r="BR1402" s="5">
        <v>10503</v>
      </c>
    </row>
    <row r="1403" s="1" customFormat="1" spans="1:70">
      <c r="A1403" s="1">
        <v>3516138</v>
      </c>
      <c r="B1403" s="1" t="s">
        <v>3101</v>
      </c>
      <c r="C1403" s="1">
        <v>1</v>
      </c>
      <c r="D1403" s="4">
        <v>45289</v>
      </c>
      <c r="E1403" s="4">
        <v>45299</v>
      </c>
      <c r="F1403" s="7">
        <v>33843</v>
      </c>
      <c r="G1403" s="1">
        <v>39</v>
      </c>
      <c r="H1403" s="1">
        <v>10</v>
      </c>
      <c r="I1403" s="1">
        <v>51</v>
      </c>
      <c r="J1403" s="1">
        <v>10</v>
      </c>
      <c r="K1403" s="1">
        <v>67</v>
      </c>
      <c r="L1403" s="1">
        <v>37</v>
      </c>
      <c r="M1403" s="1">
        <v>0.78</v>
      </c>
      <c r="N1403" s="1">
        <v>8.7</v>
      </c>
      <c r="O1403" s="7">
        <v>33843</v>
      </c>
      <c r="P1403" s="4">
        <v>45289</v>
      </c>
      <c r="Q1403" s="4">
        <v>45299</v>
      </c>
      <c r="R1403" s="1" t="s">
        <v>80</v>
      </c>
      <c r="AO1403" s="7">
        <v>33843</v>
      </c>
      <c r="AP1403" s="5">
        <v>9.5</v>
      </c>
      <c r="AQ1403" s="5">
        <v>140</v>
      </c>
      <c r="AR1403" s="5">
        <v>43.4</v>
      </c>
      <c r="AS1403" s="5">
        <v>44</v>
      </c>
      <c r="AT1403" s="5">
        <v>85</v>
      </c>
      <c r="AU1403" s="5">
        <v>97</v>
      </c>
      <c r="AV1403" s="5">
        <v>41.1</v>
      </c>
      <c r="AW1403" s="5">
        <v>6.83</v>
      </c>
      <c r="AX1403" s="5">
        <v>491</v>
      </c>
      <c r="AY1403" s="5">
        <v>64.49</v>
      </c>
      <c r="AZ1403" s="5" t="s">
        <v>75</v>
      </c>
      <c r="BA1403" s="5">
        <v>3.44</v>
      </c>
      <c r="BB1403" s="12" t="s">
        <v>76</v>
      </c>
      <c r="BC1403" s="5">
        <v>5.12</v>
      </c>
      <c r="BD1403" s="5">
        <v>140</v>
      </c>
      <c r="BE1403" s="5" t="s">
        <v>76</v>
      </c>
      <c r="BF1403" s="5" t="s">
        <v>76</v>
      </c>
      <c r="BG1403" s="15">
        <v>36.3</v>
      </c>
      <c r="BH1403" s="5">
        <v>77</v>
      </c>
      <c r="BI1403" s="5">
        <v>77</v>
      </c>
      <c r="BJ1403" s="5">
        <v>21</v>
      </c>
      <c r="BK1403" s="5">
        <v>151</v>
      </c>
      <c r="BL1403" s="5">
        <v>89</v>
      </c>
      <c r="BM1403" s="5">
        <v>122</v>
      </c>
      <c r="BN1403" s="5">
        <v>183</v>
      </c>
      <c r="BO1403" s="5">
        <f t="shared" si="21"/>
        <v>36.4298724954463</v>
      </c>
      <c r="BP1403" s="5" t="s">
        <v>415</v>
      </c>
      <c r="BQ1403" s="5">
        <v>6.2</v>
      </c>
      <c r="BR1403" s="5">
        <v>6867</v>
      </c>
    </row>
    <row r="1404" s="1" customFormat="1" spans="1:70">
      <c r="A1404" s="1">
        <v>3285163</v>
      </c>
      <c r="B1404" s="1" t="s">
        <v>3102</v>
      </c>
      <c r="D1404" s="4">
        <v>44970</v>
      </c>
      <c r="E1404" s="4">
        <v>44977</v>
      </c>
      <c r="F1404" s="7">
        <v>34163</v>
      </c>
      <c r="G1404" s="1">
        <v>56</v>
      </c>
      <c r="H1404" s="1">
        <v>12</v>
      </c>
      <c r="I1404" s="1">
        <v>67</v>
      </c>
      <c r="J1404" s="1">
        <v>8</v>
      </c>
      <c r="K1404" s="1">
        <v>45</v>
      </c>
      <c r="L1404" s="1">
        <v>23</v>
      </c>
      <c r="M1404" s="9">
        <v>2</v>
      </c>
      <c r="N1404" s="1">
        <v>22.6</v>
      </c>
      <c r="O1404" s="7">
        <v>34163</v>
      </c>
      <c r="P1404" s="4">
        <v>44970</v>
      </c>
      <c r="Q1404" s="4">
        <v>44977</v>
      </c>
      <c r="R1404" s="1" t="s">
        <v>80</v>
      </c>
      <c r="AO1404" s="7">
        <v>34163</v>
      </c>
      <c r="AP1404" s="5">
        <v>8.3</v>
      </c>
      <c r="AQ1404" s="5">
        <v>128</v>
      </c>
      <c r="AR1404" s="5">
        <v>42.3</v>
      </c>
      <c r="AS1404" s="5" t="s">
        <v>76</v>
      </c>
      <c r="AT1404" s="5">
        <v>15</v>
      </c>
      <c r="AU1404" s="5">
        <v>22</v>
      </c>
      <c r="AV1404" s="5">
        <v>36.3</v>
      </c>
      <c r="AW1404" s="5">
        <v>4.99</v>
      </c>
      <c r="AX1404" s="5">
        <v>87</v>
      </c>
      <c r="AY1404" s="5">
        <v>95.65</v>
      </c>
      <c r="AZ1404" s="5">
        <v>4.92</v>
      </c>
      <c r="BA1404" s="5">
        <v>2.69</v>
      </c>
      <c r="BB1404" s="12" t="s">
        <v>76</v>
      </c>
      <c r="BC1404" s="5">
        <v>3.98</v>
      </c>
      <c r="BD1404" s="5">
        <v>128</v>
      </c>
      <c r="BE1404" s="5">
        <v>0.74</v>
      </c>
      <c r="BF1404" s="5">
        <v>1.35</v>
      </c>
      <c r="BG1404" s="15">
        <v>36.6</v>
      </c>
      <c r="BH1404" s="5">
        <v>69</v>
      </c>
      <c r="BI1404" s="5">
        <v>69</v>
      </c>
      <c r="BJ1404" s="5">
        <v>17</v>
      </c>
      <c r="BK1404" s="5">
        <v>163</v>
      </c>
      <c r="BL1404" s="5">
        <v>95</v>
      </c>
      <c r="BM1404" s="5">
        <v>130</v>
      </c>
      <c r="BN1404" s="5">
        <v>187</v>
      </c>
      <c r="BO1404" s="5">
        <f t="shared" si="21"/>
        <v>37.1757842660642</v>
      </c>
      <c r="BP1404" s="5" t="s">
        <v>121</v>
      </c>
      <c r="BQ1404" s="5" t="s">
        <v>76</v>
      </c>
      <c r="BR1404" s="5">
        <v>894</v>
      </c>
    </row>
    <row r="1405" s="1" customFormat="1" spans="1:70">
      <c r="A1405" s="1" t="s">
        <v>3103</v>
      </c>
      <c r="B1405" s="1" t="s">
        <v>3104</v>
      </c>
      <c r="C1405" s="1">
        <v>1</v>
      </c>
      <c r="D1405" s="4">
        <v>44979</v>
      </c>
      <c r="E1405" s="4">
        <v>44982</v>
      </c>
      <c r="F1405" s="7">
        <v>34207</v>
      </c>
      <c r="G1405" s="1">
        <v>33</v>
      </c>
      <c r="H1405" s="1">
        <v>10</v>
      </c>
      <c r="I1405" s="1">
        <v>48</v>
      </c>
      <c r="J1405" s="1">
        <v>10</v>
      </c>
      <c r="K1405" s="1">
        <v>58</v>
      </c>
      <c r="L1405" s="1">
        <v>31</v>
      </c>
      <c r="M1405" s="1">
        <v>0.66</v>
      </c>
      <c r="N1405" s="1">
        <v>6.8</v>
      </c>
      <c r="O1405" s="7">
        <v>34207</v>
      </c>
      <c r="P1405" s="4">
        <v>44979</v>
      </c>
      <c r="Q1405" s="4">
        <v>44982</v>
      </c>
      <c r="R1405" s="1" t="s">
        <v>73</v>
      </c>
      <c r="AO1405" s="7">
        <v>34207</v>
      </c>
      <c r="AP1405" s="5" t="s">
        <v>1951</v>
      </c>
      <c r="AQ1405" s="5" t="s">
        <v>942</v>
      </c>
      <c r="AR1405" s="5" t="s">
        <v>756</v>
      </c>
      <c r="AS1405" s="5" t="s">
        <v>88</v>
      </c>
      <c r="AT1405" s="5" t="s">
        <v>93</v>
      </c>
      <c r="AU1405" s="5" t="s">
        <v>93</v>
      </c>
      <c r="AV1405" s="5" t="s">
        <v>1044</v>
      </c>
      <c r="AW1405" s="5" t="s">
        <v>3105</v>
      </c>
      <c r="AX1405" s="5" t="s">
        <v>3106</v>
      </c>
      <c r="AY1405" s="5" t="s">
        <v>3107</v>
      </c>
      <c r="AZ1405" s="5" t="s">
        <v>76</v>
      </c>
      <c r="BA1405" s="5" t="s">
        <v>76</v>
      </c>
      <c r="BB1405" s="12" t="s">
        <v>76</v>
      </c>
      <c r="BC1405" s="5" t="s">
        <v>1343</v>
      </c>
      <c r="BD1405" s="5" t="s">
        <v>942</v>
      </c>
      <c r="BE1405" s="5" t="s">
        <v>76</v>
      </c>
      <c r="BF1405" s="5" t="s">
        <v>76</v>
      </c>
      <c r="BG1405" s="15">
        <v>36.5</v>
      </c>
      <c r="BH1405" s="5" t="s">
        <v>186</v>
      </c>
      <c r="BI1405" s="5" t="s">
        <v>76</v>
      </c>
      <c r="BJ1405" s="5" t="s">
        <v>769</v>
      </c>
      <c r="BK1405" s="5" t="s">
        <v>1043</v>
      </c>
      <c r="BL1405" s="5" t="s">
        <v>350</v>
      </c>
      <c r="BM1405" s="5" t="s">
        <v>214</v>
      </c>
      <c r="BN1405" s="5">
        <v>165</v>
      </c>
      <c r="BO1405" s="5">
        <f t="shared" si="21"/>
        <v>26.078971533517</v>
      </c>
      <c r="BP1405" s="5" t="s">
        <v>2041</v>
      </c>
      <c r="BQ1405" s="5" t="s">
        <v>76</v>
      </c>
      <c r="BR1405" s="5">
        <v>6699</v>
      </c>
    </row>
    <row r="1406" s="1" customFormat="1" spans="1:70">
      <c r="A1406" s="1">
        <v>3318243</v>
      </c>
      <c r="B1406" s="1" t="s">
        <v>3108</v>
      </c>
      <c r="C1406" s="1">
        <v>1</v>
      </c>
      <c r="D1406" s="4">
        <v>45015</v>
      </c>
      <c r="E1406" s="4">
        <v>45037</v>
      </c>
      <c r="F1406" s="7">
        <v>34263</v>
      </c>
      <c r="G1406" s="1">
        <v>40</v>
      </c>
      <c r="H1406" s="1">
        <v>11</v>
      </c>
      <c r="I1406" s="1">
        <v>59</v>
      </c>
      <c r="J1406" s="1">
        <v>11</v>
      </c>
      <c r="K1406" s="1">
        <v>37</v>
      </c>
      <c r="M1406" s="1">
        <v>2.05</v>
      </c>
      <c r="O1406" s="7">
        <v>34263</v>
      </c>
      <c r="P1406" s="4">
        <v>45015</v>
      </c>
      <c r="Q1406" s="4">
        <v>45037</v>
      </c>
      <c r="R1406" s="1" t="s">
        <v>80</v>
      </c>
      <c r="AO1406" s="7">
        <v>34263</v>
      </c>
      <c r="AP1406" s="5">
        <v>9.3</v>
      </c>
      <c r="AQ1406" s="5">
        <v>96</v>
      </c>
      <c r="AR1406" s="5">
        <v>46.4</v>
      </c>
      <c r="AS1406" s="5">
        <v>83.3</v>
      </c>
      <c r="AT1406" s="5">
        <v>53</v>
      </c>
      <c r="AU1406" s="5">
        <v>27</v>
      </c>
      <c r="AV1406" s="5">
        <v>49.7</v>
      </c>
      <c r="AW1406" s="5">
        <v>6.99</v>
      </c>
      <c r="AX1406" s="5">
        <v>69</v>
      </c>
      <c r="AY1406" s="5" t="s">
        <v>125</v>
      </c>
      <c r="AZ1406" s="5" t="s">
        <v>75</v>
      </c>
      <c r="BA1406" s="5">
        <v>2.47</v>
      </c>
      <c r="BB1406" s="12" t="s">
        <v>76</v>
      </c>
      <c r="BC1406" s="5">
        <v>4.88</v>
      </c>
      <c r="BD1406" s="5">
        <v>96</v>
      </c>
      <c r="BE1406" s="5" t="s">
        <v>76</v>
      </c>
      <c r="BF1406" s="5" t="s">
        <v>76</v>
      </c>
      <c r="BG1406" s="15">
        <v>36.5</v>
      </c>
      <c r="BH1406" s="5">
        <v>88</v>
      </c>
      <c r="BI1406" s="5">
        <v>88</v>
      </c>
      <c r="BJ1406" s="5">
        <v>18</v>
      </c>
      <c r="BK1406" s="5">
        <v>150</v>
      </c>
      <c r="BL1406" s="5">
        <v>70</v>
      </c>
      <c r="BM1406" s="5">
        <v>50</v>
      </c>
      <c r="BN1406" s="5">
        <v>171</v>
      </c>
      <c r="BO1406" s="5">
        <f t="shared" si="21"/>
        <v>17.0992784104511</v>
      </c>
      <c r="BP1406" s="5" t="s">
        <v>1450</v>
      </c>
      <c r="BQ1406" s="5">
        <v>5</v>
      </c>
      <c r="BR1406" s="5">
        <v>569</v>
      </c>
    </row>
    <row r="1407" s="1" customFormat="1" spans="1:70">
      <c r="A1407" s="1">
        <v>3500213</v>
      </c>
      <c r="B1407" s="1" t="s">
        <v>3109</v>
      </c>
      <c r="C1407" s="1">
        <v>1</v>
      </c>
      <c r="D1407" s="4">
        <v>45266</v>
      </c>
      <c r="E1407" s="4">
        <v>45281</v>
      </c>
      <c r="F1407" s="7">
        <v>34538</v>
      </c>
      <c r="G1407" s="1">
        <v>28</v>
      </c>
      <c r="H1407" s="1">
        <v>7</v>
      </c>
      <c r="I1407" s="1">
        <v>44</v>
      </c>
      <c r="J1407" s="1">
        <v>7</v>
      </c>
      <c r="K1407" s="1">
        <v>58</v>
      </c>
      <c r="L1407" s="1">
        <v>30</v>
      </c>
      <c r="M1407" s="1">
        <v>1.8</v>
      </c>
      <c r="O1407" s="7">
        <v>34538</v>
      </c>
      <c r="P1407" s="4">
        <v>45266</v>
      </c>
      <c r="Q1407" s="4">
        <v>45281</v>
      </c>
      <c r="R1407" s="1" t="s">
        <v>73</v>
      </c>
      <c r="AO1407" s="7">
        <v>34538</v>
      </c>
      <c r="AP1407" s="5">
        <v>99.8</v>
      </c>
      <c r="AQ1407" s="5">
        <v>141</v>
      </c>
      <c r="AR1407" s="5">
        <v>46.1</v>
      </c>
      <c r="AS1407" s="5">
        <v>7.7</v>
      </c>
      <c r="AT1407" s="5">
        <v>96</v>
      </c>
      <c r="AU1407" s="5">
        <v>90</v>
      </c>
      <c r="AV1407" s="5">
        <v>47.1</v>
      </c>
      <c r="AW1407" s="5">
        <v>6.68</v>
      </c>
      <c r="AX1407" s="5">
        <v>43</v>
      </c>
      <c r="AY1407" s="5" t="s">
        <v>125</v>
      </c>
      <c r="AZ1407" s="5" t="s">
        <v>75</v>
      </c>
      <c r="BA1407" s="5" t="s">
        <v>76</v>
      </c>
      <c r="BB1407" s="12" t="s">
        <v>76</v>
      </c>
      <c r="BC1407" s="5">
        <v>3.92</v>
      </c>
      <c r="BD1407" s="5">
        <v>141</v>
      </c>
      <c r="BE1407" s="5" t="s">
        <v>76</v>
      </c>
      <c r="BF1407" s="5" t="s">
        <v>76</v>
      </c>
      <c r="BG1407" s="5" t="s">
        <v>76</v>
      </c>
      <c r="BH1407" s="5" t="s">
        <v>76</v>
      </c>
      <c r="BI1407" s="5" t="s">
        <v>76</v>
      </c>
      <c r="BJ1407" s="5" t="s">
        <v>76</v>
      </c>
      <c r="BK1407" s="5" t="s">
        <v>76</v>
      </c>
      <c r="BL1407" s="5" t="s">
        <v>76</v>
      </c>
      <c r="BM1407" s="5" t="s">
        <v>76</v>
      </c>
      <c r="BN1407" s="5" t="s">
        <v>76</v>
      </c>
      <c r="BO1407" s="5" t="e">
        <f t="shared" si="21"/>
        <v>#VALUE!</v>
      </c>
      <c r="BP1407" s="5" t="s">
        <v>78</v>
      </c>
      <c r="BQ1407" s="5" t="s">
        <v>76</v>
      </c>
      <c r="BR1407" s="5">
        <v>8858.66</v>
      </c>
    </row>
    <row r="1408" s="1" customFormat="1" spans="1:70">
      <c r="A1408" s="1">
        <v>3490646</v>
      </c>
      <c r="B1408" s="1" t="s">
        <v>3110</v>
      </c>
      <c r="C1408" s="1">
        <v>1</v>
      </c>
      <c r="D1408" s="4">
        <v>45254</v>
      </c>
      <c r="E1408" s="4">
        <v>45286</v>
      </c>
      <c r="F1408" s="7">
        <v>34712</v>
      </c>
      <c r="G1408" s="1">
        <v>32</v>
      </c>
      <c r="H1408" s="1">
        <v>9</v>
      </c>
      <c r="I1408" s="1">
        <v>48</v>
      </c>
      <c r="J1408" s="1">
        <v>9</v>
      </c>
      <c r="K1408" s="1">
        <v>65</v>
      </c>
      <c r="L1408" s="1">
        <v>35</v>
      </c>
      <c r="M1408" s="1">
        <v>0.64</v>
      </c>
      <c r="O1408" s="7">
        <v>34712</v>
      </c>
      <c r="P1408" s="4">
        <v>45254</v>
      </c>
      <c r="Q1408" s="4">
        <v>45286</v>
      </c>
      <c r="R1408" s="1" t="s">
        <v>80</v>
      </c>
      <c r="AO1408" s="7">
        <v>34712</v>
      </c>
      <c r="AP1408" s="5">
        <v>97.7</v>
      </c>
      <c r="AQ1408" s="5">
        <v>99</v>
      </c>
      <c r="AR1408" s="5">
        <v>53.8</v>
      </c>
      <c r="AS1408" s="5">
        <v>93.3</v>
      </c>
      <c r="AT1408" s="5">
        <v>7</v>
      </c>
      <c r="AU1408" s="5">
        <v>9</v>
      </c>
      <c r="AV1408" s="5">
        <v>35.5</v>
      </c>
      <c r="AW1408" s="5">
        <v>9.32</v>
      </c>
      <c r="AX1408" s="5">
        <v>98</v>
      </c>
      <c r="AY1408" s="5" t="s">
        <v>125</v>
      </c>
      <c r="AZ1408" s="5" t="s">
        <v>75</v>
      </c>
      <c r="BA1408" s="5">
        <v>7.31</v>
      </c>
      <c r="BB1408" s="12" t="s">
        <v>76</v>
      </c>
      <c r="BC1408" s="5">
        <v>4.94</v>
      </c>
      <c r="BD1408" s="5">
        <v>99</v>
      </c>
      <c r="BE1408" s="5" t="s">
        <v>76</v>
      </c>
      <c r="BF1408" s="5" t="s">
        <v>76</v>
      </c>
      <c r="BG1408" s="15">
        <v>36.5</v>
      </c>
      <c r="BH1408" s="5">
        <v>116</v>
      </c>
      <c r="BI1408" s="5">
        <v>116</v>
      </c>
      <c r="BJ1408" s="5">
        <v>18</v>
      </c>
      <c r="BK1408" s="5">
        <v>159</v>
      </c>
      <c r="BL1408" s="5">
        <v>89</v>
      </c>
      <c r="BM1408" s="5">
        <v>85</v>
      </c>
      <c r="BN1408" s="5">
        <v>173</v>
      </c>
      <c r="BO1408" s="5">
        <f t="shared" si="21"/>
        <v>28.4005479635136</v>
      </c>
      <c r="BP1408" s="5" t="s">
        <v>117</v>
      </c>
      <c r="BQ1408" s="5">
        <v>11.8</v>
      </c>
      <c r="BR1408" s="5">
        <v>962</v>
      </c>
    </row>
    <row r="1409" s="1" customFormat="1" spans="1:70">
      <c r="A1409" s="1">
        <v>3506917</v>
      </c>
      <c r="B1409" s="1" t="s">
        <v>3111</v>
      </c>
      <c r="C1409" s="1">
        <v>1</v>
      </c>
      <c r="D1409" s="4">
        <v>45275</v>
      </c>
      <c r="E1409" s="4">
        <v>45280</v>
      </c>
      <c r="F1409" s="7">
        <v>34809</v>
      </c>
      <c r="G1409" s="1">
        <v>29</v>
      </c>
      <c r="H1409" s="1">
        <v>8</v>
      </c>
      <c r="I1409" s="1">
        <v>59</v>
      </c>
      <c r="J1409" s="1">
        <v>8</v>
      </c>
      <c r="K1409" s="1">
        <v>29</v>
      </c>
      <c r="L1409" s="1">
        <v>14</v>
      </c>
      <c r="M1409" s="1">
        <v>11.25</v>
      </c>
      <c r="N1409" s="1">
        <v>6.6</v>
      </c>
      <c r="O1409" s="7">
        <v>34809</v>
      </c>
      <c r="P1409" s="4">
        <v>45275</v>
      </c>
      <c r="Q1409" s="4">
        <v>45280</v>
      </c>
      <c r="R1409" s="1" t="s">
        <v>73</v>
      </c>
      <c r="AO1409" s="7">
        <v>34809</v>
      </c>
      <c r="AP1409" s="5">
        <v>9.3</v>
      </c>
      <c r="AQ1409" s="5">
        <v>99</v>
      </c>
      <c r="AR1409" s="5">
        <v>41.3</v>
      </c>
      <c r="AS1409" s="5" t="s">
        <v>76</v>
      </c>
      <c r="AT1409" s="5">
        <v>18</v>
      </c>
      <c r="AU1409" s="5">
        <v>9</v>
      </c>
      <c r="AV1409" s="5">
        <v>35.3</v>
      </c>
      <c r="AW1409" s="5">
        <v>9.94</v>
      </c>
      <c r="AX1409" s="5">
        <v>70</v>
      </c>
      <c r="AY1409" s="5" t="s">
        <v>125</v>
      </c>
      <c r="AZ1409" s="5">
        <v>8.6</v>
      </c>
      <c r="BA1409" s="5" t="s">
        <v>76</v>
      </c>
      <c r="BB1409" s="12" t="s">
        <v>76</v>
      </c>
      <c r="BC1409" s="5">
        <v>4.17</v>
      </c>
      <c r="BD1409" s="5">
        <v>99</v>
      </c>
      <c r="BE1409" s="5" t="s">
        <v>76</v>
      </c>
      <c r="BF1409" s="5" t="s">
        <v>76</v>
      </c>
      <c r="BG1409" s="5" t="s">
        <v>76</v>
      </c>
      <c r="BH1409" s="5" t="s">
        <v>76</v>
      </c>
      <c r="BI1409" s="5" t="s">
        <v>76</v>
      </c>
      <c r="BJ1409" s="5" t="s">
        <v>76</v>
      </c>
      <c r="BK1409" s="5" t="s">
        <v>76</v>
      </c>
      <c r="BL1409" s="5" t="s">
        <v>76</v>
      </c>
      <c r="BM1409" s="5" t="s">
        <v>76</v>
      </c>
      <c r="BN1409" s="5" t="s">
        <v>76</v>
      </c>
      <c r="BO1409" s="5" t="e">
        <f t="shared" si="21"/>
        <v>#VALUE!</v>
      </c>
      <c r="BP1409" s="5" t="s">
        <v>85</v>
      </c>
      <c r="BQ1409" s="5" t="s">
        <v>76</v>
      </c>
      <c r="BR1409" s="5">
        <v>351</v>
      </c>
    </row>
    <row r="1410" s="1" customFormat="1" spans="1:70">
      <c r="A1410" s="1">
        <v>3245145</v>
      </c>
      <c r="B1410" s="1" t="s">
        <v>3112</v>
      </c>
      <c r="D1410" s="4">
        <v>44891</v>
      </c>
      <c r="E1410" s="4">
        <v>44900</v>
      </c>
      <c r="F1410" s="7">
        <v>34890</v>
      </c>
      <c r="G1410" s="1">
        <v>31</v>
      </c>
      <c r="H1410" s="1">
        <v>7</v>
      </c>
      <c r="I1410" s="1">
        <v>46</v>
      </c>
      <c r="J1410" s="1">
        <v>8</v>
      </c>
      <c r="K1410" s="1">
        <v>64</v>
      </c>
      <c r="L1410" s="1">
        <v>35</v>
      </c>
      <c r="M1410" s="1">
        <v>1.17</v>
      </c>
      <c r="N1410" s="10">
        <v>6</v>
      </c>
      <c r="O1410" s="7">
        <v>34890</v>
      </c>
      <c r="P1410" s="4">
        <v>44891</v>
      </c>
      <c r="Q1410" s="4">
        <v>44900</v>
      </c>
      <c r="R1410" s="1" t="s">
        <v>73</v>
      </c>
      <c r="AO1410" s="7">
        <v>34890</v>
      </c>
      <c r="AP1410" s="5">
        <v>9.8</v>
      </c>
      <c r="AQ1410" s="5">
        <v>122</v>
      </c>
      <c r="AR1410" s="5">
        <v>39</v>
      </c>
      <c r="AS1410" s="5" t="s">
        <v>81</v>
      </c>
      <c r="AT1410" s="5">
        <v>9</v>
      </c>
      <c r="AU1410" s="5">
        <v>25</v>
      </c>
      <c r="AV1410" s="5">
        <v>39.2</v>
      </c>
      <c r="AW1410" s="5">
        <v>5.54</v>
      </c>
      <c r="AX1410" s="5">
        <v>47</v>
      </c>
      <c r="AY1410" s="5" t="s">
        <v>125</v>
      </c>
      <c r="AZ1410" s="5">
        <v>7.7</v>
      </c>
      <c r="BA1410" s="5" t="s">
        <v>76</v>
      </c>
      <c r="BB1410" s="12" t="s">
        <v>76</v>
      </c>
      <c r="BC1410" s="5">
        <v>4.79</v>
      </c>
      <c r="BD1410" s="5">
        <v>122</v>
      </c>
      <c r="BE1410" s="5" t="s">
        <v>76</v>
      </c>
      <c r="BF1410" s="5" t="s">
        <v>76</v>
      </c>
      <c r="BG1410" s="15">
        <v>37.5</v>
      </c>
      <c r="BH1410" s="5">
        <v>70</v>
      </c>
      <c r="BI1410" s="5">
        <v>70</v>
      </c>
      <c r="BJ1410" s="5">
        <v>20</v>
      </c>
      <c r="BK1410" s="5">
        <v>109</v>
      </c>
      <c r="BL1410" s="5">
        <v>67</v>
      </c>
      <c r="BM1410" s="5">
        <v>45</v>
      </c>
      <c r="BN1410" s="5">
        <v>160</v>
      </c>
      <c r="BO1410" s="5">
        <f t="shared" si="21"/>
        <v>17.578125</v>
      </c>
      <c r="BP1410" s="5" t="s">
        <v>323</v>
      </c>
      <c r="BQ1410" s="5" t="s">
        <v>76</v>
      </c>
      <c r="BR1410" s="5">
        <v>972</v>
      </c>
    </row>
    <row r="1411" s="1" customFormat="1" spans="1:70">
      <c r="A1411" s="1">
        <v>3309366</v>
      </c>
      <c r="B1411" s="1" t="s">
        <v>3113</v>
      </c>
      <c r="C1411" s="1">
        <v>1</v>
      </c>
      <c r="D1411" s="4">
        <v>45003</v>
      </c>
      <c r="E1411" s="4">
        <v>45009</v>
      </c>
      <c r="F1411" s="7">
        <v>35134</v>
      </c>
      <c r="G1411" s="1">
        <v>45</v>
      </c>
      <c r="H1411" s="1">
        <v>13</v>
      </c>
      <c r="I1411" s="1">
        <v>63</v>
      </c>
      <c r="J1411" s="1">
        <v>13</v>
      </c>
      <c r="K1411" s="1">
        <v>43</v>
      </c>
      <c r="L1411" s="1">
        <v>22</v>
      </c>
      <c r="M1411" s="1">
        <v>1.85</v>
      </c>
      <c r="O1411" s="7">
        <v>35134</v>
      </c>
      <c r="P1411" s="4">
        <v>45003</v>
      </c>
      <c r="Q1411" s="4">
        <v>45009</v>
      </c>
      <c r="R1411" s="1" t="s">
        <v>80</v>
      </c>
      <c r="AO1411" s="7">
        <v>35134</v>
      </c>
      <c r="AP1411" s="5">
        <v>7.9</v>
      </c>
      <c r="AQ1411" s="5">
        <v>175</v>
      </c>
      <c r="AR1411" s="5">
        <v>53</v>
      </c>
      <c r="AS1411" s="5" t="s">
        <v>81</v>
      </c>
      <c r="AT1411" s="5">
        <v>65</v>
      </c>
      <c r="AU1411" s="5">
        <v>89</v>
      </c>
      <c r="AV1411" s="5">
        <v>40.4</v>
      </c>
      <c r="AW1411" s="5">
        <v>9.69</v>
      </c>
      <c r="AX1411" s="5">
        <v>99</v>
      </c>
      <c r="AY1411" s="5">
        <v>90.99</v>
      </c>
      <c r="AZ1411" s="5" t="s">
        <v>75</v>
      </c>
      <c r="BA1411" s="5" t="s">
        <v>76</v>
      </c>
      <c r="BB1411" s="12" t="s">
        <v>76</v>
      </c>
      <c r="BC1411" s="5">
        <v>4.7</v>
      </c>
      <c r="BD1411" s="5">
        <v>175</v>
      </c>
      <c r="BE1411" s="5" t="s">
        <v>76</v>
      </c>
      <c r="BF1411" s="5" t="s">
        <v>76</v>
      </c>
      <c r="BG1411" s="15">
        <v>37</v>
      </c>
      <c r="BH1411" s="5">
        <v>100</v>
      </c>
      <c r="BI1411" s="5">
        <v>100</v>
      </c>
      <c r="BJ1411" s="5">
        <v>18</v>
      </c>
      <c r="BK1411" s="5">
        <v>212</v>
      </c>
      <c r="BL1411" s="5">
        <v>128</v>
      </c>
      <c r="BM1411" s="5" t="s">
        <v>77</v>
      </c>
      <c r="BN1411" s="5" t="s">
        <v>77</v>
      </c>
      <c r="BO1411" s="5" t="e">
        <f t="shared" ref="BO1411:BO1427" si="22">BM1411/(BN1411/100)^2</f>
        <v>#VALUE!</v>
      </c>
      <c r="BP1411" s="5" t="s">
        <v>323</v>
      </c>
      <c r="BQ1411" s="5" t="s">
        <v>76</v>
      </c>
      <c r="BR1411" s="5">
        <v>652</v>
      </c>
    </row>
    <row r="1412" s="1" customFormat="1" spans="1:70">
      <c r="A1412" s="1">
        <v>3269222</v>
      </c>
      <c r="B1412" s="1" t="s">
        <v>3114</v>
      </c>
      <c r="D1412" s="4">
        <v>44947</v>
      </c>
      <c r="E1412" s="4">
        <v>44965</v>
      </c>
      <c r="F1412" s="7">
        <v>35134</v>
      </c>
      <c r="G1412" s="1">
        <v>41</v>
      </c>
      <c r="H1412" s="1">
        <v>8</v>
      </c>
      <c r="I1412" s="1">
        <v>52</v>
      </c>
      <c r="J1412" s="1">
        <v>8</v>
      </c>
      <c r="K1412" s="1">
        <v>62</v>
      </c>
      <c r="L1412" s="1">
        <v>33</v>
      </c>
      <c r="M1412" s="1">
        <v>1.9</v>
      </c>
      <c r="N1412" s="1">
        <v>9.8</v>
      </c>
      <c r="O1412" s="7">
        <v>35134</v>
      </c>
      <c r="P1412" s="4">
        <v>44947</v>
      </c>
      <c r="Q1412" s="4">
        <v>44965</v>
      </c>
      <c r="R1412" s="1" t="s">
        <v>80</v>
      </c>
      <c r="AO1412" s="7">
        <v>35134</v>
      </c>
      <c r="AP1412" s="5">
        <v>20.8</v>
      </c>
      <c r="AQ1412" s="5">
        <v>99</v>
      </c>
      <c r="AR1412" s="5">
        <v>36.8</v>
      </c>
      <c r="AS1412" s="5">
        <v>5.2</v>
      </c>
      <c r="AT1412" s="5">
        <v>36</v>
      </c>
      <c r="AU1412" s="5">
        <v>72</v>
      </c>
      <c r="AV1412" s="5">
        <v>40.4</v>
      </c>
      <c r="AW1412" s="5">
        <v>8.01</v>
      </c>
      <c r="AX1412" s="5">
        <v>95</v>
      </c>
      <c r="AY1412" s="5">
        <v>88.36</v>
      </c>
      <c r="AZ1412" s="5">
        <v>6.13</v>
      </c>
      <c r="BA1412" s="5">
        <v>5.07</v>
      </c>
      <c r="BB1412" s="12" t="s">
        <v>76</v>
      </c>
      <c r="BC1412" s="5" t="s">
        <v>4</v>
      </c>
      <c r="BD1412" s="5">
        <v>99</v>
      </c>
      <c r="BE1412" s="5">
        <v>0.3</v>
      </c>
      <c r="BF1412" s="5">
        <v>1.25</v>
      </c>
      <c r="BG1412" s="15">
        <v>36.7</v>
      </c>
      <c r="BH1412" s="5">
        <v>74</v>
      </c>
      <c r="BI1412" s="5" t="s">
        <v>76</v>
      </c>
      <c r="BJ1412" s="5">
        <v>14</v>
      </c>
      <c r="BK1412" s="5">
        <v>131</v>
      </c>
      <c r="BL1412" s="5">
        <v>82</v>
      </c>
      <c r="BM1412" s="5">
        <v>62.5</v>
      </c>
      <c r="BN1412" s="5">
        <v>180</v>
      </c>
      <c r="BO1412" s="5">
        <f t="shared" si="22"/>
        <v>19.2901234567901</v>
      </c>
      <c r="BP1412" s="5" t="s">
        <v>415</v>
      </c>
      <c r="BQ1412" s="5">
        <v>5.2</v>
      </c>
      <c r="BR1412" s="5">
        <v>5167</v>
      </c>
    </row>
    <row r="1413" s="1" customFormat="1" spans="1:70">
      <c r="A1413" s="1" t="s">
        <v>3115</v>
      </c>
      <c r="B1413" s="1" t="s">
        <v>3116</v>
      </c>
      <c r="C1413" s="1">
        <v>1</v>
      </c>
      <c r="D1413" s="4">
        <v>44895</v>
      </c>
      <c r="E1413" s="4">
        <v>44910</v>
      </c>
      <c r="F1413" s="7">
        <v>35192</v>
      </c>
      <c r="G1413" s="1">
        <v>28</v>
      </c>
      <c r="H1413" s="1">
        <v>8</v>
      </c>
      <c r="I1413" s="1">
        <v>46</v>
      </c>
      <c r="J1413" s="1">
        <v>8</v>
      </c>
      <c r="K1413" s="1">
        <v>68</v>
      </c>
      <c r="L1413" s="1">
        <v>38</v>
      </c>
      <c r="M1413" s="1">
        <v>1.36</v>
      </c>
      <c r="N1413" s="1">
        <v>6.9</v>
      </c>
      <c r="O1413" s="7">
        <v>35192</v>
      </c>
      <c r="P1413" s="4">
        <v>44895</v>
      </c>
      <c r="Q1413" s="4">
        <v>44910</v>
      </c>
      <c r="R1413" s="1" t="s">
        <v>73</v>
      </c>
      <c r="S1413" s="1">
        <v>26</v>
      </c>
      <c r="T1413" s="1">
        <v>19955785079</v>
      </c>
      <c r="V1413" s="1">
        <v>1</v>
      </c>
      <c r="AA1413" s="1">
        <v>1</v>
      </c>
      <c r="AI1413" s="1">
        <v>1</v>
      </c>
      <c r="AM1413" s="1">
        <v>1</v>
      </c>
      <c r="AN1413" s="1">
        <v>1</v>
      </c>
      <c r="AO1413" s="7">
        <v>35192</v>
      </c>
      <c r="AP1413" s="5" t="s">
        <v>381</v>
      </c>
      <c r="AQ1413" s="5" t="s">
        <v>347</v>
      </c>
      <c r="AR1413" s="5" t="s">
        <v>703</v>
      </c>
      <c r="AS1413" s="5" t="s">
        <v>76</v>
      </c>
      <c r="AT1413" s="5" t="s">
        <v>1047</v>
      </c>
      <c r="AU1413" s="5" t="s">
        <v>228</v>
      </c>
      <c r="AV1413" s="5" t="s">
        <v>768</v>
      </c>
      <c r="AW1413" s="5" t="s">
        <v>3117</v>
      </c>
      <c r="AX1413" s="5" t="s">
        <v>3118</v>
      </c>
      <c r="AY1413" s="5" t="s">
        <v>3119</v>
      </c>
      <c r="AZ1413" s="5" t="s">
        <v>75</v>
      </c>
      <c r="BA1413" s="5" t="s">
        <v>3120</v>
      </c>
      <c r="BB1413" s="12" t="s">
        <v>76</v>
      </c>
      <c r="BC1413" s="5" t="s">
        <v>3121</v>
      </c>
      <c r="BD1413" s="5" t="s">
        <v>347</v>
      </c>
      <c r="BE1413" s="5" t="s">
        <v>3122</v>
      </c>
      <c r="BF1413" s="5" t="s">
        <v>3123</v>
      </c>
      <c r="BG1413" s="15">
        <v>36.6</v>
      </c>
      <c r="BH1413" s="5" t="s">
        <v>482</v>
      </c>
      <c r="BI1413" s="5" t="s">
        <v>482</v>
      </c>
      <c r="BJ1413" s="5" t="s">
        <v>246</v>
      </c>
      <c r="BK1413" s="5" t="s">
        <v>1043</v>
      </c>
      <c r="BL1413" s="5" t="s">
        <v>232</v>
      </c>
      <c r="BM1413" s="5" t="s">
        <v>195</v>
      </c>
      <c r="BN1413" s="5">
        <v>160</v>
      </c>
      <c r="BO1413" s="5">
        <f t="shared" si="22"/>
        <v>19.53125</v>
      </c>
      <c r="BP1413" s="5" t="s">
        <v>501</v>
      </c>
      <c r="BQ1413" s="5" t="s">
        <v>1343</v>
      </c>
      <c r="BR1413" s="5">
        <v>9576</v>
      </c>
    </row>
    <row r="1414" s="1" customFormat="1" spans="1:70">
      <c r="A1414" s="1" t="s">
        <v>3124</v>
      </c>
      <c r="B1414" s="1" t="s">
        <v>3125</v>
      </c>
      <c r="C1414" s="1">
        <v>1</v>
      </c>
      <c r="D1414" s="4">
        <v>45013</v>
      </c>
      <c r="E1414" s="4">
        <v>45045</v>
      </c>
      <c r="F1414" s="7">
        <v>35221</v>
      </c>
      <c r="G1414" s="1">
        <v>50</v>
      </c>
      <c r="H1414" s="1">
        <v>8</v>
      </c>
      <c r="I1414" s="1">
        <v>52</v>
      </c>
      <c r="J1414" s="1">
        <v>8</v>
      </c>
      <c r="K1414" s="1">
        <v>57</v>
      </c>
      <c r="L1414" s="1">
        <v>30</v>
      </c>
      <c r="O1414" s="7">
        <v>35221</v>
      </c>
      <c r="P1414" s="4">
        <v>45013</v>
      </c>
      <c r="Q1414" s="4">
        <v>45045</v>
      </c>
      <c r="R1414" s="1" t="s">
        <v>73</v>
      </c>
      <c r="AO1414" s="7">
        <v>35221</v>
      </c>
      <c r="AP1414" s="5" t="s">
        <v>88</v>
      </c>
      <c r="AQ1414" s="5" t="s">
        <v>613</v>
      </c>
      <c r="AR1414" s="5" t="s">
        <v>3126</v>
      </c>
      <c r="AS1414" s="5" t="s">
        <v>507</v>
      </c>
      <c r="AT1414" s="5" t="s">
        <v>93</v>
      </c>
      <c r="AU1414" s="5" t="s">
        <v>171</v>
      </c>
      <c r="AV1414" s="5" t="s">
        <v>3127</v>
      </c>
      <c r="AW1414" s="5" t="s">
        <v>3128</v>
      </c>
      <c r="AX1414" s="5" t="s">
        <v>89</v>
      </c>
      <c r="AY1414" s="5" t="s">
        <v>125</v>
      </c>
      <c r="AZ1414" s="5" t="s">
        <v>3129</v>
      </c>
      <c r="BA1414" s="5" t="s">
        <v>1011</v>
      </c>
      <c r="BB1414" s="12" t="s">
        <v>76</v>
      </c>
      <c r="BC1414" s="5" t="s">
        <v>2594</v>
      </c>
      <c r="BD1414" s="5" t="s">
        <v>613</v>
      </c>
      <c r="BE1414" s="5" t="s">
        <v>3122</v>
      </c>
      <c r="BF1414" s="5" t="s">
        <v>2911</v>
      </c>
      <c r="BG1414" s="15">
        <v>36.4</v>
      </c>
      <c r="BH1414" s="5" t="s">
        <v>1006</v>
      </c>
      <c r="BI1414" s="5" t="s">
        <v>1006</v>
      </c>
      <c r="BJ1414" s="5" t="s">
        <v>1249</v>
      </c>
      <c r="BK1414" s="5" t="s">
        <v>467</v>
      </c>
      <c r="BL1414" s="5" t="s">
        <v>994</v>
      </c>
      <c r="BM1414" s="5" t="s">
        <v>755</v>
      </c>
      <c r="BN1414" s="5">
        <v>155</v>
      </c>
      <c r="BO1414" s="5">
        <f t="shared" si="22"/>
        <v>26.2226847034339</v>
      </c>
      <c r="BP1414" s="5" t="s">
        <v>501</v>
      </c>
      <c r="BQ1414" s="5" t="s">
        <v>76</v>
      </c>
      <c r="BR1414" s="5" t="s">
        <v>1155</v>
      </c>
    </row>
    <row r="1415" s="1" customFormat="1" spans="1:70">
      <c r="A1415" s="1">
        <v>3506208</v>
      </c>
      <c r="B1415" s="1" t="s">
        <v>3130</v>
      </c>
      <c r="C1415" s="1">
        <v>1</v>
      </c>
      <c r="D1415" s="4">
        <v>45274</v>
      </c>
      <c r="E1415" s="4">
        <v>45291</v>
      </c>
      <c r="F1415" s="7">
        <v>35370</v>
      </c>
      <c r="G1415" s="1">
        <v>28</v>
      </c>
      <c r="H1415" s="1">
        <v>8</v>
      </c>
      <c r="I1415" s="1">
        <v>44</v>
      </c>
      <c r="J1415" s="1">
        <v>8</v>
      </c>
      <c r="K1415" s="1">
        <v>56</v>
      </c>
      <c r="L1415" s="1">
        <v>29</v>
      </c>
      <c r="M1415" s="1">
        <v>1.19</v>
      </c>
      <c r="O1415" s="7">
        <v>35370</v>
      </c>
      <c r="P1415" s="4">
        <v>45274</v>
      </c>
      <c r="Q1415" s="4">
        <v>45291</v>
      </c>
      <c r="R1415" s="1" t="s">
        <v>80</v>
      </c>
      <c r="AO1415" s="7">
        <v>35370</v>
      </c>
      <c r="AP1415" s="5">
        <v>9.2</v>
      </c>
      <c r="AQ1415" s="5">
        <v>99</v>
      </c>
      <c r="AR1415" s="5">
        <v>8.7</v>
      </c>
      <c r="AS1415" s="5">
        <v>92.5</v>
      </c>
      <c r="AT1415" s="5">
        <v>47</v>
      </c>
      <c r="AU1415" s="5">
        <v>94</v>
      </c>
      <c r="AV1415" s="5">
        <v>38.8</v>
      </c>
      <c r="AW1415" s="5">
        <v>8.9</v>
      </c>
      <c r="AX1415" s="5">
        <v>52</v>
      </c>
      <c r="AY1415" s="5" t="s">
        <v>76</v>
      </c>
      <c r="AZ1415" s="5" t="s">
        <v>3131</v>
      </c>
      <c r="BA1415" s="5">
        <v>3.81</v>
      </c>
      <c r="BB1415" s="12" t="s">
        <v>76</v>
      </c>
      <c r="BC1415" s="5">
        <v>5.17</v>
      </c>
      <c r="BD1415" s="5">
        <v>99</v>
      </c>
      <c r="BE1415" s="5">
        <v>0.95</v>
      </c>
      <c r="BF1415" s="5">
        <v>1.62</v>
      </c>
      <c r="BG1415" s="5" t="s">
        <v>76</v>
      </c>
      <c r="BH1415" s="5">
        <v>112</v>
      </c>
      <c r="BI1415" s="5">
        <v>112</v>
      </c>
      <c r="BJ1415" s="5">
        <v>16</v>
      </c>
      <c r="BK1415" s="5">
        <v>132</v>
      </c>
      <c r="BL1415" s="5">
        <v>90</v>
      </c>
      <c r="BM1415" s="5">
        <v>40</v>
      </c>
      <c r="BN1415" s="5">
        <v>170</v>
      </c>
      <c r="BO1415" s="5">
        <f t="shared" si="22"/>
        <v>13.840830449827</v>
      </c>
      <c r="BP1415" s="5" t="s">
        <v>394</v>
      </c>
      <c r="BQ1415" s="5" t="s">
        <v>76</v>
      </c>
      <c r="BR1415" s="5">
        <v>950.6</v>
      </c>
    </row>
    <row r="1416" s="1" customFormat="1" spans="1:70">
      <c r="A1416" s="1" t="s">
        <v>3132</v>
      </c>
      <c r="B1416" s="1" t="s">
        <v>3133</v>
      </c>
      <c r="C1416" s="1">
        <v>1</v>
      </c>
      <c r="D1416" s="4">
        <v>45012</v>
      </c>
      <c r="E1416" s="4">
        <v>45019</v>
      </c>
      <c r="F1416" s="7">
        <v>35422</v>
      </c>
      <c r="G1416" s="1">
        <v>36</v>
      </c>
      <c r="H1416" s="1">
        <v>10</v>
      </c>
      <c r="I1416" s="1">
        <v>49</v>
      </c>
      <c r="J1416" s="1">
        <v>9</v>
      </c>
      <c r="K1416" s="1">
        <v>60</v>
      </c>
      <c r="L1416" s="1">
        <v>32</v>
      </c>
      <c r="M1416" s="1">
        <v>1.38</v>
      </c>
      <c r="N1416" s="10">
        <v>12</v>
      </c>
      <c r="O1416" s="7">
        <v>35422</v>
      </c>
      <c r="P1416" s="4">
        <v>45012</v>
      </c>
      <c r="Q1416" s="4">
        <v>45019</v>
      </c>
      <c r="R1416" s="1" t="s">
        <v>73</v>
      </c>
      <c r="AO1416" s="7">
        <v>35422</v>
      </c>
      <c r="AP1416" s="5" t="s">
        <v>3134</v>
      </c>
      <c r="AQ1416" s="5" t="s">
        <v>89</v>
      </c>
      <c r="AR1416" s="5" t="s">
        <v>1083</v>
      </c>
      <c r="AS1416" s="5" t="s">
        <v>2941</v>
      </c>
      <c r="AT1416" s="5" t="s">
        <v>511</v>
      </c>
      <c r="AU1416" s="5" t="s">
        <v>422</v>
      </c>
      <c r="AV1416" s="5" t="s">
        <v>3135</v>
      </c>
      <c r="AW1416" s="5" t="s">
        <v>3136</v>
      </c>
      <c r="AX1416" s="5" t="s">
        <v>3137</v>
      </c>
      <c r="AY1416" s="5" t="s">
        <v>3138</v>
      </c>
      <c r="AZ1416" s="5" t="s">
        <v>75</v>
      </c>
      <c r="BA1416" s="5" t="s">
        <v>2999</v>
      </c>
      <c r="BB1416" s="12" t="s">
        <v>76</v>
      </c>
      <c r="BC1416" s="5" t="s">
        <v>1985</v>
      </c>
      <c r="BD1416" s="5" t="s">
        <v>89</v>
      </c>
      <c r="BE1416" s="5" t="s">
        <v>76</v>
      </c>
      <c r="BF1416" s="5" t="s">
        <v>76</v>
      </c>
      <c r="BG1416" s="15">
        <v>36.5</v>
      </c>
      <c r="BH1416" s="5" t="s">
        <v>137</v>
      </c>
      <c r="BI1416" s="5" t="s">
        <v>137</v>
      </c>
      <c r="BJ1416" s="5" t="s">
        <v>293</v>
      </c>
      <c r="BK1416" s="5" t="s">
        <v>972</v>
      </c>
      <c r="BL1416" s="5" t="s">
        <v>425</v>
      </c>
      <c r="BM1416" s="5" t="s">
        <v>96</v>
      </c>
      <c r="BN1416" s="5">
        <v>163</v>
      </c>
      <c r="BO1416" s="5">
        <f t="shared" si="22"/>
        <v>22.206330686138</v>
      </c>
      <c r="BP1416" s="5" t="s">
        <v>501</v>
      </c>
      <c r="BQ1416" s="5" t="s">
        <v>76</v>
      </c>
      <c r="BR1416" s="5">
        <v>4908</v>
      </c>
    </row>
    <row r="1417" s="1" customFormat="1" spans="1:70">
      <c r="A1417" s="1" t="s">
        <v>3139</v>
      </c>
      <c r="B1417" s="1" t="s">
        <v>3140</v>
      </c>
      <c r="C1417" s="1">
        <v>1</v>
      </c>
      <c r="D1417" s="4">
        <v>44986</v>
      </c>
      <c r="E1417" s="4">
        <v>44988</v>
      </c>
      <c r="F1417" s="7">
        <v>35658</v>
      </c>
      <c r="G1417" s="1">
        <v>41</v>
      </c>
      <c r="H1417" s="1">
        <v>10</v>
      </c>
      <c r="I1417" s="1">
        <v>60</v>
      </c>
      <c r="J1417" s="1">
        <v>10</v>
      </c>
      <c r="K1417" s="1">
        <v>40</v>
      </c>
      <c r="L1417" s="1">
        <v>20</v>
      </c>
      <c r="N1417" s="1">
        <v>23.4</v>
      </c>
      <c r="O1417" s="7">
        <v>35658</v>
      </c>
      <c r="P1417" s="4">
        <v>44986</v>
      </c>
      <c r="Q1417" s="4">
        <v>44988</v>
      </c>
      <c r="R1417" s="1" t="s">
        <v>73</v>
      </c>
      <c r="AO1417" s="7">
        <v>35658</v>
      </c>
      <c r="AP1417" s="5" t="s">
        <v>2006</v>
      </c>
      <c r="AQ1417" s="5" t="s">
        <v>482</v>
      </c>
      <c r="AR1417" s="5" t="s">
        <v>403</v>
      </c>
      <c r="AS1417" s="5" t="s">
        <v>76</v>
      </c>
      <c r="AT1417" s="5" t="s">
        <v>890</v>
      </c>
      <c r="AU1417" s="5" t="s">
        <v>76</v>
      </c>
      <c r="AV1417" s="5" t="s">
        <v>76</v>
      </c>
      <c r="AW1417" s="5" t="s">
        <v>76</v>
      </c>
      <c r="AX1417" s="5" t="s">
        <v>76</v>
      </c>
      <c r="AY1417" s="5" t="s">
        <v>76</v>
      </c>
      <c r="AZ1417" s="5" t="s">
        <v>76</v>
      </c>
      <c r="BA1417" s="5" t="s">
        <v>76</v>
      </c>
      <c r="BB1417" s="12" t="s">
        <v>76</v>
      </c>
      <c r="BC1417" s="5" t="s">
        <v>2616</v>
      </c>
      <c r="BD1417" s="5" t="s">
        <v>482</v>
      </c>
      <c r="BE1417" s="5" t="s">
        <v>76</v>
      </c>
      <c r="BF1417" s="5" t="s">
        <v>76</v>
      </c>
      <c r="BG1417" s="15">
        <v>36.5</v>
      </c>
      <c r="BH1417" s="5" t="s">
        <v>1771</v>
      </c>
      <c r="BI1417" s="5" t="s">
        <v>76</v>
      </c>
      <c r="BJ1417" s="5" t="s">
        <v>240</v>
      </c>
      <c r="BK1417" s="5" t="s">
        <v>774</v>
      </c>
      <c r="BL1417" s="5" t="s">
        <v>759</v>
      </c>
      <c r="BM1417" s="5" t="s">
        <v>3141</v>
      </c>
      <c r="BN1417" s="5" t="s">
        <v>76</v>
      </c>
      <c r="BO1417" s="5" t="e">
        <f t="shared" si="22"/>
        <v>#VALUE!</v>
      </c>
      <c r="BP1417" s="5" t="s">
        <v>2041</v>
      </c>
      <c r="BQ1417" s="5" t="s">
        <v>2672</v>
      </c>
      <c r="BR1417" s="5" t="s">
        <v>118</v>
      </c>
    </row>
    <row r="1418" s="1" customFormat="1" spans="1:70">
      <c r="A1418" s="1">
        <v>3258086</v>
      </c>
      <c r="B1418" s="1" t="s">
        <v>3142</v>
      </c>
      <c r="D1418" s="4">
        <v>44924</v>
      </c>
      <c r="E1418" s="4">
        <v>44934</v>
      </c>
      <c r="F1418" s="7">
        <v>35808</v>
      </c>
      <c r="G1418" s="1">
        <v>22</v>
      </c>
      <c r="H1418" s="1">
        <v>10</v>
      </c>
      <c r="I1418" s="1">
        <v>39</v>
      </c>
      <c r="J1418" s="1">
        <v>10</v>
      </c>
      <c r="K1418" s="1">
        <v>56</v>
      </c>
      <c r="L1418" s="1">
        <v>29</v>
      </c>
      <c r="M1418" s="1">
        <v>0.78</v>
      </c>
      <c r="N1418" s="1">
        <v>8</v>
      </c>
      <c r="O1418" s="7">
        <v>35808</v>
      </c>
      <c r="P1418" s="4">
        <v>44924</v>
      </c>
      <c r="Q1418" s="4">
        <v>44934</v>
      </c>
      <c r="R1418" s="1" t="s">
        <v>73</v>
      </c>
      <c r="S1418" s="1">
        <v>24</v>
      </c>
      <c r="T1418" s="1" t="s">
        <v>3143</v>
      </c>
      <c r="AM1418" s="1">
        <v>1</v>
      </c>
      <c r="AO1418" s="7">
        <v>35808</v>
      </c>
      <c r="AP1418" s="5">
        <v>8.9</v>
      </c>
      <c r="AQ1418" s="5">
        <v>150</v>
      </c>
      <c r="AR1418" s="5">
        <v>48.6</v>
      </c>
      <c r="AS1418" s="5">
        <v>3.3</v>
      </c>
      <c r="AT1418" s="5">
        <v>9543</v>
      </c>
      <c r="AU1418" s="5">
        <v>744</v>
      </c>
      <c r="AV1418" s="5">
        <v>44.8</v>
      </c>
      <c r="AW1418" s="5">
        <v>9.51</v>
      </c>
      <c r="AX1418" s="5">
        <v>61</v>
      </c>
      <c r="AY1418" s="5" t="s">
        <v>125</v>
      </c>
      <c r="AZ1418" s="5" t="s">
        <v>75</v>
      </c>
      <c r="BA1418" s="5">
        <v>3.83</v>
      </c>
      <c r="BB1418" s="12" t="s">
        <v>76</v>
      </c>
      <c r="BC1418" s="5">
        <v>3.88</v>
      </c>
      <c r="BD1418" s="5">
        <v>150</v>
      </c>
      <c r="BE1418" s="5">
        <v>0.67</v>
      </c>
      <c r="BF1418" s="5">
        <v>2.81</v>
      </c>
      <c r="BG1418" s="15">
        <v>36.1</v>
      </c>
      <c r="BH1418" s="5">
        <v>113</v>
      </c>
      <c r="BI1418" s="5">
        <v>113</v>
      </c>
      <c r="BJ1418" s="5">
        <v>20</v>
      </c>
      <c r="BK1418" s="5">
        <v>108</v>
      </c>
      <c r="BL1418" s="5">
        <v>70</v>
      </c>
      <c r="BM1418" s="5">
        <v>63</v>
      </c>
      <c r="BN1418" s="5">
        <v>160</v>
      </c>
      <c r="BO1418" s="5">
        <f t="shared" si="22"/>
        <v>24.609375</v>
      </c>
      <c r="BP1418" s="5" t="s">
        <v>323</v>
      </c>
      <c r="BQ1418" s="5">
        <v>5.4</v>
      </c>
      <c r="BR1418" s="5">
        <v>672.9</v>
      </c>
    </row>
    <row r="1419" s="1" customFormat="1" spans="1:70">
      <c r="A1419" s="1">
        <v>3321981</v>
      </c>
      <c r="B1419" s="1" t="s">
        <v>3144</v>
      </c>
      <c r="C1419" s="1">
        <v>1</v>
      </c>
      <c r="D1419" s="4">
        <v>45021</v>
      </c>
      <c r="E1419" s="4">
        <v>45028</v>
      </c>
      <c r="F1419" s="7">
        <v>35829</v>
      </c>
      <c r="G1419" s="1">
        <v>34</v>
      </c>
      <c r="H1419" s="1">
        <v>10</v>
      </c>
      <c r="I1419" s="1">
        <v>53</v>
      </c>
      <c r="J1419" s="1">
        <v>10</v>
      </c>
      <c r="K1419" s="1">
        <v>52</v>
      </c>
      <c r="L1419" s="1">
        <v>27</v>
      </c>
      <c r="M1419" s="1">
        <v>1.69</v>
      </c>
      <c r="N1419" s="1">
        <v>7.4</v>
      </c>
      <c r="O1419" s="7">
        <v>35829</v>
      </c>
      <c r="P1419" s="4">
        <v>45021</v>
      </c>
      <c r="Q1419" s="4">
        <v>45028</v>
      </c>
      <c r="R1419" s="1" t="s">
        <v>80</v>
      </c>
      <c r="AO1419" s="7">
        <v>35829</v>
      </c>
      <c r="AP1419" s="5">
        <v>7.7</v>
      </c>
      <c r="AQ1419" s="5">
        <v>167</v>
      </c>
      <c r="AR1419" s="5">
        <v>50.9</v>
      </c>
      <c r="AS1419" s="5" t="s">
        <v>81</v>
      </c>
      <c r="AT1419" s="5">
        <v>57</v>
      </c>
      <c r="AU1419" s="5">
        <v>92</v>
      </c>
      <c r="AV1419" s="5">
        <v>46.8</v>
      </c>
      <c r="AW1419" s="5">
        <v>4.9</v>
      </c>
      <c r="AX1419" s="5">
        <v>72</v>
      </c>
      <c r="AY1419" s="5" t="s">
        <v>125</v>
      </c>
      <c r="AZ1419" s="5" t="s">
        <v>75</v>
      </c>
      <c r="BA1419" s="5">
        <v>4.66</v>
      </c>
      <c r="BB1419" s="12" t="s">
        <v>76</v>
      </c>
      <c r="BC1419" s="5">
        <v>4.41</v>
      </c>
      <c r="BD1419" s="5">
        <v>167</v>
      </c>
      <c r="BE1419" s="5">
        <v>0.89</v>
      </c>
      <c r="BF1419" s="5">
        <v>3.33</v>
      </c>
      <c r="BG1419" s="15">
        <v>36.5</v>
      </c>
      <c r="BH1419" s="5">
        <v>109</v>
      </c>
      <c r="BI1419" s="5">
        <v>109</v>
      </c>
      <c r="BJ1419" s="5">
        <v>17</v>
      </c>
      <c r="BK1419" s="5">
        <v>105</v>
      </c>
      <c r="BL1419" s="5">
        <v>81</v>
      </c>
      <c r="BM1419" s="5">
        <v>78.5</v>
      </c>
      <c r="BN1419" s="5">
        <v>173</v>
      </c>
      <c r="BO1419" s="5">
        <f t="shared" si="22"/>
        <v>26.2287413545391</v>
      </c>
      <c r="BP1419" s="5" t="s">
        <v>323</v>
      </c>
      <c r="BQ1419" s="5">
        <v>5.4</v>
      </c>
      <c r="BR1419" s="5">
        <v>429</v>
      </c>
    </row>
    <row r="1420" s="1" customFormat="1" spans="1:70">
      <c r="A1420" s="1">
        <v>3496977</v>
      </c>
      <c r="B1420" s="1" t="s">
        <v>3145</v>
      </c>
      <c r="C1420" s="1">
        <v>1</v>
      </c>
      <c r="D1420" s="4">
        <v>45263</v>
      </c>
      <c r="E1420" s="4">
        <v>45275</v>
      </c>
      <c r="F1420" s="7">
        <v>35890</v>
      </c>
      <c r="G1420" s="1">
        <v>39</v>
      </c>
      <c r="H1420" s="1">
        <v>14</v>
      </c>
      <c r="I1420" s="1">
        <v>60</v>
      </c>
      <c r="J1420" s="1">
        <v>14</v>
      </c>
      <c r="K1420" s="1">
        <v>35</v>
      </c>
      <c r="L1420" s="1">
        <v>17</v>
      </c>
      <c r="M1420" s="1">
        <v>0.53</v>
      </c>
      <c r="N1420" s="1">
        <v>4.3</v>
      </c>
      <c r="O1420" s="7">
        <v>35890</v>
      </c>
      <c r="P1420" s="4">
        <v>45263</v>
      </c>
      <c r="Q1420" s="4">
        <v>45275</v>
      </c>
      <c r="R1420" s="1" t="s">
        <v>80</v>
      </c>
      <c r="AO1420" s="7">
        <v>35890</v>
      </c>
      <c r="AP1420" s="5">
        <v>9.7</v>
      </c>
      <c r="AQ1420" s="5">
        <v>162</v>
      </c>
      <c r="AR1420" s="5">
        <v>51.7</v>
      </c>
      <c r="AS1420" s="5">
        <v>7.1</v>
      </c>
      <c r="AT1420" s="5">
        <v>72</v>
      </c>
      <c r="AU1420" s="5">
        <v>89</v>
      </c>
      <c r="AV1420" s="5">
        <v>38.1</v>
      </c>
      <c r="AW1420" s="5">
        <v>8.85</v>
      </c>
      <c r="AX1420" s="5">
        <v>149</v>
      </c>
      <c r="AY1420" s="5">
        <v>83.94</v>
      </c>
      <c r="AZ1420" s="5" t="s">
        <v>75</v>
      </c>
      <c r="BA1420" s="5">
        <v>3.61</v>
      </c>
      <c r="BB1420" s="12" t="s">
        <v>76</v>
      </c>
      <c r="BC1420" s="5">
        <v>4.48</v>
      </c>
      <c r="BD1420" s="5">
        <v>162</v>
      </c>
      <c r="BE1420" s="5" t="s">
        <v>76</v>
      </c>
      <c r="BF1420" s="5" t="s">
        <v>76</v>
      </c>
      <c r="BG1420" s="5" t="s">
        <v>76</v>
      </c>
      <c r="BH1420" s="5" t="s">
        <v>76</v>
      </c>
      <c r="BI1420" s="5" t="s">
        <v>76</v>
      </c>
      <c r="BJ1420" s="5" t="s">
        <v>76</v>
      </c>
      <c r="BK1420" s="5" t="s">
        <v>76</v>
      </c>
      <c r="BL1420" s="5" t="s">
        <v>76</v>
      </c>
      <c r="BM1420" s="5" t="s">
        <v>76</v>
      </c>
      <c r="BN1420" s="5" t="s">
        <v>76</v>
      </c>
      <c r="BO1420" s="5" t="e">
        <f t="shared" si="22"/>
        <v>#VALUE!</v>
      </c>
      <c r="BP1420" s="5" t="s">
        <v>107</v>
      </c>
      <c r="BQ1420" s="5" t="s">
        <v>76</v>
      </c>
      <c r="BR1420" s="5">
        <v>6601</v>
      </c>
    </row>
    <row r="1421" s="1" customFormat="1" spans="1:70">
      <c r="A1421" s="1">
        <v>3246184</v>
      </c>
      <c r="B1421" s="1" t="s">
        <v>3146</v>
      </c>
      <c r="C1421" s="1">
        <v>1</v>
      </c>
      <c r="D1421" s="4">
        <v>44893</v>
      </c>
      <c r="E1421" s="4">
        <v>44914</v>
      </c>
      <c r="F1421" s="7">
        <v>36416</v>
      </c>
      <c r="G1421" s="1">
        <v>29</v>
      </c>
      <c r="H1421" s="1">
        <v>9</v>
      </c>
      <c r="I1421" s="1">
        <v>52</v>
      </c>
      <c r="J1421" s="1">
        <v>9</v>
      </c>
      <c r="K1421" s="1">
        <v>41</v>
      </c>
      <c r="L1421" s="1">
        <v>20</v>
      </c>
      <c r="M1421" s="1">
        <v>0.96</v>
      </c>
      <c r="O1421" s="7">
        <v>36416</v>
      </c>
      <c r="P1421" s="4">
        <v>44893</v>
      </c>
      <c r="Q1421" s="4">
        <v>44914</v>
      </c>
      <c r="R1421" s="1" t="s">
        <v>73</v>
      </c>
      <c r="AO1421" s="7">
        <v>36416</v>
      </c>
      <c r="AP1421" s="5">
        <v>9.3</v>
      </c>
      <c r="AQ1421" s="5">
        <v>80</v>
      </c>
      <c r="AR1421" s="5">
        <v>38.3</v>
      </c>
      <c r="AS1421" s="5">
        <v>51.2</v>
      </c>
      <c r="AT1421" s="5">
        <v>7</v>
      </c>
      <c r="AU1421" s="5">
        <v>62</v>
      </c>
      <c r="AV1421" s="5">
        <v>43.8</v>
      </c>
      <c r="AW1421" s="5">
        <v>8.27</v>
      </c>
      <c r="AX1421" s="5">
        <v>76</v>
      </c>
      <c r="AY1421" s="5">
        <v>86.95</v>
      </c>
      <c r="AZ1421" s="5">
        <v>8.4</v>
      </c>
      <c r="BA1421" s="5">
        <v>5.86</v>
      </c>
      <c r="BB1421" s="12" t="s">
        <v>76</v>
      </c>
      <c r="BC1421" s="5">
        <v>4.32</v>
      </c>
      <c r="BD1421" s="5">
        <v>80</v>
      </c>
      <c r="BE1421" s="5">
        <v>1.27</v>
      </c>
      <c r="BF1421" s="5">
        <v>3.52</v>
      </c>
      <c r="BG1421" s="15">
        <v>37</v>
      </c>
      <c r="BH1421" s="5" t="s">
        <v>76</v>
      </c>
      <c r="BI1421" s="5">
        <v>130</v>
      </c>
      <c r="BJ1421" s="5">
        <v>30</v>
      </c>
      <c r="BK1421" s="5">
        <v>138</v>
      </c>
      <c r="BL1421" s="5">
        <v>70</v>
      </c>
      <c r="BM1421" s="5" t="s">
        <v>77</v>
      </c>
      <c r="BN1421" s="5" t="s">
        <v>77</v>
      </c>
      <c r="BO1421" s="5" t="e">
        <f t="shared" si="22"/>
        <v>#VALUE!</v>
      </c>
      <c r="BP1421" s="5" t="s">
        <v>415</v>
      </c>
      <c r="BQ1421" s="5" t="s">
        <v>76</v>
      </c>
      <c r="BR1421" s="5" t="s">
        <v>863</v>
      </c>
    </row>
    <row r="1422" s="1" customFormat="1" spans="1:70">
      <c r="A1422" s="1">
        <v>3329925</v>
      </c>
      <c r="B1422" s="1" t="s">
        <v>3146</v>
      </c>
      <c r="C1422" s="1">
        <v>1</v>
      </c>
      <c r="D1422" s="4">
        <v>45033</v>
      </c>
      <c r="E1422" s="4">
        <v>45036</v>
      </c>
      <c r="F1422" s="7">
        <v>36416</v>
      </c>
      <c r="G1422" s="1">
        <v>39</v>
      </c>
      <c r="H1422" s="1">
        <v>10</v>
      </c>
      <c r="I1422" s="1">
        <v>53</v>
      </c>
      <c r="J1422" s="1">
        <v>10</v>
      </c>
      <c r="K1422" s="1">
        <v>51</v>
      </c>
      <c r="L1422" s="1">
        <v>26</v>
      </c>
      <c r="M1422" s="1">
        <v>1.16</v>
      </c>
      <c r="N1422" s="1">
        <v>16.4</v>
      </c>
      <c r="O1422" s="7">
        <v>36416</v>
      </c>
      <c r="P1422" s="4">
        <v>45033</v>
      </c>
      <c r="Q1422" s="4">
        <v>45036</v>
      </c>
      <c r="R1422" s="1" t="s">
        <v>73</v>
      </c>
      <c r="AO1422" s="7">
        <v>36416</v>
      </c>
      <c r="AP1422" s="5">
        <v>6.3</v>
      </c>
      <c r="AQ1422" s="5">
        <v>96</v>
      </c>
      <c r="AR1422" s="5">
        <v>32.3</v>
      </c>
      <c r="AS1422" s="5" t="s">
        <v>881</v>
      </c>
      <c r="AT1422" s="5">
        <v>8</v>
      </c>
      <c r="AU1422" s="5">
        <v>9</v>
      </c>
      <c r="AV1422" s="5">
        <v>33.2</v>
      </c>
      <c r="AW1422" s="5">
        <v>4.54</v>
      </c>
      <c r="AX1422" s="5">
        <v>45</v>
      </c>
      <c r="AY1422" s="5" t="s">
        <v>125</v>
      </c>
      <c r="AZ1422" s="5" t="s">
        <v>75</v>
      </c>
      <c r="BA1422" s="5">
        <v>5.72</v>
      </c>
      <c r="BB1422" s="12" t="s">
        <v>76</v>
      </c>
      <c r="BC1422" s="5">
        <v>3.7</v>
      </c>
      <c r="BD1422" s="5">
        <v>96</v>
      </c>
      <c r="BE1422" s="5">
        <v>1.83</v>
      </c>
      <c r="BF1422" s="5">
        <v>3.03</v>
      </c>
      <c r="BG1422" s="15">
        <v>36.5</v>
      </c>
      <c r="BH1422" s="5">
        <v>86</v>
      </c>
      <c r="BI1422" s="5" t="s">
        <v>76</v>
      </c>
      <c r="BJ1422" s="5">
        <v>17</v>
      </c>
      <c r="BK1422" s="5">
        <v>116</v>
      </c>
      <c r="BL1422" s="5">
        <v>87</v>
      </c>
      <c r="BM1422" s="5">
        <v>38</v>
      </c>
      <c r="BN1422" s="5">
        <v>150</v>
      </c>
      <c r="BO1422" s="5">
        <f t="shared" si="22"/>
        <v>16.8888888888889</v>
      </c>
      <c r="BP1422" s="5" t="s">
        <v>415</v>
      </c>
      <c r="BQ1422" s="5">
        <v>4.7</v>
      </c>
      <c r="BR1422" s="5">
        <v>1044</v>
      </c>
    </row>
    <row r="1423" s="1" customFormat="1" spans="1:70">
      <c r="A1423" s="1">
        <v>3494986</v>
      </c>
      <c r="B1423" s="1" t="s">
        <v>3147</v>
      </c>
      <c r="C1423" s="1">
        <v>1</v>
      </c>
      <c r="D1423" s="4">
        <v>45259</v>
      </c>
      <c r="E1423" s="4">
        <v>45281</v>
      </c>
      <c r="F1423" s="7">
        <v>36901</v>
      </c>
      <c r="G1423" s="1">
        <v>50</v>
      </c>
      <c r="H1423" s="1">
        <v>8</v>
      </c>
      <c r="I1423" s="1">
        <v>66</v>
      </c>
      <c r="J1423" s="1">
        <v>8</v>
      </c>
      <c r="K1423" s="1">
        <v>31</v>
      </c>
      <c r="L1423" s="1">
        <v>16</v>
      </c>
      <c r="M1423" s="1">
        <v>0.96</v>
      </c>
      <c r="N1423" s="1">
        <v>14.2</v>
      </c>
      <c r="O1423" s="7">
        <v>36901</v>
      </c>
      <c r="P1423" s="4">
        <v>45259</v>
      </c>
      <c r="Q1423" s="4">
        <v>45281</v>
      </c>
      <c r="R1423" s="1" t="s">
        <v>80</v>
      </c>
      <c r="AO1423" s="7">
        <v>36901</v>
      </c>
      <c r="AP1423" s="5">
        <v>9.4</v>
      </c>
      <c r="AQ1423" s="5">
        <v>127</v>
      </c>
      <c r="AR1423" s="5">
        <v>41</v>
      </c>
      <c r="AS1423" s="5">
        <v>86.1</v>
      </c>
      <c r="AT1423" s="5">
        <v>89</v>
      </c>
      <c r="AU1423" s="5">
        <v>89</v>
      </c>
      <c r="AV1423" s="5">
        <v>35.2</v>
      </c>
      <c r="AW1423" s="5">
        <v>9.63</v>
      </c>
      <c r="AX1423" s="5">
        <v>77</v>
      </c>
      <c r="AY1423" s="5" t="s">
        <v>125</v>
      </c>
      <c r="AZ1423" s="5">
        <v>7.9</v>
      </c>
      <c r="BA1423" s="5" t="s">
        <v>76</v>
      </c>
      <c r="BB1423" s="12" t="s">
        <v>76</v>
      </c>
      <c r="BC1423" s="5">
        <v>5.56</v>
      </c>
      <c r="BD1423" s="5">
        <v>127</v>
      </c>
      <c r="BE1423" s="5" t="s">
        <v>76</v>
      </c>
      <c r="BF1423" s="5" t="s">
        <v>76</v>
      </c>
      <c r="BG1423" s="5" t="s">
        <v>76</v>
      </c>
      <c r="BH1423" s="5" t="s">
        <v>76</v>
      </c>
      <c r="BI1423" s="5" t="s">
        <v>76</v>
      </c>
      <c r="BJ1423" s="5" t="s">
        <v>76</v>
      </c>
      <c r="BK1423" s="5" t="s">
        <v>76</v>
      </c>
      <c r="BL1423" s="5" t="s">
        <v>76</v>
      </c>
      <c r="BM1423" s="5" t="s">
        <v>76</v>
      </c>
      <c r="BN1423" s="5" t="s">
        <v>76</v>
      </c>
      <c r="BO1423" s="5" t="e">
        <f t="shared" si="22"/>
        <v>#VALUE!</v>
      </c>
      <c r="BP1423" s="5" t="s">
        <v>78</v>
      </c>
      <c r="BQ1423" s="5" t="s">
        <v>76</v>
      </c>
      <c r="BR1423" s="5">
        <v>8992</v>
      </c>
    </row>
    <row r="1424" s="1" customFormat="1" spans="1:70">
      <c r="A1424" s="1">
        <v>3296933</v>
      </c>
      <c r="B1424" s="1" t="s">
        <v>3148</v>
      </c>
      <c r="D1424" s="4">
        <v>44986</v>
      </c>
      <c r="E1424" s="4">
        <v>44994</v>
      </c>
      <c r="F1424" s="7">
        <v>36967</v>
      </c>
      <c r="G1424" s="1">
        <v>34</v>
      </c>
      <c r="H1424" s="1">
        <v>10</v>
      </c>
      <c r="I1424" s="1">
        <v>44</v>
      </c>
      <c r="J1424" s="1">
        <v>10</v>
      </c>
      <c r="K1424" s="1">
        <v>64</v>
      </c>
      <c r="L1424" s="1">
        <v>35</v>
      </c>
      <c r="M1424" s="1">
        <v>0.9</v>
      </c>
      <c r="N1424" s="1">
        <v>10.7</v>
      </c>
      <c r="O1424" s="7">
        <v>36967</v>
      </c>
      <c r="P1424" s="4">
        <v>44986</v>
      </c>
      <c r="Q1424" s="4">
        <v>44994</v>
      </c>
      <c r="R1424" s="1" t="s">
        <v>73</v>
      </c>
      <c r="AO1424" s="7">
        <v>36967</v>
      </c>
      <c r="AP1424" s="5">
        <v>7.9</v>
      </c>
      <c r="AQ1424" s="5">
        <v>127</v>
      </c>
      <c r="AR1424" s="5">
        <v>38.4</v>
      </c>
      <c r="AS1424" s="5" t="s">
        <v>76</v>
      </c>
      <c r="AT1424" s="5">
        <v>10</v>
      </c>
      <c r="AU1424" s="5">
        <v>7</v>
      </c>
      <c r="AV1424" s="5">
        <v>39.2</v>
      </c>
      <c r="AW1424" s="5">
        <v>16.41</v>
      </c>
      <c r="AX1424" s="5">
        <v>248</v>
      </c>
      <c r="AY1424" s="5">
        <v>22.73</v>
      </c>
      <c r="AZ1424" s="5" t="s">
        <v>75</v>
      </c>
      <c r="BA1424" s="5">
        <v>6.2</v>
      </c>
      <c r="BB1424" s="12" t="s">
        <v>76</v>
      </c>
      <c r="BC1424" s="5">
        <v>4.72</v>
      </c>
      <c r="BD1424" s="5">
        <v>127</v>
      </c>
      <c r="BE1424" s="5">
        <v>1.01</v>
      </c>
      <c r="BF1424" s="5">
        <v>4.51</v>
      </c>
      <c r="BG1424" s="15">
        <v>36.4</v>
      </c>
      <c r="BH1424" s="5" t="s">
        <v>76</v>
      </c>
      <c r="BI1424" s="5">
        <v>97</v>
      </c>
      <c r="BJ1424" s="5">
        <v>16</v>
      </c>
      <c r="BK1424" s="5">
        <v>139</v>
      </c>
      <c r="BL1424" s="5">
        <v>99</v>
      </c>
      <c r="BM1424" s="5">
        <v>57</v>
      </c>
      <c r="BN1424" s="5">
        <v>168</v>
      </c>
      <c r="BO1424" s="5">
        <f t="shared" si="22"/>
        <v>20.1955782312925</v>
      </c>
      <c r="BP1424" s="5" t="s">
        <v>415</v>
      </c>
      <c r="BQ1424" s="5">
        <v>5</v>
      </c>
      <c r="BR1424" s="5">
        <v>1691</v>
      </c>
    </row>
    <row r="1425" s="1" customFormat="1" spans="1:70">
      <c r="A1425" s="1">
        <v>3252308</v>
      </c>
      <c r="B1425" s="1" t="s">
        <v>3149</v>
      </c>
      <c r="D1425" s="4">
        <v>44906</v>
      </c>
      <c r="E1425" s="4">
        <v>44911</v>
      </c>
      <c r="F1425" s="7">
        <v>37596</v>
      </c>
      <c r="G1425" s="1">
        <v>56</v>
      </c>
      <c r="H1425" s="1">
        <v>10</v>
      </c>
      <c r="I1425" s="1">
        <v>84</v>
      </c>
      <c r="J1425" s="1">
        <v>10</v>
      </c>
      <c r="K1425" s="1">
        <v>30</v>
      </c>
      <c r="L1425" s="1">
        <v>15</v>
      </c>
      <c r="M1425" s="1">
        <v>2.93</v>
      </c>
      <c r="N1425" s="1">
        <v>27</v>
      </c>
      <c r="O1425" s="7">
        <v>37596</v>
      </c>
      <c r="P1425" s="4">
        <v>44906</v>
      </c>
      <c r="Q1425" s="4">
        <v>44911</v>
      </c>
      <c r="R1425" s="1" t="s">
        <v>80</v>
      </c>
      <c r="AO1425" s="7">
        <v>37596</v>
      </c>
      <c r="AP1425" s="5">
        <v>10.6</v>
      </c>
      <c r="AQ1425" s="5">
        <v>162</v>
      </c>
      <c r="AR1425" s="5">
        <v>52.3</v>
      </c>
      <c r="AS1425" s="5">
        <v>4.9</v>
      </c>
      <c r="AT1425" s="5">
        <v>25</v>
      </c>
      <c r="AU1425" s="5">
        <v>17</v>
      </c>
      <c r="AV1425" s="5">
        <v>37</v>
      </c>
      <c r="AW1425" s="5">
        <v>8.1</v>
      </c>
      <c r="AX1425" s="5">
        <v>116</v>
      </c>
      <c r="AY1425" s="5">
        <v>83.95</v>
      </c>
      <c r="AZ1425" s="5">
        <v>4.35</v>
      </c>
      <c r="BA1425" s="5">
        <v>3.24</v>
      </c>
      <c r="BB1425" s="12" t="s">
        <v>76</v>
      </c>
      <c r="BC1425" s="5">
        <v>5.06</v>
      </c>
      <c r="BD1425" s="5">
        <v>162</v>
      </c>
      <c r="BE1425" s="5">
        <v>0.72</v>
      </c>
      <c r="BF1425" s="5">
        <v>2.01</v>
      </c>
      <c r="BG1425" s="15">
        <v>36.6</v>
      </c>
      <c r="BH1425" s="5">
        <v>98</v>
      </c>
      <c r="BI1425" s="5">
        <v>98</v>
      </c>
      <c r="BJ1425" s="5">
        <v>17</v>
      </c>
      <c r="BK1425" s="5">
        <v>163</v>
      </c>
      <c r="BL1425" s="5">
        <v>116</v>
      </c>
      <c r="BM1425" s="5">
        <v>120</v>
      </c>
      <c r="BN1425" s="5">
        <v>183</v>
      </c>
      <c r="BO1425" s="5">
        <f t="shared" si="22"/>
        <v>35.8326614709308</v>
      </c>
      <c r="BP1425" s="5" t="s">
        <v>78</v>
      </c>
      <c r="BQ1425" s="5">
        <v>5.4</v>
      </c>
      <c r="BR1425" s="5">
        <v>5067</v>
      </c>
    </row>
    <row r="1426" s="1" customFormat="1" spans="1:70">
      <c r="A1426" s="1">
        <v>3490717</v>
      </c>
      <c r="B1426" s="1" t="s">
        <v>3150</v>
      </c>
      <c r="C1426" s="1">
        <v>1</v>
      </c>
      <c r="D1426" s="4">
        <v>45254</v>
      </c>
      <c r="E1426" s="4">
        <v>45266</v>
      </c>
      <c r="F1426" s="7">
        <v>37891</v>
      </c>
      <c r="G1426" s="1">
        <v>28</v>
      </c>
      <c r="H1426" s="1">
        <v>8</v>
      </c>
      <c r="I1426" s="1">
        <v>40</v>
      </c>
      <c r="J1426" s="1">
        <v>8</v>
      </c>
      <c r="K1426" s="1">
        <v>60</v>
      </c>
      <c r="L1426" s="1">
        <v>32</v>
      </c>
      <c r="M1426" s="1">
        <v>1.36</v>
      </c>
      <c r="O1426" s="7">
        <v>37891</v>
      </c>
      <c r="P1426" s="4">
        <v>45254</v>
      </c>
      <c r="Q1426" s="4">
        <v>45266</v>
      </c>
      <c r="R1426" s="1" t="s">
        <v>73</v>
      </c>
      <c r="AO1426" s="7">
        <v>37891</v>
      </c>
      <c r="AP1426" s="5">
        <v>6.4</v>
      </c>
      <c r="AQ1426" s="5">
        <v>145</v>
      </c>
      <c r="AR1426" s="5">
        <v>65.9</v>
      </c>
      <c r="AS1426" s="5">
        <v>85.6</v>
      </c>
      <c r="AT1426" s="5">
        <v>37</v>
      </c>
      <c r="AU1426" s="5">
        <v>21</v>
      </c>
      <c r="AV1426" s="5">
        <v>35.1</v>
      </c>
      <c r="AW1426" s="5">
        <v>7.5</v>
      </c>
      <c r="AX1426" s="5" t="s">
        <v>1455</v>
      </c>
      <c r="AY1426" s="5" t="s">
        <v>76</v>
      </c>
      <c r="AZ1426" s="5">
        <v>9.7</v>
      </c>
      <c r="BA1426" s="5" t="s">
        <v>76</v>
      </c>
      <c r="BB1426" s="12" t="s">
        <v>76</v>
      </c>
      <c r="BC1426" s="5">
        <v>4.19</v>
      </c>
      <c r="BD1426" s="5">
        <v>145</v>
      </c>
      <c r="BE1426" s="5" t="s">
        <v>76</v>
      </c>
      <c r="BF1426" s="5" t="s">
        <v>76</v>
      </c>
      <c r="BG1426" s="15">
        <v>36.4</v>
      </c>
      <c r="BH1426" s="5">
        <v>105</v>
      </c>
      <c r="BI1426" s="5">
        <v>105</v>
      </c>
      <c r="BJ1426" s="5">
        <v>14</v>
      </c>
      <c r="BK1426" s="5">
        <v>118</v>
      </c>
      <c r="BL1426" s="5">
        <v>72</v>
      </c>
      <c r="BM1426" s="5">
        <v>65</v>
      </c>
      <c r="BN1426" s="5">
        <v>165</v>
      </c>
      <c r="BO1426" s="5">
        <f t="shared" si="22"/>
        <v>23.8751147842057</v>
      </c>
      <c r="BP1426" s="5" t="s">
        <v>164</v>
      </c>
      <c r="BQ1426" s="5">
        <v>15.2</v>
      </c>
      <c r="BR1426" s="5">
        <v>615.2</v>
      </c>
    </row>
    <row r="1427" s="1" customFormat="1" spans="1:70">
      <c r="A1427" s="1">
        <v>3319879</v>
      </c>
      <c r="B1427" s="1" t="s">
        <v>3151</v>
      </c>
      <c r="C1427" s="1">
        <v>1</v>
      </c>
      <c r="D1427" s="4">
        <v>45018</v>
      </c>
      <c r="E1427" s="4">
        <v>45025</v>
      </c>
      <c r="F1427" s="7">
        <v>37979</v>
      </c>
      <c r="G1427" s="1">
        <v>43</v>
      </c>
      <c r="I1427" s="1">
        <v>65</v>
      </c>
      <c r="K1427" s="1">
        <v>26</v>
      </c>
      <c r="L1427" s="1">
        <v>13</v>
      </c>
      <c r="M1427" s="1">
        <v>3.17</v>
      </c>
      <c r="N1427" s="1">
        <v>13.8</v>
      </c>
      <c r="O1427" s="7">
        <v>37979</v>
      </c>
      <c r="P1427" s="4">
        <v>45018</v>
      </c>
      <c r="Q1427" s="4">
        <v>45025</v>
      </c>
      <c r="R1427" s="1" t="s">
        <v>73</v>
      </c>
      <c r="AO1427" s="7">
        <v>37979</v>
      </c>
      <c r="AP1427" s="5">
        <v>5.7</v>
      </c>
      <c r="AQ1427" s="5">
        <v>104</v>
      </c>
      <c r="AR1427" s="5">
        <v>34.2</v>
      </c>
      <c r="AS1427" s="5" t="s">
        <v>76</v>
      </c>
      <c r="AT1427" s="5">
        <v>17</v>
      </c>
      <c r="AU1427" s="5">
        <v>21</v>
      </c>
      <c r="AV1427" s="5">
        <v>34.6</v>
      </c>
      <c r="AW1427" s="5">
        <v>7.3</v>
      </c>
      <c r="AX1427" s="5">
        <v>61</v>
      </c>
      <c r="AY1427" s="5" t="s">
        <v>125</v>
      </c>
      <c r="AZ1427" s="5">
        <v>5.6</v>
      </c>
      <c r="BA1427" s="5" t="s">
        <v>76</v>
      </c>
      <c r="BB1427" s="12" t="s">
        <v>76</v>
      </c>
      <c r="BC1427" s="5">
        <v>3.75</v>
      </c>
      <c r="BD1427" s="5">
        <v>104</v>
      </c>
      <c r="BE1427" s="5" t="s">
        <v>76</v>
      </c>
      <c r="BF1427" s="5" t="s">
        <v>76</v>
      </c>
      <c r="BG1427" s="15">
        <v>37</v>
      </c>
      <c r="BH1427" s="5">
        <v>80</v>
      </c>
      <c r="BI1427" s="5">
        <v>80</v>
      </c>
      <c r="BJ1427" s="5">
        <v>16</v>
      </c>
      <c r="BK1427" s="5">
        <v>86</v>
      </c>
      <c r="BL1427" s="5">
        <v>62</v>
      </c>
      <c r="BM1427" s="5">
        <v>40</v>
      </c>
      <c r="BN1427" s="5">
        <v>150</v>
      </c>
      <c r="BO1427" s="5">
        <f t="shared" si="22"/>
        <v>17.7777777777778</v>
      </c>
      <c r="BP1427" s="5" t="s">
        <v>161</v>
      </c>
      <c r="BQ1427" s="5" t="s">
        <v>76</v>
      </c>
      <c r="BR1427" s="5">
        <v>5673</v>
      </c>
    </row>
  </sheetData>
  <sortState ref="A3:BR1427">
    <sortCondition ref="F3"/>
  </sortState>
  <mergeCells count="1">
    <mergeCell ref="BG1:BL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Czl</dc:creator>
  <cp:lastModifiedBy>天熠</cp:lastModifiedBy>
  <dcterms:created xsi:type="dcterms:W3CDTF">2025-01-26T00:21:00Z</dcterms:created>
  <dcterms:modified xsi:type="dcterms:W3CDTF">2025-03-05T15:34:25Z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E6E5F0AB23BC4A2CA3F4F89B998B0191_13</vt:lpwstr>
  </property>
  <property fmtid="{D5CDD505-2E9C-101B-9397-08002B2CF9AE}" pid="3" name="KSOProductBuildVer">
    <vt:lpwstr>2052-12.1.0.19768</vt:lpwstr>
  </property>
</Properties>
</file>